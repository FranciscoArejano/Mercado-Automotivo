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57274e378d8021/FURG/Econometria II/Trabalho Carros/"/>
    </mc:Choice>
  </mc:AlternateContent>
  <xr:revisionPtr revIDLastSave="729" documentId="8_{63214311-E48F-4C46-B37C-61BEE416FDCA}" xr6:coauthVersionLast="47" xr6:coauthVersionMax="47" xr10:uidLastSave="{755122EC-5B7B-418A-A4B6-493025163579}"/>
  <bookViews>
    <workbookView xWindow="-120" yWindow="-120" windowWidth="20730" windowHeight="11160" tabRatio="732" xr2:uid="{B78FA58C-3956-4021-A097-D6E0609F43A7}"/>
  </bookViews>
  <sheets>
    <sheet name="2013" sheetId="12" r:id="rId1"/>
    <sheet name="2014" sheetId="11" r:id="rId2"/>
    <sheet name="2015" sheetId="10" r:id="rId3"/>
    <sheet name="2016" sheetId="9" r:id="rId4"/>
    <sheet name="2017" sheetId="8" r:id="rId5"/>
    <sheet name="2018" sheetId="7" r:id="rId6"/>
    <sheet name="2019" sheetId="5" r:id="rId7"/>
    <sheet name="2020" sheetId="4" r:id="rId8"/>
    <sheet name="2021" sheetId="3" r:id="rId9"/>
    <sheet name="2022" sheetId="2" r:id="rId10"/>
    <sheet name="2023" sheetId="1" r:id="rId11"/>
  </sheets>
  <definedNames>
    <definedName name="_xlnm._FilterDatabase" localSheetId="0" hidden="1">'2013'!$A$1:$B$1</definedName>
    <definedName name="_xlnm._FilterDatabase" localSheetId="1" hidden="1">'2014'!$A$1:$O$1</definedName>
    <definedName name="_xlnm._FilterDatabase" localSheetId="2" hidden="1">'2015'!$A$1:$O$1</definedName>
    <definedName name="_xlnm._FilterDatabase" localSheetId="3" hidden="1">'2016'!$A$1:$O$1</definedName>
    <definedName name="_xlnm._FilterDatabase" localSheetId="4" hidden="1">'2017'!$A$1:$O$1</definedName>
    <definedName name="_xlnm._FilterDatabase" localSheetId="5" hidden="1">'2018'!$A$1:$O$1</definedName>
    <definedName name="_xlnm._FilterDatabase" localSheetId="6" hidden="1">'2019'!$A$1:$O$1</definedName>
    <definedName name="_xlnm._FilterDatabase" localSheetId="7" hidden="1">'2020'!$A$1:$O$1</definedName>
    <definedName name="_xlnm._FilterDatabase" localSheetId="8" hidden="1">'2021'!$A$1:$O$1</definedName>
    <definedName name="_xlnm._FilterDatabase" localSheetId="9" hidden="1">'2022'!$A$1:$O$1</definedName>
    <definedName name="_xlnm._FilterDatabase" localSheetId="10" hidden="1">'2023'!$A$1:$O$101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2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2" i="9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2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2" i="11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" i="7"/>
  <c r="O4" i="7"/>
  <c r="O5" i="7"/>
  <c r="O6" i="7"/>
  <c r="O7" i="7"/>
  <c r="O2" i="7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2" i="4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" i="5"/>
  <c r="O2" i="5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" i="3"/>
  <c r="O2" i="3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3" i="2"/>
  <c r="O2" i="2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09" i="1"/>
  <c r="O110" i="1"/>
  <c r="O111" i="1"/>
  <c r="O112" i="1"/>
  <c r="O113" i="1"/>
  <c r="O114" i="1"/>
  <c r="O115" i="1"/>
  <c r="O116" i="1"/>
  <c r="O117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<sst xmlns="http://schemas.openxmlformats.org/spreadsheetml/2006/main" count="6211" uniqueCount="874">
  <si>
    <t>1º</t>
  </si>
  <si>
    <t>Fiat Strada</t>
  </si>
  <si>
    <t>2º</t>
  </si>
  <si>
    <t>Chevrolet Onix</t>
  </si>
  <si>
    <t>3º</t>
  </si>
  <si>
    <t>Volkswagen Polo</t>
  </si>
  <si>
    <t>4º</t>
  </si>
  <si>
    <t>Hyundai HB20</t>
  </si>
  <si>
    <t>5º</t>
  </si>
  <si>
    <t>Chevrolet Onix Plus</t>
  </si>
  <si>
    <t>6º</t>
  </si>
  <si>
    <t>Volkswagen T-Cross</t>
  </si>
  <si>
    <t>Posição</t>
  </si>
  <si>
    <t>Marca/Veículo</t>
  </si>
  <si>
    <t>7º</t>
  </si>
  <si>
    <t>Fiat Mobi</t>
  </si>
  <si>
    <t>8º</t>
  </si>
  <si>
    <t>Fiat Argo</t>
  </si>
  <si>
    <t>9º</t>
  </si>
  <si>
    <t>Chevrolet Tracker</t>
  </si>
  <si>
    <t>10º</t>
  </si>
  <si>
    <t>Hyundai Creta</t>
  </si>
  <si>
    <t>TOTAL</t>
  </si>
  <si>
    <t>11º</t>
  </si>
  <si>
    <t>Jeep Compass</t>
  </si>
  <si>
    <t>12º</t>
  </si>
  <si>
    <t>Renault Kwid</t>
  </si>
  <si>
    <t>13º</t>
  </si>
  <si>
    <t>Fiat Toro</t>
  </si>
  <si>
    <t>14º</t>
  </si>
  <si>
    <t>Jeep Renegade</t>
  </si>
  <si>
    <t>15º</t>
  </si>
  <si>
    <t>Volkswagen Nivus</t>
  </si>
  <si>
    <t>16º</t>
  </si>
  <si>
    <t>Honda HR-V</t>
  </si>
  <si>
    <t>17º</t>
  </si>
  <si>
    <t>Nissan Kicks</t>
  </si>
  <si>
    <t>18º</t>
  </si>
  <si>
    <t>Toyota Hilux</t>
  </si>
  <si>
    <t>19º</t>
  </si>
  <si>
    <t>Fiat Cronos</t>
  </si>
  <si>
    <t>20º</t>
  </si>
  <si>
    <t>Fiat Pulse</t>
  </si>
  <si>
    <t>21º</t>
  </si>
  <si>
    <t>Volkswagen Saveiro</t>
  </si>
  <si>
    <t>22º</t>
  </si>
  <si>
    <t>Toyota Corolla Cross</t>
  </si>
  <si>
    <t>23º</t>
  </si>
  <si>
    <t>Toyota Corolla</t>
  </si>
  <si>
    <t>24º</t>
  </si>
  <si>
    <t>Fiat Fastback</t>
  </si>
  <si>
    <t>25º</t>
  </si>
  <si>
    <t>Chevrolet Montana</t>
  </si>
  <si>
    <t>26º</t>
  </si>
  <si>
    <t>Peugeot 208</t>
  </si>
  <si>
    <t>27º</t>
  </si>
  <si>
    <t>Chevrolet S10</t>
  </si>
  <si>
    <t>28º</t>
  </si>
  <si>
    <t>Hyundai HB20S</t>
  </si>
  <si>
    <t>29º</t>
  </si>
  <si>
    <t>Citroën C3</t>
  </si>
  <si>
    <t>30º</t>
  </si>
  <si>
    <t>Volkswagen Virtus</t>
  </si>
  <si>
    <t>31º</t>
  </si>
  <si>
    <t>Toyota Yaris</t>
  </si>
  <si>
    <t>32º</t>
  </si>
  <si>
    <t>Renault Duster</t>
  </si>
  <si>
    <t>33º</t>
  </si>
  <si>
    <t>Jeep Commander</t>
  </si>
  <si>
    <t>34º</t>
  </si>
  <si>
    <t>Chevrolet Spin</t>
  </si>
  <si>
    <t>35º</t>
  </si>
  <si>
    <t>Fiat Fiorino</t>
  </si>
  <si>
    <t>36º</t>
  </si>
  <si>
    <t>Ford Ranger</t>
  </si>
  <si>
    <t>37º</t>
  </si>
  <si>
    <t>Toyota Yaris Sedã</t>
  </si>
  <si>
    <t>38º</t>
  </si>
  <si>
    <t>Toyota SW4</t>
  </si>
  <si>
    <t>39º</t>
  </si>
  <si>
    <t>Volkswagen Taos</t>
  </si>
  <si>
    <t>40º</t>
  </si>
  <si>
    <t>Honda City</t>
  </si>
  <si>
    <t>41º</t>
  </si>
  <si>
    <t>Renault Oroch</t>
  </si>
  <si>
    <t>42º</t>
  </si>
  <si>
    <t>Honda City hatchback</t>
  </si>
  <si>
    <t>43º</t>
  </si>
  <si>
    <t>Mitsubishi L200 Triton</t>
  </si>
  <si>
    <t>44º</t>
  </si>
  <si>
    <t>Renault Master</t>
  </si>
  <si>
    <t>45º</t>
  </si>
  <si>
    <t>Volkswagen Gol</t>
  </si>
  <si>
    <t>46º</t>
  </si>
  <si>
    <t>CAOA Chery Tiggo 5X</t>
  </si>
  <si>
    <t>47º</t>
  </si>
  <si>
    <t>CAOA Chery Tiggo 8</t>
  </si>
  <si>
    <t>48º</t>
  </si>
  <si>
    <t>Nissan Versa</t>
  </si>
  <si>
    <t>49º</t>
  </si>
  <si>
    <t>Renault Sandero</t>
  </si>
  <si>
    <t>50º</t>
  </si>
  <si>
    <t>Nissan Frontier</t>
  </si>
  <si>
    <t>51º</t>
  </si>
  <si>
    <t>Volkswagen Amarok</t>
  </si>
  <si>
    <t>52º</t>
  </si>
  <si>
    <t>Haval H6</t>
  </si>
  <si>
    <t>53º</t>
  </si>
  <si>
    <t>CAOA Chery Tiggo 7</t>
  </si>
  <si>
    <t>54º</t>
  </si>
  <si>
    <t>BMW Série 3</t>
  </si>
  <si>
    <t>55º</t>
  </si>
  <si>
    <t>Renault Logan</t>
  </si>
  <si>
    <t>56º</t>
  </si>
  <si>
    <t>Volvo XC60</t>
  </si>
  <si>
    <t>57º</t>
  </si>
  <si>
    <t>Nissan Sentra</t>
  </si>
  <si>
    <t>58º</t>
  </si>
  <si>
    <t>Chevrolet Equinox</t>
  </si>
  <si>
    <t>59º</t>
  </si>
  <si>
    <t>RAM 3500</t>
  </si>
  <si>
    <t>60º</t>
  </si>
  <si>
    <t>Citroën C4 Cactus</t>
  </si>
  <si>
    <t>61º</t>
  </si>
  <si>
    <t>BMW X1</t>
  </si>
  <si>
    <t>62º</t>
  </si>
  <si>
    <t>Fiat Scudo</t>
  </si>
  <si>
    <t>63º</t>
  </si>
  <si>
    <t>BYD Song Plus DM-i</t>
  </si>
  <si>
    <t>64º</t>
  </si>
  <si>
    <t>Volkswagen Voyage</t>
  </si>
  <si>
    <t>65º</t>
  </si>
  <si>
    <t>Mitsubishi Eclipse Cross</t>
  </si>
  <si>
    <t>66º</t>
  </si>
  <si>
    <t>Ford Transit</t>
  </si>
  <si>
    <t>67º</t>
  </si>
  <si>
    <t>Mercedes-Benz Sprinter</t>
  </si>
  <si>
    <t>68º</t>
  </si>
  <si>
    <t>RAM Classic</t>
  </si>
  <si>
    <t>69º</t>
  </si>
  <si>
    <t>Iveco Daily</t>
  </si>
  <si>
    <t>70º</t>
  </si>
  <si>
    <t>Mitsubishi Pajero Sport</t>
  </si>
  <si>
    <t>71º</t>
  </si>
  <si>
    <t>Porsche Cayenne</t>
  </si>
  <si>
    <t>72º</t>
  </si>
  <si>
    <t>Citroën Jumpy</t>
  </si>
  <si>
    <t>73º</t>
  </si>
  <si>
    <t>Volkswagen Delivery Express</t>
  </si>
  <si>
    <t>74º</t>
  </si>
  <si>
    <t>Peugeot 2008</t>
  </si>
  <si>
    <t>75º</t>
  </si>
  <si>
    <t>Kia Bongo</t>
  </si>
  <si>
    <t>76º</t>
  </si>
  <si>
    <t>Volkswagen Jetta</t>
  </si>
  <si>
    <t>77º</t>
  </si>
  <si>
    <t>Audi Q5</t>
  </si>
  <si>
    <t>78º</t>
  </si>
  <si>
    <t>Peugeot Expert</t>
  </si>
  <si>
    <t>79º</t>
  </si>
  <si>
    <t>Chevrolet TrailBlazer</t>
  </si>
  <si>
    <t>81º</t>
  </si>
  <si>
    <t>RAM 1500</t>
  </si>
  <si>
    <t>80º</t>
  </si>
  <si>
    <t>Peugeot Partner Rapid</t>
  </si>
  <si>
    <t>82º</t>
  </si>
  <si>
    <t>Ford Maverick</t>
  </si>
  <si>
    <t>83º</t>
  </si>
  <si>
    <t>Volvo XC40</t>
  </si>
  <si>
    <t>84º</t>
  </si>
  <si>
    <t>RAM 2500</t>
  </si>
  <si>
    <t>85º</t>
  </si>
  <si>
    <t>Porsche Macan</t>
  </si>
  <si>
    <t>86º</t>
  </si>
  <si>
    <t>Audi Q3</t>
  </si>
  <si>
    <t>87º</t>
  </si>
  <si>
    <t>Volvo XC90</t>
  </si>
  <si>
    <t>88º</t>
  </si>
  <si>
    <t>Chevrolet Cruze</t>
  </si>
  <si>
    <t>89º</t>
  </si>
  <si>
    <t>Ford Territory</t>
  </si>
  <si>
    <t>90º</t>
  </si>
  <si>
    <t>Land Rover Defender</t>
  </si>
  <si>
    <t>91º</t>
  </si>
  <si>
    <t>Ford F-150</t>
  </si>
  <si>
    <t>92º</t>
  </si>
  <si>
    <t>BMW X4</t>
  </si>
  <si>
    <t>93º</t>
  </si>
  <si>
    <t>Mercedes-Benz GLB</t>
  </si>
  <si>
    <t>94º</t>
  </si>
  <si>
    <t>Land Rover Discovery Sport</t>
  </si>
  <si>
    <t>95º</t>
  </si>
  <si>
    <t>Kia Stonic</t>
  </si>
  <si>
    <t>96º</t>
  </si>
  <si>
    <t>Land Rover Range Rover</t>
  </si>
  <si>
    <t>97º</t>
  </si>
  <si>
    <t>Kia Sportage</t>
  </si>
  <si>
    <t>98º</t>
  </si>
  <si>
    <t>Suzuki Jimny Sierra</t>
  </si>
  <si>
    <t>99º</t>
  </si>
  <si>
    <t>BYD Yuan Plus EV</t>
  </si>
  <si>
    <t>100º</t>
  </si>
  <si>
    <t>Toyota RAV4</t>
  </si>
  <si>
    <t>101º</t>
  </si>
  <si>
    <t>Porsche 911</t>
  </si>
  <si>
    <t>102º</t>
  </si>
  <si>
    <t>CAOA Chery Arrizo 6</t>
  </si>
  <si>
    <t>103º</t>
  </si>
  <si>
    <t>Effa V21</t>
  </si>
  <si>
    <t>104º</t>
  </si>
  <si>
    <t>Ford Bronco Sport</t>
  </si>
  <si>
    <t>105º</t>
  </si>
  <si>
    <t>BMW X5</t>
  </si>
  <si>
    <t>106º</t>
  </si>
  <si>
    <t>Mercedes-Benz Classe C</t>
  </si>
  <si>
    <t>107º</t>
  </si>
  <si>
    <t>Mini Hatch 3 portas</t>
  </si>
  <si>
    <t>108º</t>
  </si>
  <si>
    <t>BMW X6</t>
  </si>
  <si>
    <t>109º</t>
  </si>
  <si>
    <t>BYD Dolphin</t>
  </si>
  <si>
    <t>110º</t>
  </si>
  <si>
    <t>Mercedes-Benz GLE</t>
  </si>
  <si>
    <t>111º</t>
  </si>
  <si>
    <t>BMW X3</t>
  </si>
  <si>
    <t>112º</t>
  </si>
  <si>
    <t>Audi A3 Sedan</t>
  </si>
  <si>
    <t>114º</t>
  </si>
  <si>
    <t>Land Rover Range Rover Evoque</t>
  </si>
  <si>
    <t>113º</t>
  </si>
  <si>
    <t>Mercedes-Benz GLA</t>
  </si>
  <si>
    <t>115º</t>
  </si>
  <si>
    <t>Honda Civic</t>
  </si>
  <si>
    <t>116º</t>
  </si>
  <si>
    <t>Mini Countryman</t>
  </si>
  <si>
    <t>117º</t>
  </si>
  <si>
    <t>Volvo C40</t>
  </si>
  <si>
    <t>118º</t>
  </si>
  <si>
    <t>Land Rover Discovery</t>
  </si>
  <si>
    <t>119º</t>
  </si>
  <si>
    <t>Audi A5 Sportback</t>
  </si>
  <si>
    <t>121º</t>
  </si>
  <si>
    <t>Peugeot 3008</t>
  </si>
  <si>
    <t>120º</t>
  </si>
  <si>
    <t>Kia Bongo K2500</t>
  </si>
  <si>
    <t>122º</t>
  </si>
  <si>
    <t>Land Rover Range Rover Velar</t>
  </si>
  <si>
    <t>123º</t>
  </si>
  <si>
    <t>BYD D1 EV</t>
  </si>
  <si>
    <t>124º</t>
  </si>
  <si>
    <t>Fiat Ducato</t>
  </si>
  <si>
    <t>126º</t>
  </si>
  <si>
    <t>Mercedes-Benz CLA</t>
  </si>
  <si>
    <t>125º</t>
  </si>
  <si>
    <t>JAC E-JS1</t>
  </si>
  <si>
    <t>127º</t>
  </si>
  <si>
    <t>Chevrolet Cruze Sport6</t>
  </si>
  <si>
    <t>128º</t>
  </si>
  <si>
    <t>Ford Mustang</t>
  </si>
  <si>
    <t>129º</t>
  </si>
  <si>
    <t>Renault Captur</t>
  </si>
  <si>
    <t>130º</t>
  </si>
  <si>
    <t>Porsche Panamera</t>
  </si>
  <si>
    <t>132º</t>
  </si>
  <si>
    <t>Audi A4</t>
  </si>
  <si>
    <t>131º</t>
  </si>
  <si>
    <t>Effa V22</t>
  </si>
  <si>
    <t>133º</t>
  </si>
  <si>
    <t>Audi A3</t>
  </si>
  <si>
    <t>134º</t>
  </si>
  <si>
    <t>Mercedes-Benz GLC</t>
  </si>
  <si>
    <t>135º</t>
  </si>
  <si>
    <t>BMW iX</t>
  </si>
  <si>
    <t>136º</t>
  </si>
  <si>
    <t>BMW M3</t>
  </si>
  <si>
    <t>137º</t>
  </si>
  <si>
    <t>Porsche Taycan</t>
  </si>
  <si>
    <t>138º</t>
  </si>
  <si>
    <t>RAM Rampage</t>
  </si>
  <si>
    <t>139º</t>
  </si>
  <si>
    <t>Jaguar F-Pace</t>
  </si>
  <si>
    <t>140º</t>
  </si>
  <si>
    <t>Nissan Leaf</t>
  </si>
  <si>
    <t>142º</t>
  </si>
  <si>
    <t>Kia Niro</t>
  </si>
  <si>
    <t>141º</t>
  </si>
  <si>
    <t>Porsche 718 Boxster</t>
  </si>
  <si>
    <t>143º</t>
  </si>
  <si>
    <t>Jeep Wrangler</t>
  </si>
  <si>
    <t>144º</t>
  </si>
  <si>
    <t>Lexus NX</t>
  </si>
  <si>
    <t>145º</t>
  </si>
  <si>
    <t>Lexus UX</t>
  </si>
  <si>
    <t>146º</t>
  </si>
  <si>
    <t>Subaru Forester</t>
  </si>
  <si>
    <t>147º</t>
  </si>
  <si>
    <t>Jeep Gladiator</t>
  </si>
  <si>
    <t>148º</t>
  </si>
  <si>
    <t>Hyundai New Tucson</t>
  </si>
  <si>
    <t>149º</t>
  </si>
  <si>
    <t>Peugeot Boxer</t>
  </si>
  <si>
    <t>150º</t>
  </si>
  <si>
    <t>Hyundai Ioniq</t>
  </si>
  <si>
    <t>151º</t>
  </si>
  <si>
    <t>Porsche 718 Cayman</t>
  </si>
  <si>
    <t>152º</t>
  </si>
  <si>
    <t>BMW iX3</t>
  </si>
  <si>
    <t>153º</t>
  </si>
  <si>
    <t>Audi Q7</t>
  </si>
  <si>
    <t>155º</t>
  </si>
  <si>
    <t>Suzuki Jimny</t>
  </si>
  <si>
    <t>154º</t>
  </si>
  <si>
    <t>Audi Q8</t>
  </si>
  <si>
    <t>156º</t>
  </si>
  <si>
    <t>JAC e-JS4</t>
  </si>
  <si>
    <t>158º</t>
  </si>
  <si>
    <t>CAOA Chery iCar</t>
  </si>
  <si>
    <t>157º</t>
  </si>
  <si>
    <t>Audi Q5 Sportback</t>
  </si>
  <si>
    <t>159º</t>
  </si>
  <si>
    <t>BYD Tan</t>
  </si>
  <si>
    <t>160º</t>
  </si>
  <si>
    <t>Hyundai HR</t>
  </si>
  <si>
    <t>161º</t>
  </si>
  <si>
    <t>Audi e-tron</t>
  </si>
  <si>
    <t>162º</t>
  </si>
  <si>
    <t>Subaru XV</t>
  </si>
  <si>
    <t>164º</t>
  </si>
  <si>
    <t>JAC E-J7</t>
  </si>
  <si>
    <t>163º</t>
  </si>
  <si>
    <t>BMW Série 4 Cabrio</t>
  </si>
  <si>
    <t>165º</t>
  </si>
  <si>
    <t>BMW Série 5</t>
  </si>
  <si>
    <t>167º</t>
  </si>
  <si>
    <t>BYD Han</t>
  </si>
  <si>
    <t>166º</t>
  </si>
  <si>
    <t>Audi Q3 Sportback</t>
  </si>
  <si>
    <t>168º</t>
  </si>
  <si>
    <t>BMW Série 2 Gran Coupé</t>
  </si>
  <si>
    <t>170º</t>
  </si>
  <si>
    <t>Lexus ES</t>
  </si>
  <si>
    <t>169º</t>
  </si>
  <si>
    <t>Jaguar F-Type</t>
  </si>
  <si>
    <t>171º</t>
  </si>
  <si>
    <t>CAOA Chery Tiggo 3X</t>
  </si>
  <si>
    <t>172º</t>
  </si>
  <si>
    <t>Mercedes-Benz Classe A</t>
  </si>
  <si>
    <t>173º</t>
  </si>
  <si>
    <t>Fiat 500</t>
  </si>
  <si>
    <t>176º</t>
  </si>
  <si>
    <t>Mini Hatch 5 portas</t>
  </si>
  <si>
    <t>175º</t>
  </si>
  <si>
    <t>Citroën Jumper</t>
  </si>
  <si>
    <t>174º</t>
  </si>
  <si>
    <t>Effa V25</t>
  </si>
  <si>
    <t>177º</t>
  </si>
  <si>
    <t>BYD T3</t>
  </si>
  <si>
    <t>178º</t>
  </si>
  <si>
    <t>Toyota Camry</t>
  </si>
  <si>
    <t>180º</t>
  </si>
  <si>
    <t>Mercedes-Benz GLC Coupé</t>
  </si>
  <si>
    <t>179º</t>
  </si>
  <si>
    <t>Toyota Corolla Hatch</t>
  </si>
  <si>
    <t>182º</t>
  </si>
  <si>
    <t>BMW Série 1</t>
  </si>
  <si>
    <t>181º</t>
  </si>
  <si>
    <t>McLaren Artura</t>
  </si>
  <si>
    <t>184º</t>
  </si>
  <si>
    <t>Chevrolet Camaro</t>
  </si>
  <si>
    <t>183º</t>
  </si>
  <si>
    <t>Audi RS 6 Avant</t>
  </si>
  <si>
    <t>185º</t>
  </si>
  <si>
    <t>Fiat Uno</t>
  </si>
  <si>
    <t>186º</t>
  </si>
  <si>
    <t>Mercedes-Benz GLE Coupé</t>
  </si>
  <si>
    <t>187º</t>
  </si>
  <si>
    <t>BYD Seal</t>
  </si>
  <si>
    <t>188º</t>
  </si>
  <si>
    <t>Kia Carnival</t>
  </si>
  <si>
    <t>189º</t>
  </si>
  <si>
    <t>JAC EJV5.5</t>
  </si>
  <si>
    <t>191º</t>
  </si>
  <si>
    <t>Mini Electric</t>
  </si>
  <si>
    <t>190º</t>
  </si>
  <si>
    <t>Jaguar E-Pace</t>
  </si>
  <si>
    <t>192º</t>
  </si>
  <si>
    <t>Mercedes-Benz Classe E</t>
  </si>
  <si>
    <t>194º</t>
  </si>
  <si>
    <t>Foton 1039</t>
  </si>
  <si>
    <t>193º</t>
  </si>
  <si>
    <t>Fiat Grand Siena</t>
  </si>
  <si>
    <t>195º</t>
  </si>
  <si>
    <t>Kia Cerato</t>
  </si>
  <si>
    <t>196º</t>
  </si>
  <si>
    <t>BMW i3</t>
  </si>
  <si>
    <t>198º</t>
  </si>
  <si>
    <t>JAC T40</t>
  </si>
  <si>
    <t>197º</t>
  </si>
  <si>
    <t>Hyundai ix35</t>
  </si>
  <si>
    <t>199º</t>
  </si>
  <si>
    <t>Jaguar I-Pace</t>
  </si>
  <si>
    <t>200º</t>
  </si>
  <si>
    <t>JAC iEV 330P</t>
  </si>
  <si>
    <t>204º</t>
  </si>
  <si>
    <t>Ford Ka</t>
  </si>
  <si>
    <t>203º</t>
  </si>
  <si>
    <t>Agrale Marruá</t>
  </si>
  <si>
    <t>202º</t>
  </si>
  <si>
    <t>Mitsubishi Outlander</t>
  </si>
  <si>
    <t>201º</t>
  </si>
  <si>
    <t>Peugeot e-2008</t>
  </si>
  <si>
    <t>206º</t>
  </si>
  <si>
    <t>JAC iEV750V</t>
  </si>
  <si>
    <t>205º</t>
  </si>
  <si>
    <t>BMW i4</t>
  </si>
  <si>
    <t>208º</t>
  </si>
  <si>
    <t>Audi e-tron Sportback</t>
  </si>
  <si>
    <t>207º</t>
  </si>
  <si>
    <t>Mercedes-Benz Classe S</t>
  </si>
  <si>
    <t>210º</t>
  </si>
  <si>
    <t>Aston Martin DBX</t>
  </si>
  <si>
    <t>209º</t>
  </si>
  <si>
    <t>Aston Martin Vantage</t>
  </si>
  <si>
    <t>211º</t>
  </si>
  <si>
    <t>Renault Kangoo</t>
  </si>
  <si>
    <t>213º</t>
  </si>
  <si>
    <t>Chevrolet Bolt EV</t>
  </si>
  <si>
    <t>212º</t>
  </si>
  <si>
    <t>Jeep Grand Cherokee</t>
  </si>
  <si>
    <t>222º</t>
  </si>
  <si>
    <t>Volkswagen Tiguan Allspace</t>
  </si>
  <si>
    <t>221º</t>
  </si>
  <si>
    <t>Volkswagen Fox</t>
  </si>
  <si>
    <t>220º</t>
  </si>
  <si>
    <t>Peugeot e-208</t>
  </si>
  <si>
    <t>219º</t>
  </si>
  <si>
    <t>Kia Sorento</t>
  </si>
  <si>
    <t>218º</t>
  </si>
  <si>
    <t>McLaren 756LT</t>
  </si>
  <si>
    <t>217º</t>
  </si>
  <si>
    <t>CAOA Chery Arrizo 5</t>
  </si>
  <si>
    <t>216º</t>
  </si>
  <si>
    <t>Audi Q8 Sportback</t>
  </si>
  <si>
    <t>215º</t>
  </si>
  <si>
    <t>Ferrari 296 GTB</t>
  </si>
  <si>
    <t>214º</t>
  </si>
  <si>
    <t>Fiat Doblò</t>
  </si>
  <si>
    <t>236º</t>
  </si>
  <si>
    <t>Honda CR-V</t>
  </si>
  <si>
    <t>235º</t>
  </si>
  <si>
    <t>Honda Accord</t>
  </si>
  <si>
    <t>234º</t>
  </si>
  <si>
    <t>Ford Ka Sedan</t>
  </si>
  <si>
    <t>233º</t>
  </si>
  <si>
    <t>Ford EcoSport</t>
  </si>
  <si>
    <t>232º</t>
  </si>
  <si>
    <t>Audi RS 5 Sportback</t>
  </si>
  <si>
    <t>231º</t>
  </si>
  <si>
    <t>BMW M2</t>
  </si>
  <si>
    <t>230º</t>
  </si>
  <si>
    <t>Audi RS e-tron GT</t>
  </si>
  <si>
    <t>229º</t>
  </si>
  <si>
    <t>Audi RS Q8</t>
  </si>
  <si>
    <t>228º</t>
  </si>
  <si>
    <t>Lamborghini Urus</t>
  </si>
  <si>
    <t>227º</t>
  </si>
  <si>
    <t>McLaren GT</t>
  </si>
  <si>
    <t>226º</t>
  </si>
  <si>
    <t>JAC V260</t>
  </si>
  <si>
    <t>225º</t>
  </si>
  <si>
    <t>Mercedes-Benz EQB</t>
  </si>
  <si>
    <t>224º</t>
  </si>
  <si>
    <t>Mercedes-Benz EQA</t>
  </si>
  <si>
    <t>223º</t>
  </si>
  <si>
    <t>Mercedes-Benz GLS</t>
  </si>
  <si>
    <t>257º</t>
  </si>
  <si>
    <t>Mercedes-Benz EQC</t>
  </si>
  <si>
    <t>256º</t>
  </si>
  <si>
    <t>JAC IEV350T</t>
  </si>
  <si>
    <t>255º</t>
  </si>
  <si>
    <t>JAC T50</t>
  </si>
  <si>
    <t>254º</t>
  </si>
  <si>
    <t>Kia Telluride</t>
  </si>
  <si>
    <t>253º</t>
  </si>
  <si>
    <t>Maserati Levante</t>
  </si>
  <si>
    <t>252º</t>
  </si>
  <si>
    <t>McLaren 720S</t>
  </si>
  <si>
    <t>251º</t>
  </si>
  <si>
    <t>McLaren P1</t>
  </si>
  <si>
    <t>250º</t>
  </si>
  <si>
    <t>Kia Rio</t>
  </si>
  <si>
    <t>249º</t>
  </si>
  <si>
    <t>Lamborghini Huracan</t>
  </si>
  <si>
    <t>248º</t>
  </si>
  <si>
    <t>CAOA Chery Tiggo 2</t>
  </si>
  <si>
    <t>247º</t>
  </si>
  <si>
    <t>BMW Z4</t>
  </si>
  <si>
    <t>246º</t>
  </si>
  <si>
    <t>Aston Martin DBS</t>
  </si>
  <si>
    <t>245º</t>
  </si>
  <si>
    <t>Exeed LX</t>
  </si>
  <si>
    <t>244º</t>
  </si>
  <si>
    <t>Ferrari Roma</t>
  </si>
  <si>
    <t>243º</t>
  </si>
  <si>
    <t>Ferrari F8 Spider</t>
  </si>
  <si>
    <t>242º</t>
  </si>
  <si>
    <t>Ferrari 812 GTS</t>
  </si>
  <si>
    <t>241º</t>
  </si>
  <si>
    <t>Fiat Doblò Cargo</t>
  </si>
  <si>
    <t>240º</t>
  </si>
  <si>
    <t>Effa K02</t>
  </si>
  <si>
    <t>239º</t>
  </si>
  <si>
    <t>Honda WR-V</t>
  </si>
  <si>
    <t>238º</t>
  </si>
  <si>
    <t>Hyundai Santa Fe</t>
  </si>
  <si>
    <t>237º</t>
  </si>
  <si>
    <t>Foton Tunland</t>
  </si>
  <si>
    <t>Peugeot Partner</t>
  </si>
  <si>
    <t>Land Rover Range Rover Sport</t>
  </si>
  <si>
    <t>Honda Fit</t>
  </si>
  <si>
    <t>Renault Zoe</t>
  </si>
  <si>
    <t>JAC T60</t>
  </si>
  <si>
    <t>Mitsubishi Outlander Sport</t>
  </si>
  <si>
    <t>Volkswagen Fusca</t>
  </si>
  <si>
    <t>Hyundai HD 80</t>
  </si>
  <si>
    <t>Audi A6</t>
  </si>
  <si>
    <t>Audi RS Q3</t>
  </si>
  <si>
    <t>JAC iEV 20</t>
  </si>
  <si>
    <t>BMW X2</t>
  </si>
  <si>
    <t>Mercedes-Benz Classe A Sedan</t>
  </si>
  <si>
    <t>Effa K01</t>
  </si>
  <si>
    <t>Ferrari F8 Tributo</t>
  </si>
  <si>
    <t>Volvo S90</t>
  </si>
  <si>
    <t>BMW M8</t>
  </si>
  <si>
    <t>Ferrari S90 Spider</t>
  </si>
  <si>
    <t>Ford Focus</t>
  </si>
  <si>
    <t>Mitsubishi ASX</t>
  </si>
  <si>
    <t>Audi TT RS Coupé</t>
  </si>
  <si>
    <t>Ford Fiesta</t>
  </si>
  <si>
    <t>Porsche 918 Spyder</t>
  </si>
  <si>
    <t>Volvo S60</t>
  </si>
  <si>
    <t>McLaren Senna</t>
  </si>
  <si>
    <t>Ferrari 488 Pista</t>
  </si>
  <si>
    <t>Audi R8</t>
  </si>
  <si>
    <t>Ferrari SF90 Stradale</t>
  </si>
  <si>
    <t>Ford Edge</t>
  </si>
  <si>
    <t>Maserati MC20</t>
  </si>
  <si>
    <t>BMW Série 7</t>
  </si>
  <si>
    <t>BMW M5</t>
  </si>
  <si>
    <t>Audi A7 Sportback</t>
  </si>
  <si>
    <t>Ferrari Portofino</t>
  </si>
  <si>
    <t>Ford Fiesta Sedan</t>
  </si>
  <si>
    <t>Hyundai Azera</t>
  </si>
  <si>
    <t>Aston Martin DB 11</t>
  </si>
  <si>
    <t>Mercedes-Benz EQS</t>
  </si>
  <si>
    <t>258º</t>
  </si>
  <si>
    <t>259º</t>
  </si>
  <si>
    <t>260º</t>
  </si>
  <si>
    <t>261º</t>
  </si>
  <si>
    <t>262º</t>
  </si>
  <si>
    <t>Kia Stinger</t>
  </si>
  <si>
    <t>263º</t>
  </si>
  <si>
    <t>Mercedes-Benz Vito</t>
  </si>
  <si>
    <t>264º</t>
  </si>
  <si>
    <t>265º</t>
  </si>
  <si>
    <t>Lifan 530</t>
  </si>
  <si>
    <t>266º</t>
  </si>
  <si>
    <t>267º</t>
  </si>
  <si>
    <t>Lifan X80</t>
  </si>
  <si>
    <t>268º</t>
  </si>
  <si>
    <t>Ford Fusion</t>
  </si>
  <si>
    <t>269º</t>
  </si>
  <si>
    <t>270º</t>
  </si>
  <si>
    <t>Jaguar XE</t>
  </si>
  <si>
    <t>Nissan V-Drive</t>
  </si>
  <si>
    <t>Volkswagen up!</t>
  </si>
  <si>
    <t>Toyota Etios Sedã</t>
  </si>
  <si>
    <t>Troller T4</t>
  </si>
  <si>
    <t>Toyota Etios</t>
  </si>
  <si>
    <t>Citroën C4 Lounge</t>
  </si>
  <si>
    <t>Suzuki Vitara</t>
  </si>
  <si>
    <t>Mitsubishi Pajero Full</t>
  </si>
  <si>
    <t>BMW M1</t>
  </si>
  <si>
    <t>BMW Série 4</t>
  </si>
  <si>
    <t>Nissan March</t>
  </si>
  <si>
    <t>Suzuki S-Cross</t>
  </si>
  <si>
    <t>Mini Cabrio</t>
  </si>
  <si>
    <t>Citroën Aircross</t>
  </si>
  <si>
    <t>BMW X7</t>
  </si>
  <si>
    <t>Audi TTS Coupé</t>
  </si>
  <si>
    <t>BMW M4</t>
  </si>
  <si>
    <t>JAC T80</t>
  </si>
  <si>
    <t>Mini Clubman</t>
  </si>
  <si>
    <t>Chevrolet Prisma</t>
  </si>
  <si>
    <t>JAC iEV 40</t>
  </si>
  <si>
    <t>Audi RS 4 Avant</t>
  </si>
  <si>
    <t>Subaru WRX</t>
  </si>
  <si>
    <t>Volkswagen CrossFox</t>
  </si>
  <si>
    <t>BYD e5</t>
  </si>
  <si>
    <t>Fiat Palio</t>
  </si>
  <si>
    <t>Fiat Weekend</t>
  </si>
  <si>
    <t>Volkswagen Golf</t>
  </si>
  <si>
    <t>Lifan X60</t>
  </si>
  <si>
    <t>Subaru Outback</t>
  </si>
  <si>
    <t>Chevrolet Cobalt</t>
  </si>
  <si>
    <t>SsangYong Actyon Sports</t>
  </si>
  <si>
    <t>Citroën Berlingo</t>
  </si>
  <si>
    <t>Volkswagen SpaceFox</t>
  </si>
  <si>
    <t>Hyundai Elantra</t>
  </si>
  <si>
    <t>Exeed VX Lanyue</t>
  </si>
  <si>
    <t>Toyota Prius</t>
  </si>
  <si>
    <t>Lexus RX</t>
  </si>
  <si>
    <t>Audi RS 3 Sportback</t>
  </si>
  <si>
    <t>Mitsubishi Lancer</t>
  </si>
  <si>
    <t>Maserati Ghibli</t>
  </si>
  <si>
    <t>Kia Optima</t>
  </si>
  <si>
    <t>Ferrari 488 Pista Spider</t>
  </si>
  <si>
    <t>271º</t>
  </si>
  <si>
    <t>272º</t>
  </si>
  <si>
    <t>273º</t>
  </si>
  <si>
    <t>274º</t>
  </si>
  <si>
    <t>275º</t>
  </si>
  <si>
    <t>Peugeot 5008</t>
  </si>
  <si>
    <t>276º</t>
  </si>
  <si>
    <t>277º</t>
  </si>
  <si>
    <t>Rolls-Royce Cullinan</t>
  </si>
  <si>
    <t>278º</t>
  </si>
  <si>
    <t>BMW M6</t>
  </si>
  <si>
    <t>279º</t>
  </si>
  <si>
    <t>Kia Seltos</t>
  </si>
  <si>
    <t>280º</t>
  </si>
  <si>
    <t>281º</t>
  </si>
  <si>
    <t>SsangYong XLV</t>
  </si>
  <si>
    <t>282º</t>
  </si>
  <si>
    <t>Audi SQ5</t>
  </si>
  <si>
    <t>283º</t>
  </si>
  <si>
    <t>SsangYong Korando</t>
  </si>
  <si>
    <t>284º</t>
  </si>
  <si>
    <t>285º</t>
  </si>
  <si>
    <t>286º</t>
  </si>
  <si>
    <t>Kia Soul</t>
  </si>
  <si>
    <t>287º</t>
  </si>
  <si>
    <t>288º</t>
  </si>
  <si>
    <t>Lamborghini Huracan Spyder</t>
  </si>
  <si>
    <t>289º</t>
  </si>
  <si>
    <t>CAOA Chery QQ</t>
  </si>
  <si>
    <t>290º</t>
  </si>
  <si>
    <t>Ford Focus Fastback</t>
  </si>
  <si>
    <t>291º</t>
  </si>
  <si>
    <t>Kia EV6</t>
  </si>
  <si>
    <t>292º</t>
  </si>
  <si>
    <t>293º</t>
  </si>
  <si>
    <t>Volkswagen Passat</t>
  </si>
  <si>
    <t>294º</t>
  </si>
  <si>
    <t>Mercedes-Benz SLC</t>
  </si>
  <si>
    <t>295º</t>
  </si>
  <si>
    <t>Fiat Punto</t>
  </si>
  <si>
    <t>296º</t>
  </si>
  <si>
    <t>297º</t>
  </si>
  <si>
    <t>Ferrari GTC4Lusso T</t>
  </si>
  <si>
    <t>298º</t>
  </si>
  <si>
    <t>Lamborghini Aventador</t>
  </si>
  <si>
    <t>Audi A5</t>
  </si>
  <si>
    <t>Kia Grand Carnival</t>
  </si>
  <si>
    <t>Volvo V60</t>
  </si>
  <si>
    <t>Audi A4 Avant</t>
  </si>
  <si>
    <t>Dodge Journey</t>
  </si>
  <si>
    <t>Jeep Cherokee</t>
  </si>
  <si>
    <t>Mercedes-Benz CLS</t>
  </si>
  <si>
    <t>Lexus CT</t>
  </si>
  <si>
    <t>Jaguar XF</t>
  </si>
  <si>
    <t>BMW i8</t>
  </si>
  <si>
    <t>BMW Série 8 Coupé</t>
  </si>
  <si>
    <t>Volvo V40</t>
  </si>
  <si>
    <t>Jaguar XJ</t>
  </si>
  <si>
    <t>BMW Série 2 Active Tourer</t>
  </si>
  <si>
    <t>Kia Cadenza</t>
  </si>
  <si>
    <t>Peugeot 408</t>
  </si>
  <si>
    <t>SsangYong Rexton</t>
  </si>
  <si>
    <t>Lifan Foison</t>
  </si>
  <si>
    <t>Maserati Gran Turismo</t>
  </si>
  <si>
    <t>Ferrari 812 Superfast</t>
  </si>
  <si>
    <t>Dodge Durango</t>
  </si>
  <si>
    <t>Peugeot 308</t>
  </si>
  <si>
    <t>SsangYong Actyon</t>
  </si>
  <si>
    <t>Ferrari 488 Spider</t>
  </si>
  <si>
    <t>Rolls-Royce Phantom</t>
  </si>
  <si>
    <t>Ferrari F12berlinetta</t>
  </si>
  <si>
    <t>JAC J3</t>
  </si>
  <si>
    <t>Audi S3 Sportback</t>
  </si>
  <si>
    <t>Kia Picanto</t>
  </si>
  <si>
    <t>JAC iEV 60</t>
  </si>
  <si>
    <t>JAC T6</t>
  </si>
  <si>
    <t>299º</t>
  </si>
  <si>
    <t>CAOA Chery Arrizo 5e</t>
  </si>
  <si>
    <t>Volkswagen Golf Variant</t>
  </si>
  <si>
    <t>Mitsubishi Pajero HPE</t>
  </si>
  <si>
    <t>Citroën C4 Picasso</t>
  </si>
  <si>
    <t>Audi TT Coupé</t>
  </si>
  <si>
    <t>Renault Fluence</t>
  </si>
  <si>
    <t>Hyundai Tucson</t>
  </si>
  <si>
    <t>Nissan X-Trail</t>
  </si>
  <si>
    <t>SsangYong Tivoli</t>
  </si>
  <si>
    <t>Mitsubishi Pajero Full 3D</t>
  </si>
  <si>
    <t>Hafei Towner Pick-up</t>
  </si>
  <si>
    <t>Chrysler 300</t>
  </si>
  <si>
    <t>Bentley Continental GT</t>
  </si>
  <si>
    <t>Audi A1</t>
  </si>
  <si>
    <t>Shineray T20</t>
  </si>
  <si>
    <t>TAC Stark</t>
  </si>
  <si>
    <t>Ferrari California</t>
  </si>
  <si>
    <t>Jinbei Topic Passageiro</t>
  </si>
  <si>
    <t>Maserati GranCabrio</t>
  </si>
  <si>
    <t>Kia K900</t>
  </si>
  <si>
    <t>Hafei Towner Furgão</t>
  </si>
  <si>
    <t>Rolls-Royce Wraith</t>
  </si>
  <si>
    <t>Geely GC2</t>
  </si>
  <si>
    <t>Bentley Flying Spur</t>
  </si>
  <si>
    <t>Shineray T22</t>
  </si>
  <si>
    <t>Hyundai Genesis</t>
  </si>
  <si>
    <t>300º</t>
  </si>
  <si>
    <t>Volkswagen Touareg</t>
  </si>
  <si>
    <t>301º</t>
  </si>
  <si>
    <t>302º</t>
  </si>
  <si>
    <t>Ferrari 488 GTB</t>
  </si>
  <si>
    <t>303º</t>
  </si>
  <si>
    <t>304º</t>
  </si>
  <si>
    <t>305º</t>
  </si>
  <si>
    <t>Kia Mohave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</si>
  <si>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</si>
  <si>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</si>
  <si>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</si>
  <si>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</si>
  <si>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</si>
  <si>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</si>
  <si>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</si>
  <si>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</si>
  <si>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</si>
  <si>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</si>
  <si>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</si>
  <si>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</si>
  <si>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Volkswagen Tiguan</t>
  </si>
  <si>
    <t>CAOA Chery Celer</t>
  </si>
  <si>
    <t>Mercedes-Benz Classe B</t>
  </si>
  <si>
    <t>CAOA Chery Celer Sedan</t>
  </si>
  <si>
    <t>JAC T8</t>
  </si>
  <si>
    <t>Citroën Grand C4 Picasso</t>
  </si>
  <si>
    <t>Rely Pick-up</t>
  </si>
  <si>
    <t>Citroën DS 5</t>
  </si>
  <si>
    <t>Hyundai i30</t>
  </si>
  <si>
    <t>JAC J6</t>
  </si>
  <si>
    <t>BYD e6</t>
  </si>
  <si>
    <t>Subaru Legacy</t>
  </si>
  <si>
    <t>JAC J5</t>
  </si>
  <si>
    <t>McLaren 570S Spider</t>
  </si>
  <si>
    <t>Maserati Quattroporte</t>
  </si>
  <si>
    <t>Tesla Model X</t>
  </si>
  <si>
    <t>Effa Start Picape</t>
  </si>
  <si>
    <t>Geely EC7</t>
  </si>
  <si>
    <t>Mercedes-Benz AMG GT</t>
  </si>
  <si>
    <t>Audi A8</t>
  </si>
  <si>
    <t>Lifan X70</t>
  </si>
  <si>
    <t>McLaren 570S</t>
  </si>
  <si>
    <t>Mercedes-Benz SL</t>
  </si>
  <si>
    <t>Renault Alaskan</t>
  </si>
  <si>
    <t>Ferrari 458</t>
  </si>
  <si>
    <t>McLaren 570GT</t>
  </si>
  <si>
    <t>Tesla Model 3</t>
  </si>
  <si>
    <t>306º</t>
  </si>
  <si>
    <t>307º</t>
  </si>
  <si>
    <t>Effa M100</t>
  </si>
  <si>
    <t>308º</t>
  </si>
  <si>
    <t>McLaren 540C</t>
  </si>
  <si>
    <t>309º</t>
  </si>
  <si>
    <t>Tesla Model S</t>
  </si>
  <si>
    <t>310º</t>
  </si>
  <si>
    <t>311º</t>
  </si>
  <si>
    <t>Mini One</t>
  </si>
  <si>
    <t>312º</t>
  </si>
  <si>
    <t>Changan Star Family</t>
  </si>
  <si>
    <t>313º</t>
  </si>
  <si>
    <t>BMW Série 6 Gran Coupé</t>
  </si>
  <si>
    <t>314º</t>
  </si>
  <si>
    <t>Rolls-Royce Ghost</t>
  </si>
  <si>
    <t>315º</t>
  </si>
  <si>
    <t>316º</t>
  </si>
  <si>
    <t>Ferrari FF</t>
  </si>
  <si>
    <t>JAC J3 Turin</t>
  </si>
  <si>
    <t>Chevrolet Captiva</t>
  </si>
  <si>
    <t>Volkswagen Space Cross</t>
  </si>
  <si>
    <t>Fiat Idea</t>
  </si>
  <si>
    <t>Fiat Bravo</t>
  </si>
  <si>
    <t>Renault Clio</t>
  </si>
  <si>
    <t>Chevrolet Classic</t>
  </si>
  <si>
    <t>CAOA Chery Tiggo</t>
  </si>
  <si>
    <t>Suzuki Swift</t>
  </si>
  <si>
    <t>Fiat Linea</t>
  </si>
  <si>
    <t>Suzuki Grand Vitara</t>
  </si>
  <si>
    <t>Citroën DS 3</t>
  </si>
  <si>
    <t>Fiat Freemont</t>
  </si>
  <si>
    <t>BMW M235i</t>
  </si>
  <si>
    <t>Subaru Impreza</t>
  </si>
  <si>
    <t>Chevrolet Celta</t>
  </si>
  <si>
    <t>JAC J2</t>
  </si>
  <si>
    <t>Kia Quoris</t>
  </si>
  <si>
    <t>Hafei Towner Passageiro</t>
  </si>
  <si>
    <t>Changan Star CS</t>
  </si>
  <si>
    <t>Volkswagen CC</t>
  </si>
  <si>
    <t>SsangYong Kyron</t>
  </si>
  <si>
    <t>Chrysler Town &amp; Country</t>
  </si>
  <si>
    <t>Nissan Altima</t>
  </si>
  <si>
    <t>Smart ForTwo</t>
  </si>
  <si>
    <t>Changan Mini Star CS</t>
  </si>
  <si>
    <t>Peugeot RCZ</t>
  </si>
  <si>
    <t>Fiat Siena</t>
  </si>
  <si>
    <t>Shineray A9</t>
  </si>
  <si>
    <t>Citroën C3 Picasso</t>
  </si>
  <si>
    <t>Shineray A9 Cargo</t>
  </si>
  <si>
    <t>Citroën DS 4</t>
  </si>
  <si>
    <t>Hyundai Equus</t>
  </si>
  <si>
    <t>Mini Paceman</t>
  </si>
  <si>
    <t>Ferrari F12TDF</t>
  </si>
  <si>
    <t>JAC T140</t>
  </si>
  <si>
    <t>Lexus IS</t>
  </si>
  <si>
    <t>Aston Martin V8 Vantage</t>
  </si>
  <si>
    <t>Volkswagen Polo Sedan</t>
  </si>
  <si>
    <t>Nissan Livina</t>
  </si>
  <si>
    <t>Suzuki SX4</t>
  </si>
  <si>
    <t>CAOA Chery Face</t>
  </si>
  <si>
    <t>Nissan Grand Livina</t>
  </si>
  <si>
    <t>Land Rover Freelander</t>
  </si>
  <si>
    <t>Volkswagen Kombi</t>
  </si>
  <si>
    <t>Mitsubishi Pajero TR4</t>
  </si>
  <si>
    <t>Peugeot 207</t>
  </si>
  <si>
    <t>Chevrolet Sonic</t>
  </si>
  <si>
    <t>Mahindra Pik Up</t>
  </si>
  <si>
    <t>Chevrolet Agile</t>
  </si>
  <si>
    <t>Mahindra Jipe</t>
  </si>
  <si>
    <t>Chevrolet Sonic Sedan</t>
  </si>
  <si>
    <t>Hyundai Veloster</t>
  </si>
  <si>
    <t>Hyundai Sonata</t>
  </si>
  <si>
    <t>Jaguar XK</t>
  </si>
  <si>
    <t>Effa Plutus</t>
  </si>
  <si>
    <t>Citroën C4 Hatch</t>
  </si>
  <si>
    <t>Chevrolet Malibu</t>
  </si>
  <si>
    <t>Kia Carens</t>
  </si>
  <si>
    <t>Mini Roadster</t>
  </si>
  <si>
    <t>Changan Star Utility</t>
  </si>
  <si>
    <t>Lexus LS</t>
  </si>
  <si>
    <t>BMW Série 6 Coupé</t>
  </si>
  <si>
    <t>Lamborghini Gallardo</t>
  </si>
  <si>
    <t>Mercedes-Benz Classe G</t>
  </si>
  <si>
    <t>Volkswagen Jetta Variant</t>
  </si>
  <si>
    <t>Lifan 320</t>
  </si>
  <si>
    <t>Aston Martin Rapide</t>
  </si>
  <si>
    <t>317º</t>
  </si>
  <si>
    <t>318º</t>
  </si>
  <si>
    <t>319º</t>
  </si>
  <si>
    <t>Lifan 620</t>
  </si>
  <si>
    <t>320º</t>
  </si>
  <si>
    <t>Peugeot 207 Passion</t>
  </si>
  <si>
    <t>Peugeot Hoggar</t>
  </si>
  <si>
    <t>Peugeot 508</t>
  </si>
  <si>
    <t>CAOA Chery S-18</t>
  </si>
  <si>
    <t>Citroën C4 Pallas</t>
  </si>
  <si>
    <t>Mini Coupé</t>
  </si>
  <si>
    <t>CAOA Chery Cielo hatch</t>
  </si>
  <si>
    <t>Nissan Tiida</t>
  </si>
  <si>
    <t>Mercedes-Benz SLS AMG</t>
  </si>
  <si>
    <t>CAOA Chery Cielo Sedan</t>
  </si>
  <si>
    <t>Hyundai Veracruz</t>
  </si>
  <si>
    <t>Aston Martin DB9</t>
  </si>
  <si>
    <t>Aston Martin Virage</t>
  </si>
  <si>
    <t>Volvo 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</si>
</sst>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0" fontId="4" fillId="0" borderId="0" xfId="0" applyFont="1"/>
    <xf numFmtId="3" fontId="4" fillId="0" borderId="0" xfId="0" applyNumberFormat="1" applyFont="1"/>
    <xf numFmtId="0" fontId="4" fillId="2" borderId="1" xfId="0" applyFont="1" applyFill="1" applyBorder="1"/>
    <xf numFmtId="3" fontId="4" fillId="2" borderId="1" xfId="0" applyNumberFormat="1" applyFont="1" applyFill="1" applyBorder="1"/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174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238E804-8768-48E1-90A6-75610DF0C952}" name="Tabela3239101112" displayName="Tabela3239101112" ref="A1:B77" totalsRowShown="0" headerRowDxfId="173" dataDxfId="172">
  <autoFilter ref="A1:B77" xr:uid="{318EB8EA-2862-4841-B1B5-C87289A15594}"/>
  <tableColumns count="2">
    <tableColumn id="1" xr3:uid="{CE9B8A2C-3938-4EC5-BF39-BA01D2787F79}" name="Posição" dataDxfId="171"/>
    <tableColumn id="2" xr3:uid="{E5EF2B1E-FEA9-42D1-962A-77F279701AFF}" name="Marca/Veículo" dataDxfId="170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D5D2F1-FB32-4B93-98C1-4E63B8C04030}" name="Tabela32391011" displayName="Tabela32391011" ref="A1:O327" totalsRowShown="0" headerRowDxfId="169" dataDxfId="168">
  <autoFilter ref="A1:O327" xr:uid="{318EB8EA-2862-4841-B1B5-C87289A15594}"/>
  <tableColumns count="15">
    <tableColumn id="1" xr3:uid="{A300B0E7-C4F0-4A58-94E5-CFC83CA2E41A}" name="Posição" dataDxfId="167"/>
    <tableColumn id="2" xr3:uid="{F7AFE7FE-8018-41EE-BB2B-23D0583281B9}" name="Marca/Veículo" dataDxfId="166"/>
    <tableColumn id="3" xr3:uid="{D01DFF67-D8F4-4DC6-AF67-AAA42ECD1A7A}" name="jan/23" dataDxfId="165"/>
    <tableColumn id="4" xr3:uid="{3F9A750F-DD68-4183-93EC-17C1A549A7EE}" name="fev/23" dataDxfId="164"/>
    <tableColumn id="5" xr3:uid="{8E2BF832-204C-4C5C-B770-C404453806D4}" name="mar/23" dataDxfId="163"/>
    <tableColumn id="6" xr3:uid="{916566BB-8D14-4769-AE13-14C8B40C514F}" name="abr/23" dataDxfId="162"/>
    <tableColumn id="7" xr3:uid="{A9F1301E-6C26-4FB3-806B-CDA3F42042C7}" name="mai/23" dataDxfId="161"/>
    <tableColumn id="8" xr3:uid="{876273B0-66EF-4277-BBE3-17207B92F2B5}" name="jun/23" dataDxfId="160"/>
    <tableColumn id="9" xr3:uid="{A5078E07-4752-466E-B176-2BFE6BA5F24C}" name="jul/23" dataDxfId="159"/>
    <tableColumn id="10" xr3:uid="{2F976380-0B24-4AAD-A695-E8F7D5BECC23}" name="ago/23" dataDxfId="158"/>
    <tableColumn id="11" xr3:uid="{DE11D79F-271E-4AC3-AB2B-4AE1A6ADF0B2}" name="set/23" dataDxfId="157"/>
    <tableColumn id="12" xr3:uid="{00D525E9-0BE6-41DE-B07F-D741B73D8395}" name="out/23" dataDxfId="156"/>
    <tableColumn id="13" xr3:uid="{C67251A5-98CD-492A-ADEE-29F7397F0F66}" name="nov/23" dataDxfId="155"/>
    <tableColumn id="14" xr3:uid="{136F026C-870E-4A74-9769-D0DDC4BACB69}" name="dez/23" dataDxfId="154"/>
    <tableColumn id="15" xr3:uid="{BE42E9D4-7788-4478-9DEF-A2C4C4291AB3}" name="TOTAL" dataDxfId="153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CB559F-9485-444C-B85E-72A3E8DE9CE8}" name="Tabela323910" displayName="Tabela323910" ref="A1:O327" totalsRowShown="0" headerRowDxfId="152" dataDxfId="151">
  <autoFilter ref="A1:O327" xr:uid="{318EB8EA-2862-4841-B1B5-C87289A15594}"/>
  <tableColumns count="15">
    <tableColumn id="1" xr3:uid="{23A55AC4-A8BB-47E5-95FB-4ABF88CE456B}" name="Posição" dataDxfId="150"/>
    <tableColumn id="2" xr3:uid="{246C2F4C-15DB-4371-A367-1249E764968B}" name="Marca/Veículo" dataDxfId="149"/>
    <tableColumn id="3" xr3:uid="{E90E651E-8A9C-481D-B934-B452A766CD00}" name="jan/23" dataDxfId="148"/>
    <tableColumn id="4" xr3:uid="{2D7944E9-CE12-4F90-8CFF-8FCDDD2C2474}" name="fev/23" dataDxfId="147"/>
    <tableColumn id="5" xr3:uid="{BC00EB1C-166F-4273-8187-E6FB8F82CADA}" name="mar/23" dataDxfId="146"/>
    <tableColumn id="6" xr3:uid="{25F9C55D-B589-47B9-834C-2BB2B8527EED}" name="abr/23" dataDxfId="145"/>
    <tableColumn id="7" xr3:uid="{71A40D41-A12D-468E-993C-0EB3959A7F6C}" name="mai/23" dataDxfId="144"/>
    <tableColumn id="8" xr3:uid="{D5AF81E1-3823-437D-BB54-DD61960C8821}" name="jun/23" dataDxfId="143"/>
    <tableColumn id="9" xr3:uid="{06F20CDA-D2E3-4CF8-9A1F-E6D1A451EEA2}" name="jul/23" dataDxfId="142"/>
    <tableColumn id="10" xr3:uid="{6BD31D77-477B-4BF2-B74B-A2E874E61568}" name="ago/23" dataDxfId="141"/>
    <tableColumn id="11" xr3:uid="{BC566642-F14D-4031-8C75-F4692E00A45B}" name="set/23" dataDxfId="140"/>
    <tableColumn id="12" xr3:uid="{8425D689-2E74-452C-BAC4-32FF48C559BB}" name="out/23" dataDxfId="139"/>
    <tableColumn id="13" xr3:uid="{D7178085-CAEF-410A-B5DE-5C34ED33270B}" name="nov/23" dataDxfId="138"/>
    <tableColumn id="14" xr3:uid="{F11E9A21-A688-44F1-A4DA-E3320DD77A25}" name="dez/23" dataDxfId="137"/>
    <tableColumn id="15" xr3:uid="{13EA5963-3DAD-458E-B40F-EC992D888DAA}" name="TOTAL" dataDxfId="136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CF609F-9789-4AEA-B5AE-36D0D74824E2}" name="Tabela3239" displayName="Tabela3239" ref="A1:O320" totalsRowShown="0" headerRowDxfId="135" dataDxfId="134">
  <autoFilter ref="A1:O320" xr:uid="{318EB8EA-2862-4841-B1B5-C87289A15594}"/>
  <tableColumns count="15">
    <tableColumn id="1" xr3:uid="{7AB3C8C4-4DA2-4A7B-B2A5-F9D8498FBC49}" name="Posição" dataDxfId="133"/>
    <tableColumn id="2" xr3:uid="{6712FF5E-8CE3-4C14-AB0F-16CEAF0836DE}" name="Marca/Veículo" dataDxfId="132"/>
    <tableColumn id="3" xr3:uid="{9EB11ABB-BBCD-4A74-AAA8-0DBAC3CA80DC}" name="jan/23" dataDxfId="131"/>
    <tableColumn id="4" xr3:uid="{5220C262-784D-493F-B490-3662FA160D82}" name="fev/23" dataDxfId="130"/>
    <tableColumn id="5" xr3:uid="{5F835DBC-0E9A-4A62-B346-3C82D7C28B02}" name="mar/23" dataDxfId="129"/>
    <tableColumn id="6" xr3:uid="{13F21F52-4796-4337-89AA-55DCEF3D3E05}" name="abr/23" dataDxfId="128"/>
    <tableColumn id="7" xr3:uid="{72C9C1DD-463A-4463-A3DC-4F9284C2909A}" name="mai/23" dataDxfId="127"/>
    <tableColumn id="8" xr3:uid="{FE409C11-F1A2-41A2-80BD-095D359A3C33}" name="jun/23" dataDxfId="126"/>
    <tableColumn id="9" xr3:uid="{A1716230-FF45-4C8F-9E74-ED45C06A6A49}" name="jul/23" dataDxfId="125"/>
    <tableColumn id="10" xr3:uid="{CD1E460F-6BC7-4BF1-B538-FEC03DD0E5CE}" name="ago/23" dataDxfId="124"/>
    <tableColumn id="11" xr3:uid="{0F7F9E30-D880-41AC-914D-8A78FE2512C6}" name="set/23" dataDxfId="123"/>
    <tableColumn id="12" xr3:uid="{B583B70D-BCD0-4206-AAF5-7CFB848D2C96}" name="out/23" dataDxfId="122"/>
    <tableColumn id="13" xr3:uid="{37418A07-BD0E-4B9B-BED0-5FD0A1E2EF75}" name="nov/23" dataDxfId="121"/>
    <tableColumn id="14" xr3:uid="{1487BC67-C000-4BD7-B82C-DDF2A96702F7}" name="dez/23" dataDxfId="120"/>
    <tableColumn id="15" xr3:uid="{C632F18A-73F8-4D31-A9DC-DDF14DF2D7F2}" name="TOTAL" dataDxfId="119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4CD92B-9F03-4659-8ECD-AB0BFD800D41}" name="Tabela323" displayName="Tabela323" ref="A1:O320" totalsRowShown="0" headerRowDxfId="118" dataDxfId="117">
  <autoFilter ref="A1:O320" xr:uid="{318EB8EA-2862-4841-B1B5-C87289A15594}"/>
  <tableColumns count="15">
    <tableColumn id="1" xr3:uid="{CB9AAFBA-F6FD-4425-9F4E-4C5D8EA996CC}" name="Posição" dataDxfId="116"/>
    <tableColumn id="2" xr3:uid="{3F5B5334-03DA-4C40-8C5D-017D9A1120B6}" name="Marca/Veículo" dataDxfId="115"/>
    <tableColumn id="3" xr3:uid="{F8E0709D-3749-433D-A6F9-90D563875A49}" name="jan/23" dataDxfId="114"/>
    <tableColumn id="4" xr3:uid="{9590E4B2-B8C4-466A-9F8E-443AF93C8038}" name="fev/23" dataDxfId="113"/>
    <tableColumn id="5" xr3:uid="{9A3D44B4-8723-4F79-A9C2-58255E077BB3}" name="mar/23" dataDxfId="112"/>
    <tableColumn id="6" xr3:uid="{7439EE8A-6C2D-4C04-BE69-E62485E52671}" name="abr/23" dataDxfId="111"/>
    <tableColumn id="7" xr3:uid="{1A2EF6AE-FB31-4102-BC71-98149D4728FE}" name="mai/23" dataDxfId="110"/>
    <tableColumn id="8" xr3:uid="{9D4B0E48-E94E-4EEE-92A6-4B6F4B42AECD}" name="jun/23" dataDxfId="109"/>
    <tableColumn id="9" xr3:uid="{7E47744A-DC85-4B5F-914C-B19F23396E08}" name="jul/23" dataDxfId="108"/>
    <tableColumn id="10" xr3:uid="{0A092145-A6B2-417C-A867-C6B3A0F04245}" name="ago/23" dataDxfId="107"/>
    <tableColumn id="11" xr3:uid="{CBB82B7E-F226-4097-94FA-562556701615}" name="set/23" dataDxfId="106"/>
    <tableColumn id="12" xr3:uid="{1DE18699-313A-4E33-940C-13609E44A183}" name="out/23" dataDxfId="105"/>
    <tableColumn id="13" xr3:uid="{ADE11E2F-FC3B-4214-9514-92726D701B1F}" name="nov/23" dataDxfId="104"/>
    <tableColumn id="14" xr3:uid="{2E30EFBD-603F-401F-8D2B-9DB12311D34F}" name="dez/23" dataDxfId="103"/>
    <tableColumn id="15" xr3:uid="{99B248E4-53B8-4328-91D9-D53A463A5F8B}" name="TOTAL" dataDxfId="102"/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CE57A-9D11-4233-8FCA-D50793623092}" name="Tabela32" displayName="Tabela32" ref="A1:O321" totalsRowShown="0" headerRowDxfId="101" dataDxfId="100">
  <autoFilter ref="A1:O321" xr:uid="{318EB8EA-2862-4841-B1B5-C87289A15594}"/>
  <tableColumns count="15">
    <tableColumn id="1" xr3:uid="{AF7E3E97-A954-48F4-8AAC-81B36DCFF019}" name="Posição" dataDxfId="99"/>
    <tableColumn id="2" xr3:uid="{4E327FF6-D047-4FFE-AEAC-235B7252EE50}" name="Marca/Veículo" dataDxfId="98"/>
    <tableColumn id="3" xr3:uid="{B59D987D-7245-400A-BD17-8955D2230129}" name="jan/23" dataDxfId="97"/>
    <tableColumn id="4" xr3:uid="{997AC3A8-D054-47EC-A642-8E9BE08A99A9}" name="fev/23" dataDxfId="96"/>
    <tableColumn id="5" xr3:uid="{829BF854-CCA7-428C-B8ED-DE3A0E41F2AF}" name="mar/23" dataDxfId="95"/>
    <tableColumn id="6" xr3:uid="{D7C6347A-36AA-4F7D-85E0-F468EF4CB058}" name="abr/23" dataDxfId="94"/>
    <tableColumn id="7" xr3:uid="{A5388682-067A-4C78-B0D2-47D574DCF969}" name="mai/23" dataDxfId="93"/>
    <tableColumn id="8" xr3:uid="{75A062C2-1A96-46E2-9A68-89B5938252E3}" name="jun/23" dataDxfId="92"/>
    <tableColumn id="9" xr3:uid="{ADA86F7F-7903-4D6C-91A5-A775037CE867}" name="jul/23" dataDxfId="91"/>
    <tableColumn id="10" xr3:uid="{96BD8827-EC13-4682-B3F0-A74008D0E6F8}" name="ago/23" dataDxfId="90"/>
    <tableColumn id="11" xr3:uid="{512E9C5D-DFAF-4251-8B30-99924466AA6E}" name="set/23" dataDxfId="89"/>
    <tableColumn id="12" xr3:uid="{C7B46543-55E2-4D7A-BF3C-E0A0B0A2C013}" name="out/23" dataDxfId="88"/>
    <tableColumn id="13" xr3:uid="{6AD6457C-B86A-467D-8C80-352D64F73143}" name="nov/23" dataDxfId="87"/>
    <tableColumn id="14" xr3:uid="{3E2C695F-6586-44D8-97CA-75AEA8965B34}" name="dez/23" dataDxfId="86"/>
    <tableColumn id="15" xr3:uid="{6727E6AF-A7DD-4C08-A063-C097E4BF2302}" name="TOTAL" dataDxfId="85"/>
  </tableColumns>
  <tableStyleInfo name="TableStyleLight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8EB8EA-2862-4841-B1B5-C87289A15594}" name="Tabela3" displayName="Tabela3" ref="A1:O306" totalsRowShown="0" headerRowDxfId="84" dataDxfId="83">
  <autoFilter ref="A1:O306" xr:uid="{318EB8EA-2862-4841-B1B5-C87289A15594}"/>
  <tableColumns count="15">
    <tableColumn id="1" xr3:uid="{673FE580-F761-44F4-B034-8713B54FFEF8}" name="Posição" dataDxfId="82"/>
    <tableColumn id="2" xr3:uid="{A3FA0D55-47A5-4409-B3B3-A783E4FDCC5E}" name="Marca/Veículo" dataDxfId="81"/>
    <tableColumn id="3" xr3:uid="{8C35EA12-C0AD-40E4-89DC-925A9746B91E}" name="jan/23" dataDxfId="80"/>
    <tableColumn id="4" xr3:uid="{9A970102-0E43-4673-90CD-1CE2F0A79485}" name="fev/23" dataDxfId="79"/>
    <tableColumn id="5" xr3:uid="{98DB3AF4-0352-4170-AFC0-0969B3C7996F}" name="mar/23" dataDxfId="78"/>
    <tableColumn id="6" xr3:uid="{B358DB08-D705-4AC0-8955-3746D3141AD3}" name="abr/23" dataDxfId="77"/>
    <tableColumn id="7" xr3:uid="{1FC8E059-E255-4588-9717-4589818D49CF}" name="mai/23" dataDxfId="76"/>
    <tableColumn id="8" xr3:uid="{38242770-1F9D-4099-AC13-95869299A497}" name="jun/23" dataDxfId="75"/>
    <tableColumn id="9" xr3:uid="{0FCF48D1-F11F-40E6-AFC9-BE3CBD86E116}" name="jul/23" dataDxfId="74"/>
    <tableColumn id="10" xr3:uid="{52009A0A-027A-43D7-A2AA-DEBCCCE2B6F6}" name="ago/23" dataDxfId="73"/>
    <tableColumn id="11" xr3:uid="{86DA40C4-9F9A-44E2-A52B-4BD2860E7785}" name="set/23" dataDxfId="72"/>
    <tableColumn id="12" xr3:uid="{EBCA0775-7955-4887-97AF-2BA1CDA3B161}" name="out/23" dataDxfId="71"/>
    <tableColumn id="13" xr3:uid="{6452E3AC-390E-479C-B16B-28091EA1F574}" name="nov/23" dataDxfId="70"/>
    <tableColumn id="14" xr3:uid="{63F4F204-95D9-4CA0-AF18-43395D6A36A4}" name="dez/23" dataDxfId="69"/>
    <tableColumn id="15" xr3:uid="{68647965-3804-48AB-B91C-FB3AA2B0E653}" name="TOTAL" dataDxfId="68">
      <calculatedColumnFormula>SUM(C2:N2)</calculatedColumnFormula>
    </tableColumn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281E70-F5BB-4A7D-967D-7E7DE6776A1F}" name="Tabela4" displayName="Tabela4" ref="A1:O300" totalsRowShown="0" headerRowDxfId="67" dataDxfId="66">
  <autoFilter ref="A1:O300" xr:uid="{2D281E70-F5BB-4A7D-967D-7E7DE6776A1F}"/>
  <tableColumns count="15">
    <tableColumn id="1" xr3:uid="{52865AF2-4BA3-474A-9ED4-A96C81D7E73A}" name="Posição" dataDxfId="65"/>
    <tableColumn id="2" xr3:uid="{3D954AF1-06D7-42E1-AD23-CFD017147CA3}" name="Marca/Veículo" dataDxfId="64"/>
    <tableColumn id="3" xr3:uid="{CE7BE58B-8678-4A4F-8027-C8F2AD87F696}" name="jan/23" dataDxfId="63"/>
    <tableColumn id="4" xr3:uid="{C98A519A-D239-4BBD-85F0-501E3C03D2F1}" name="fev/23" dataDxfId="62"/>
    <tableColumn id="5" xr3:uid="{D566DBB1-2146-4E6B-951D-CCBC4F90D692}" name="mar/23" dataDxfId="61"/>
    <tableColumn id="6" xr3:uid="{FF20AA8A-C8A5-40B1-9C1F-9AC9D635E496}" name="abr/23" dataDxfId="60"/>
    <tableColumn id="7" xr3:uid="{4B185EA1-4A6C-4D31-8DFC-82C5D98E7F5E}" name="mai/23" dataDxfId="59"/>
    <tableColumn id="8" xr3:uid="{974CCD5A-3239-441A-A510-5E677CED92C0}" name="jun/23" dataDxfId="58"/>
    <tableColumn id="9" xr3:uid="{F9E8F7C5-5EB8-4688-948B-EB940B732BB7}" name="jul/23" dataDxfId="57"/>
    <tableColumn id="10" xr3:uid="{2C2075DC-441C-4FC0-82ED-C9E0F25E3484}" name="ago/23" dataDxfId="56"/>
    <tableColumn id="11" xr3:uid="{7D1CF2A5-32FF-46A2-8044-0B0CD4085CF1}" name="set/23" dataDxfId="55"/>
    <tableColumn id="12" xr3:uid="{3E80A684-5718-4DC0-85C3-36E9E910369E}" name="out/23" dataDxfId="54"/>
    <tableColumn id="13" xr3:uid="{EDF7F809-FA58-419C-9860-F559BCE7E61B}" name="nov/23" dataDxfId="53"/>
    <tableColumn id="14" xr3:uid="{39354FF2-5AF1-4BDA-9E5C-6D01F3BAA7E7}" name="dez/23" dataDxfId="52"/>
    <tableColumn id="15" xr3:uid="{F8AA0671-577D-4C03-BE76-9A7D0B5616A2}" name="TOTAL" dataDxfId="51">
      <calculatedColumnFormula>SUM(C2:N2)</calculatedColumnFormula>
    </tableColumn>
  </tableColumns>
  <tableStyleInfo name="TableStyleLight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436157-1D7A-4D06-AFB0-BE0EB2C28E4C}" name="Tabela5" displayName="Tabela5" ref="A1:O300" totalsRowShown="0" headerRowDxfId="50" dataDxfId="49">
  <autoFilter ref="A1:O300" xr:uid="{91436157-1D7A-4D06-AFB0-BE0EB2C28E4C}"/>
  <tableColumns count="15">
    <tableColumn id="1" xr3:uid="{42211569-6E38-4295-BB77-F3C2427AD7B1}" name="Posição" dataDxfId="48"/>
    <tableColumn id="2" xr3:uid="{767A3F08-6385-457A-B3ED-69D8BC62AB18}" name="Marca/Veículo" dataDxfId="47"/>
    <tableColumn id="3" xr3:uid="{A785710C-C443-497E-A513-1D9DB8EBDF26}" name="jan/23" dataDxfId="46"/>
    <tableColumn id="4" xr3:uid="{0568D1C7-9C97-4027-8C7A-FB123B1F14EB}" name="fev/23" dataDxfId="45"/>
    <tableColumn id="5" xr3:uid="{3A45CCC8-5920-4298-9349-F8F5BD167165}" name="mar/23" dataDxfId="44"/>
    <tableColumn id="6" xr3:uid="{3C7823E5-A693-4455-B9B5-2976362A4CA2}" name="abr/23" dataDxfId="43"/>
    <tableColumn id="7" xr3:uid="{C7D48D3C-7DEB-4A9F-9D79-D0A34802FB58}" name="mai/23" dataDxfId="42"/>
    <tableColumn id="8" xr3:uid="{C7A40377-B382-407B-9193-A8A7C05D8861}" name="jun/23" dataDxfId="41"/>
    <tableColumn id="9" xr3:uid="{B5827BC9-CE5E-4FC3-94F0-14C05FBB722E}" name="jul/23" dataDxfId="40"/>
    <tableColumn id="10" xr3:uid="{97C63050-A76E-4BC8-A228-0D39398FE259}" name="ago/23" dataDxfId="39"/>
    <tableColumn id="11" xr3:uid="{40BBC396-DA70-4791-BDFC-0A6AAC86950A}" name="set/23" dataDxfId="38"/>
    <tableColumn id="12" xr3:uid="{231071DB-EF5E-4007-98F3-F70B02979BFA}" name="out/23" dataDxfId="37"/>
    <tableColumn id="13" xr3:uid="{AA3FABEB-ABFD-4756-8089-F906553F4B4E}" name="nov/23" dataDxfId="36"/>
    <tableColumn id="14" xr3:uid="{EA1D52D8-8A46-4693-9733-A5F1099A2706}" name="dez/23" dataDxfId="35"/>
    <tableColumn id="15" xr3:uid="{2E8A04CD-C497-441D-9BAC-03C8DDFEE368}" name="TOTAL" dataDxfId="34">
      <calculatedColumnFormula>SUM(C2:N2)</calculatedColumnFormula>
    </tableColumn>
  </tableColumns>
  <tableStyleInfo name="TableStyleLight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B7C9DC-2003-4215-A102-7C7A2F37854E}" name="Tabela6" displayName="Tabela6" ref="A1:O271" totalsRowShown="0" headerRowDxfId="33" dataDxfId="32">
  <autoFilter ref="A1:O271" xr:uid="{BAB7C9DC-2003-4215-A102-7C7A2F37854E}"/>
  <tableColumns count="15">
    <tableColumn id="1" xr3:uid="{878B9155-0B00-431F-88FE-E3D85B7DBF26}" name="Posição" dataDxfId="31"/>
    <tableColumn id="2" xr3:uid="{371D6DDC-9F14-4618-912C-54494065AAE5}" name="Marca/Veículo" dataDxfId="30"/>
    <tableColumn id="3" xr3:uid="{BBDDB17E-2CF8-4982-AF76-233648CF877D}" name="jan/23" dataDxfId="29"/>
    <tableColumn id="4" xr3:uid="{41C51697-F1A8-48A8-A4CF-018BD1155CDF}" name="fev/23" dataDxfId="28"/>
    <tableColumn id="5" xr3:uid="{561B7AAE-119C-4F1E-A17E-CAC8A4F5F83B}" name="mar/23" dataDxfId="27"/>
    <tableColumn id="6" xr3:uid="{E016DB87-14F7-48B1-8A96-D9FCD858B4C8}" name="abr/23" dataDxfId="26"/>
    <tableColumn id="7" xr3:uid="{CF0512CB-695C-4CCA-80B7-D6C060965804}" name="mai/23" dataDxfId="25"/>
    <tableColumn id="8" xr3:uid="{61019975-D98B-4CC0-87B9-BDB06BF9B585}" name="jun/23" dataDxfId="24"/>
    <tableColumn id="9" xr3:uid="{936D6C46-2F61-4734-85DE-16D8E713EB0D}" name="jul/23" dataDxfId="23"/>
    <tableColumn id="10" xr3:uid="{D15E1798-CD85-4F6D-982B-BC58F5EE917B}" name="ago/23" dataDxfId="22"/>
    <tableColumn id="11" xr3:uid="{41E34A3C-C1FE-442B-967D-4B85D66385F3}" name="set/23" dataDxfId="21"/>
    <tableColumn id="12" xr3:uid="{0FEEE388-B644-4B4E-A9BB-F8359F1299D9}" name="out/23" dataDxfId="20"/>
    <tableColumn id="13" xr3:uid="{E167626F-A444-448C-AE96-E42BF10FEAB5}" name="nov/23" dataDxfId="19"/>
    <tableColumn id="14" xr3:uid="{41AA8614-A0DD-4B39-80ED-B9CE0A9A32E5}" name="dez/23" dataDxfId="18"/>
    <tableColumn id="15" xr3:uid="{2CBCC81B-3DC9-4EE6-BC66-1B6203A22CF8}" name="TOTAL" dataDxfId="17">
      <calculatedColumnFormula>SUM(C2:N2)</calculatedColumnFormula>
    </tableColumn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361127-7535-4073-B6AD-9CAECF61711B}" name="Tabela7" displayName="Tabela7" ref="A1:O258" totalsRowShown="0" headerRowDxfId="16" dataDxfId="15">
  <autoFilter ref="A1:O258" xr:uid="{D5361127-7535-4073-B6AD-9CAECF61711B}"/>
  <tableColumns count="15">
    <tableColumn id="1" xr3:uid="{CBCED53A-C92A-499E-813B-4FCAAFD91E42}" name="Posição" dataDxfId="14"/>
    <tableColumn id="2" xr3:uid="{0BBA7FE2-0DA4-499E-B15F-9B48601D2641}" name="Marca/Veículo" dataDxfId="13"/>
    <tableColumn id="3" xr3:uid="{8013B179-2047-45C2-A4E2-FEF012AFBA6B}" name="jan/23" dataDxfId="12"/>
    <tableColumn id="4" xr3:uid="{424C45B4-5D8B-485D-BD2E-E133B42B675F}" name="fev/23" dataDxfId="11"/>
    <tableColumn id="5" xr3:uid="{DBACE6EB-F9EC-449D-BCE0-BFF6C2311697}" name="mar/23" dataDxfId="10"/>
    <tableColumn id="6" xr3:uid="{0BCBD2A8-93C4-45E5-B5FA-E1E443E2C8BA}" name="abr/23" dataDxfId="9"/>
    <tableColumn id="7" xr3:uid="{0490B458-6556-47E4-975E-6564D0830A5F}" name="mai/23" dataDxfId="8"/>
    <tableColumn id="8" xr3:uid="{8AED800B-8C02-4AA3-96F6-72238F3E99F6}" name="jun/23" dataDxfId="7"/>
    <tableColumn id="9" xr3:uid="{94373B6D-FCBB-4E56-B63F-C9BBD2EF75DE}" name="jul/23" dataDxfId="6"/>
    <tableColumn id="10" xr3:uid="{2592DE04-79EC-409B-AA4A-638641367E70}" name="ago/23" dataDxfId="5"/>
    <tableColumn id="11" xr3:uid="{CF123A6C-59F9-445B-84C7-C38242A16F63}" name="set/23" dataDxfId="4"/>
    <tableColumn id="12" xr3:uid="{EE3B48E2-6AAF-47F2-8AF7-096A6ADB25E6}" name="out/23" dataDxfId="3"/>
    <tableColumn id="13" xr3:uid="{7B6C95C9-F422-4452-AF5B-70B4B3E07BFA}" name="nov/23" dataDxfId="2"/>
    <tableColumn id="14" xr3:uid="{E80BBF59-3AC6-48B7-89F2-E8E8F0AE838A}" name="dez/23" dataDxfId="1"/>
    <tableColumn id="15" xr3:uid="{34488103-A24B-4733-94F0-A600D1C9F407}" name="TOTAL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FB99-5CBC-48CA-B4D9-7A9C06931816}">
  <dimension ref="A1:C77"/>
  <sheetViews>
    <sheetView tabSelected="1" topLeftCell="A41" workbookViewId="0">
      <selection activeCell="A52" sqref="A52:XFD301"/>
    </sheetView>
  </sheetViews>
  <sheetFormatPr defaultRowHeight="15" x14ac:dyDescent="0.25"/>
  <cols>
    <col min="1" max="1" width="10" bestFit="1" customWidth="1"/>
    <col min="2" max="2" width="29.85546875" bestFit="1" customWidth="1"/>
  </cols>
  <sheetData>
    <row r="1" spans="1:3" s="1" customFormat="1" x14ac:dyDescent="0.25">
      <c r="A1" s="2" t="s">
        <v>12</v>
      </c>
      <c r="B1" s="2" t="s">
        <v>13</v>
      </c>
      <c r="C1" s="1" t="s">
        <v>22</v>
      </c>
    </row>
    <row r="2" spans="1:3" x14ac:dyDescent="0.25">
      <c r="A2" s="4" t="s">
        <v>0</v>
      </c>
      <c r="B2" s="4" t="s">
        <v>92</v>
      </c>
      <c r="C2">
        <v>255055</v>
      </c>
    </row>
    <row r="3" spans="1:3" x14ac:dyDescent="0.25">
      <c r="A3" s="4" t="s">
        <v>2</v>
      </c>
      <c r="B3" s="4" t="s">
        <v>372</v>
      </c>
      <c r="C3">
        <v>184376</v>
      </c>
    </row>
    <row r="4" spans="1:3" x14ac:dyDescent="0.25">
      <c r="A4" s="4" t="s">
        <v>4</v>
      </c>
      <c r="B4" s="4" t="s">
        <v>599</v>
      </c>
      <c r="C4">
        <v>177031</v>
      </c>
    </row>
    <row r="5" spans="1:3" x14ac:dyDescent="0.25">
      <c r="A5" s="4" t="s">
        <v>6</v>
      </c>
      <c r="B5" s="4" t="s">
        <v>538</v>
      </c>
      <c r="C5">
        <v>137547</v>
      </c>
    </row>
    <row r="6" spans="1:3" x14ac:dyDescent="0.25">
      <c r="A6" s="4" t="s">
        <v>8</v>
      </c>
      <c r="B6" s="4" t="s">
        <v>814</v>
      </c>
      <c r="C6">
        <v>129836</v>
      </c>
    </row>
    <row r="7" spans="1:3" x14ac:dyDescent="0.25">
      <c r="A7" s="4" t="s">
        <v>10</v>
      </c>
      <c r="B7" s="4" t="s">
        <v>1</v>
      </c>
      <c r="C7">
        <v>122913</v>
      </c>
    </row>
    <row r="8" spans="1:3" x14ac:dyDescent="0.25">
      <c r="A8" s="4" t="s">
        <v>14</v>
      </c>
      <c r="B8" s="4" t="s">
        <v>7</v>
      </c>
      <c r="C8">
        <v>122382</v>
      </c>
    </row>
    <row r="9" spans="1:3" x14ac:dyDescent="0.25">
      <c r="A9" s="4" t="s">
        <v>16</v>
      </c>
      <c r="B9" s="4" t="s">
        <v>3</v>
      </c>
      <c r="C9">
        <v>122340</v>
      </c>
    </row>
    <row r="10" spans="1:3" x14ac:dyDescent="0.25">
      <c r="A10" s="4" t="s">
        <v>18</v>
      </c>
      <c r="B10" s="4" t="s">
        <v>432</v>
      </c>
      <c r="C10">
        <v>113708</v>
      </c>
    </row>
    <row r="11" spans="1:3" x14ac:dyDescent="0.25">
      <c r="A11" s="4" t="s">
        <v>20</v>
      </c>
      <c r="B11" s="4" t="s">
        <v>100</v>
      </c>
      <c r="C11">
        <v>102520</v>
      </c>
    </row>
    <row r="12" spans="1:3" x14ac:dyDescent="0.25">
      <c r="A12" s="4" t="s">
        <v>23</v>
      </c>
      <c r="B12" s="4" t="s">
        <v>130</v>
      </c>
      <c r="C12">
        <v>89763</v>
      </c>
    </row>
    <row r="13" spans="1:3" x14ac:dyDescent="0.25">
      <c r="A13" s="4" t="s">
        <v>25</v>
      </c>
      <c r="B13" s="4" t="s">
        <v>793</v>
      </c>
      <c r="C13">
        <v>86946</v>
      </c>
    </row>
    <row r="14" spans="1:3" x14ac:dyDescent="0.25">
      <c r="A14" s="4" t="s">
        <v>27</v>
      </c>
      <c r="B14" s="4" t="s">
        <v>802</v>
      </c>
      <c r="C14">
        <v>74655</v>
      </c>
    </row>
    <row r="15" spans="1:3" x14ac:dyDescent="0.25">
      <c r="A15" s="4" t="s">
        <v>29</v>
      </c>
      <c r="B15" s="4" t="s">
        <v>44</v>
      </c>
      <c r="C15">
        <v>72375</v>
      </c>
    </row>
    <row r="16" spans="1:3" x14ac:dyDescent="0.25">
      <c r="A16" s="4" t="s">
        <v>31</v>
      </c>
      <c r="B16" s="4" t="s">
        <v>454</v>
      </c>
      <c r="C16">
        <v>66103</v>
      </c>
    </row>
    <row r="17" spans="1:3" x14ac:dyDescent="0.25">
      <c r="A17" s="4" t="s">
        <v>33</v>
      </c>
      <c r="B17" s="4" t="s">
        <v>593</v>
      </c>
      <c r="C17">
        <v>61306</v>
      </c>
    </row>
    <row r="18" spans="1:3" x14ac:dyDescent="0.25">
      <c r="A18" s="4" t="s">
        <v>35</v>
      </c>
      <c r="B18" s="4" t="s">
        <v>232</v>
      </c>
      <c r="C18">
        <v>60975</v>
      </c>
    </row>
    <row r="19" spans="1:3" x14ac:dyDescent="0.25">
      <c r="A19" s="4" t="s">
        <v>37</v>
      </c>
      <c r="B19" s="4" t="s">
        <v>604</v>
      </c>
      <c r="C19">
        <v>59690</v>
      </c>
    </row>
    <row r="20" spans="1:3" x14ac:dyDescent="0.25">
      <c r="A20" s="4" t="s">
        <v>39</v>
      </c>
      <c r="B20" s="4" t="s">
        <v>56</v>
      </c>
      <c r="C20">
        <v>54255</v>
      </c>
    </row>
    <row r="21" spans="1:3" x14ac:dyDescent="0.25">
      <c r="A21" s="4" t="s">
        <v>41</v>
      </c>
      <c r="B21" s="4" t="s">
        <v>48</v>
      </c>
      <c r="C21">
        <v>54106</v>
      </c>
    </row>
    <row r="22" spans="1:3" x14ac:dyDescent="0.25">
      <c r="A22" s="4" t="s">
        <v>43</v>
      </c>
      <c r="B22" s="4" t="s">
        <v>66</v>
      </c>
      <c r="C22">
        <v>50224</v>
      </c>
    </row>
    <row r="23" spans="1:3" x14ac:dyDescent="0.25">
      <c r="A23" s="4" t="s">
        <v>45</v>
      </c>
      <c r="B23" s="4" t="s">
        <v>52</v>
      </c>
      <c r="C23">
        <v>46712</v>
      </c>
    </row>
    <row r="24" spans="1:3" x14ac:dyDescent="0.25">
      <c r="A24" s="4" t="s">
        <v>47</v>
      </c>
      <c r="B24" s="4" t="s">
        <v>38</v>
      </c>
      <c r="C24">
        <v>42627</v>
      </c>
    </row>
    <row r="25" spans="1:3" x14ac:dyDescent="0.25">
      <c r="A25" s="4" t="s">
        <v>49</v>
      </c>
      <c r="B25" s="4" t="s">
        <v>70</v>
      </c>
      <c r="C25">
        <v>41985</v>
      </c>
    </row>
    <row r="26" spans="1:3" x14ac:dyDescent="0.25">
      <c r="A26" s="4" t="s">
        <v>51</v>
      </c>
      <c r="B26" s="4" t="s">
        <v>519</v>
      </c>
      <c r="C26">
        <v>40642</v>
      </c>
    </row>
    <row r="27" spans="1:3" x14ac:dyDescent="0.25">
      <c r="A27" s="4" t="s">
        <v>53</v>
      </c>
      <c r="B27" s="4" t="s">
        <v>656</v>
      </c>
      <c r="C27">
        <v>40407</v>
      </c>
    </row>
    <row r="28" spans="1:3" x14ac:dyDescent="0.25">
      <c r="A28" s="4" t="s">
        <v>55</v>
      </c>
      <c r="B28" s="4" t="s">
        <v>551</v>
      </c>
      <c r="C28">
        <v>35965</v>
      </c>
    </row>
    <row r="29" spans="1:3" x14ac:dyDescent="0.25">
      <c r="A29" s="4" t="s">
        <v>57</v>
      </c>
      <c r="B29" s="4" t="s">
        <v>58</v>
      </c>
      <c r="C29">
        <v>35322</v>
      </c>
    </row>
    <row r="30" spans="1:3" x14ac:dyDescent="0.25">
      <c r="A30" s="4" t="s">
        <v>59</v>
      </c>
      <c r="B30" s="4" t="s">
        <v>578</v>
      </c>
      <c r="C30">
        <v>34803</v>
      </c>
    </row>
    <row r="31" spans="1:3" x14ac:dyDescent="0.25">
      <c r="A31" s="4" t="s">
        <v>61</v>
      </c>
      <c r="B31" s="4" t="s">
        <v>60</v>
      </c>
      <c r="C31">
        <v>33672</v>
      </c>
    </row>
    <row r="32" spans="1:3" x14ac:dyDescent="0.25">
      <c r="A32" s="4" t="s">
        <v>63</v>
      </c>
      <c r="B32" s="4" t="s">
        <v>836</v>
      </c>
      <c r="C32">
        <v>30123</v>
      </c>
    </row>
    <row r="33" spans="1:3" x14ac:dyDescent="0.25">
      <c r="A33" s="4" t="s">
        <v>65</v>
      </c>
      <c r="B33" s="4" t="s">
        <v>792</v>
      </c>
      <c r="C33">
        <v>29905</v>
      </c>
    </row>
    <row r="34" spans="1:3" x14ac:dyDescent="0.25">
      <c r="A34" s="4" t="s">
        <v>67</v>
      </c>
      <c r="B34" s="4" t="s">
        <v>82</v>
      </c>
      <c r="C34">
        <v>29245</v>
      </c>
    </row>
    <row r="35" spans="1:3" x14ac:dyDescent="0.25">
      <c r="A35" s="4" t="s">
        <v>69</v>
      </c>
      <c r="B35" s="4" t="s">
        <v>576</v>
      </c>
      <c r="C35">
        <v>27237</v>
      </c>
    </row>
    <row r="36" spans="1:3" x14ac:dyDescent="0.25">
      <c r="A36" s="4" t="s">
        <v>71</v>
      </c>
      <c r="B36" s="4" t="s">
        <v>178</v>
      </c>
      <c r="C36">
        <v>26530</v>
      </c>
    </row>
    <row r="37" spans="1:3" x14ac:dyDescent="0.25">
      <c r="A37" s="4" t="s">
        <v>73</v>
      </c>
      <c r="B37" s="4" t="s">
        <v>404</v>
      </c>
      <c r="C37">
        <v>26255</v>
      </c>
    </row>
    <row r="38" spans="1:3" x14ac:dyDescent="0.25">
      <c r="A38" s="4" t="s">
        <v>75</v>
      </c>
      <c r="B38" s="4" t="s">
        <v>831</v>
      </c>
      <c r="C38">
        <v>25221</v>
      </c>
    </row>
    <row r="39" spans="1:3" x14ac:dyDescent="0.25">
      <c r="A39" s="4" t="s">
        <v>77</v>
      </c>
      <c r="B39" s="4" t="s">
        <v>584</v>
      </c>
      <c r="C39">
        <v>24257</v>
      </c>
    </row>
    <row r="40" spans="1:3" x14ac:dyDescent="0.25">
      <c r="A40" s="4" t="s">
        <v>79</v>
      </c>
      <c r="B40" s="4" t="s">
        <v>104</v>
      </c>
      <c r="C40">
        <v>24195</v>
      </c>
    </row>
    <row r="41" spans="1:3" x14ac:dyDescent="0.25">
      <c r="A41" s="4" t="s">
        <v>81</v>
      </c>
      <c r="B41" s="4" t="s">
        <v>790</v>
      </c>
      <c r="C41">
        <v>23451</v>
      </c>
    </row>
    <row r="42" spans="1:3" x14ac:dyDescent="0.25">
      <c r="A42" s="4" t="s">
        <v>83</v>
      </c>
      <c r="B42" s="4" t="s">
        <v>112</v>
      </c>
      <c r="C42">
        <v>23036</v>
      </c>
    </row>
    <row r="43" spans="1:3" x14ac:dyDescent="0.25">
      <c r="A43" s="4" t="s">
        <v>85</v>
      </c>
      <c r="B43" s="4" t="s">
        <v>256</v>
      </c>
      <c r="C43">
        <v>22465</v>
      </c>
    </row>
    <row r="44" spans="1:3" x14ac:dyDescent="0.25">
      <c r="A44" s="4" t="s">
        <v>87</v>
      </c>
      <c r="B44" s="4" t="s">
        <v>74</v>
      </c>
      <c r="C44">
        <v>22077</v>
      </c>
    </row>
    <row r="45" spans="1:3" x14ac:dyDescent="0.25">
      <c r="A45" s="4" t="s">
        <v>89</v>
      </c>
      <c r="B45" s="4" t="s">
        <v>88</v>
      </c>
      <c r="C45">
        <v>21378</v>
      </c>
    </row>
    <row r="46" spans="1:3" x14ac:dyDescent="0.25">
      <c r="A46" s="4" t="s">
        <v>91</v>
      </c>
      <c r="B46" s="4" t="s">
        <v>535</v>
      </c>
      <c r="C46">
        <v>20826</v>
      </c>
    </row>
    <row r="47" spans="1:3" x14ac:dyDescent="0.25">
      <c r="A47" s="4" t="s">
        <v>93</v>
      </c>
      <c r="B47" s="4" t="s">
        <v>98</v>
      </c>
      <c r="C47">
        <v>20730</v>
      </c>
    </row>
    <row r="48" spans="1:3" x14ac:dyDescent="0.25">
      <c r="A48" s="4" t="s">
        <v>95</v>
      </c>
      <c r="B48" s="4" t="s">
        <v>54</v>
      </c>
      <c r="C48">
        <v>20715</v>
      </c>
    </row>
    <row r="49" spans="1:3" x14ac:dyDescent="0.25">
      <c r="A49" s="4" t="s">
        <v>97</v>
      </c>
      <c r="B49" s="4" t="s">
        <v>607</v>
      </c>
      <c r="C49">
        <v>16325</v>
      </c>
    </row>
    <row r="50" spans="1:3" x14ac:dyDescent="0.25">
      <c r="A50" s="4" t="s">
        <v>99</v>
      </c>
      <c r="B50" s="4" t="s">
        <v>597</v>
      </c>
      <c r="C50">
        <v>16231</v>
      </c>
    </row>
    <row r="51" spans="1:3" x14ac:dyDescent="0.25">
      <c r="A51" s="4" t="s">
        <v>101</v>
      </c>
      <c r="B51" s="4" t="s">
        <v>700</v>
      </c>
      <c r="C51">
        <v>16213</v>
      </c>
    </row>
    <row r="52" spans="1:3" s="8" customFormat="1" x14ac:dyDescent="0.25">
      <c r="A52" s="6"/>
      <c r="B52" s="6"/>
    </row>
    <row r="53" spans="1:3" s="8" customFormat="1" x14ac:dyDescent="0.25">
      <c r="A53" s="6"/>
      <c r="B53" s="6"/>
    </row>
    <row r="54" spans="1:3" s="8" customFormat="1" x14ac:dyDescent="0.25">
      <c r="A54" s="6"/>
      <c r="B54" s="6"/>
    </row>
    <row r="55" spans="1:3" s="8" customFormat="1" x14ac:dyDescent="0.25">
      <c r="A55" s="6"/>
      <c r="B55" s="6"/>
    </row>
    <row r="56" spans="1:3" s="8" customFormat="1" x14ac:dyDescent="0.25">
      <c r="A56" s="6"/>
      <c r="B56" s="6"/>
    </row>
    <row r="57" spans="1:3" s="8" customFormat="1" x14ac:dyDescent="0.25">
      <c r="A57" s="6"/>
      <c r="B57" s="6"/>
    </row>
    <row r="58" spans="1:3" s="8" customFormat="1" x14ac:dyDescent="0.25">
      <c r="A58" s="6"/>
      <c r="B58" s="6"/>
    </row>
    <row r="59" spans="1:3" s="8" customFormat="1" x14ac:dyDescent="0.25">
      <c r="A59" s="6"/>
      <c r="B59" s="6"/>
    </row>
    <row r="60" spans="1:3" s="8" customFormat="1" x14ac:dyDescent="0.25">
      <c r="A60" s="6"/>
      <c r="B60" s="6"/>
    </row>
    <row r="61" spans="1:3" s="8" customFormat="1" x14ac:dyDescent="0.25">
      <c r="A61" s="6"/>
      <c r="B61" s="6"/>
    </row>
    <row r="62" spans="1:3" s="8" customFormat="1" x14ac:dyDescent="0.25">
      <c r="A62" s="6"/>
      <c r="B62" s="6"/>
    </row>
    <row r="63" spans="1:3" s="8" customFormat="1" x14ac:dyDescent="0.25">
      <c r="A63" s="6"/>
      <c r="B63" s="6"/>
    </row>
    <row r="64" spans="1:3" s="8" customFormat="1" x14ac:dyDescent="0.25">
      <c r="A64" s="6"/>
      <c r="B64" s="6"/>
    </row>
    <row r="65" spans="1:2" s="8" customFormat="1" x14ac:dyDescent="0.25">
      <c r="A65" s="6"/>
      <c r="B65" s="6"/>
    </row>
    <row r="66" spans="1:2" s="8" customFormat="1" x14ac:dyDescent="0.25">
      <c r="A66" s="6"/>
      <c r="B66" s="6"/>
    </row>
    <row r="67" spans="1:2" s="8" customFormat="1" x14ac:dyDescent="0.25">
      <c r="A67" s="6"/>
      <c r="B67" s="6"/>
    </row>
    <row r="68" spans="1:2" s="8" customFormat="1" x14ac:dyDescent="0.25">
      <c r="A68" s="6"/>
      <c r="B68" s="6"/>
    </row>
    <row r="69" spans="1:2" s="8" customFormat="1" x14ac:dyDescent="0.25">
      <c r="A69" s="6"/>
      <c r="B69" s="6"/>
    </row>
    <row r="70" spans="1:2" s="8" customFormat="1" x14ac:dyDescent="0.25">
      <c r="A70" s="6"/>
      <c r="B70" s="6"/>
    </row>
    <row r="71" spans="1:2" s="8" customFormat="1" x14ac:dyDescent="0.25">
      <c r="A71" s="6"/>
      <c r="B71" s="6"/>
    </row>
    <row r="72" spans="1:2" s="8" customFormat="1" x14ac:dyDescent="0.25">
      <c r="A72" s="6"/>
      <c r="B72" s="6"/>
    </row>
    <row r="73" spans="1:2" s="8" customFormat="1" x14ac:dyDescent="0.25">
      <c r="A73" s="6"/>
      <c r="B73" s="6"/>
    </row>
    <row r="74" spans="1:2" s="8" customFormat="1" x14ac:dyDescent="0.25">
      <c r="A74" s="6"/>
      <c r="B74" s="6"/>
    </row>
    <row r="75" spans="1:2" s="8" customFormat="1" x14ac:dyDescent="0.25">
      <c r="A75" s="6"/>
      <c r="B75" s="6"/>
    </row>
    <row r="76" spans="1:2" s="8" customFormat="1" x14ac:dyDescent="0.25">
      <c r="A76" s="6"/>
      <c r="B76" s="6"/>
    </row>
    <row r="77" spans="1:2" s="8" customFormat="1" x14ac:dyDescent="0.25">
      <c r="A77" s="6"/>
      <c r="B77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A46A-7543-4136-8E09-1975909FE8F9}">
  <dimension ref="A1:O327"/>
  <sheetViews>
    <sheetView workbookViewId="0">
      <selection activeCell="O9" sqref="O9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8.85546875" bestFit="1" customWidth="1"/>
    <col min="4" max="4" width="9" bestFit="1" customWidth="1"/>
    <col min="5" max="5" width="9.5703125" bestFit="1" customWidth="1"/>
    <col min="6" max="6" width="9" bestFit="1" customWidth="1"/>
    <col min="7" max="7" width="9.42578125" bestFit="1" customWidth="1"/>
    <col min="8" max="8" width="9" bestFit="1" customWidth="1"/>
    <col min="9" max="9" width="8.42578125" bestFit="1" customWidth="1"/>
    <col min="10" max="10" width="9.28515625" bestFit="1" customWidth="1"/>
    <col min="11" max="11" width="8.85546875" bestFit="1" customWidth="1"/>
    <col min="13" max="13" width="9.42578125" bestFit="1" customWidth="1"/>
    <col min="14" max="14" width="9.28515625" bestFit="1" customWidth="1"/>
    <col min="15" max="15" width="8.85546875" bestFit="1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599</v>
      </c>
      <c r="C2" s="5">
        <v>12603</v>
      </c>
      <c r="D2" s="5">
        <v>13283</v>
      </c>
      <c r="E2" s="5">
        <v>12872</v>
      </c>
      <c r="F2" s="5">
        <v>15409</v>
      </c>
      <c r="G2" s="5">
        <v>14910</v>
      </c>
      <c r="H2" s="5">
        <v>14080</v>
      </c>
      <c r="I2" s="5">
        <v>15989</v>
      </c>
      <c r="J2" s="5">
        <v>14305</v>
      </c>
      <c r="K2" s="5">
        <v>15907</v>
      </c>
      <c r="L2" s="5">
        <v>16622</v>
      </c>
      <c r="M2" s="5">
        <v>15399</v>
      </c>
      <c r="N2" s="5">
        <v>22958</v>
      </c>
      <c r="O2" s="5">
        <f>SUM(Tabela32391011[[#This Row],[jan/23]:[dez/23]])</f>
        <v>184337</v>
      </c>
    </row>
    <row r="3" spans="1:15" x14ac:dyDescent="0.25">
      <c r="A3" s="4" t="s">
        <v>2</v>
      </c>
      <c r="B3" s="4" t="s">
        <v>92</v>
      </c>
      <c r="C3" s="5">
        <v>21671</v>
      </c>
      <c r="D3" s="5">
        <v>14077</v>
      </c>
      <c r="E3" s="5">
        <v>12545</v>
      </c>
      <c r="F3" s="5">
        <v>16963</v>
      </c>
      <c r="G3" s="5">
        <v>15188</v>
      </c>
      <c r="H3" s="5">
        <v>13167</v>
      </c>
      <c r="I3" s="5">
        <v>14347</v>
      </c>
      <c r="J3" s="5">
        <v>14198</v>
      </c>
      <c r="K3" s="5">
        <v>12583</v>
      </c>
      <c r="L3" s="5">
        <v>12455</v>
      </c>
      <c r="M3" s="5">
        <v>12024</v>
      </c>
      <c r="N3" s="5">
        <v>24150</v>
      </c>
      <c r="O3" s="5">
        <f>SUM(Tabela32391011[[#This Row],[jan/23]:[dez/23]])</f>
        <v>183368</v>
      </c>
    </row>
    <row r="4" spans="1:15" x14ac:dyDescent="0.25">
      <c r="A4" s="4" t="s">
        <v>4</v>
      </c>
      <c r="B4" s="4" t="s">
        <v>1</v>
      </c>
      <c r="C4" s="5">
        <v>12373</v>
      </c>
      <c r="D4" s="5">
        <v>13459</v>
      </c>
      <c r="E4" s="5">
        <v>13017</v>
      </c>
      <c r="F4" s="5">
        <v>13298</v>
      </c>
      <c r="G4" s="5">
        <v>12615</v>
      </c>
      <c r="H4" s="5">
        <v>10561</v>
      </c>
      <c r="I4" s="5">
        <v>12585</v>
      </c>
      <c r="J4" s="5">
        <v>12849</v>
      </c>
      <c r="K4" s="5">
        <v>14225</v>
      </c>
      <c r="L4" s="5">
        <v>13381</v>
      </c>
      <c r="M4" s="5">
        <v>11435</v>
      </c>
      <c r="N4" s="5">
        <v>13343</v>
      </c>
      <c r="O4" s="5">
        <f>SUM(Tabela32391011[[#This Row],[jan/23]:[dez/23]])</f>
        <v>153141</v>
      </c>
    </row>
    <row r="5" spans="1:15" x14ac:dyDescent="0.25">
      <c r="A5" s="4" t="s">
        <v>6</v>
      </c>
      <c r="B5" s="4" t="s">
        <v>3</v>
      </c>
      <c r="C5" s="5">
        <v>9290</v>
      </c>
      <c r="D5" s="5">
        <v>9561</v>
      </c>
      <c r="E5" s="5">
        <v>12244</v>
      </c>
      <c r="F5" s="5">
        <v>13247</v>
      </c>
      <c r="G5" s="5">
        <v>11696</v>
      </c>
      <c r="H5" s="5">
        <v>10993</v>
      </c>
      <c r="I5" s="5">
        <v>14015</v>
      </c>
      <c r="J5" s="5">
        <v>10285</v>
      </c>
      <c r="K5" s="5">
        <v>13483</v>
      </c>
      <c r="L5" s="5">
        <v>13589</v>
      </c>
      <c r="M5" s="5">
        <v>14484</v>
      </c>
      <c r="N5" s="5">
        <v>17951</v>
      </c>
      <c r="O5" s="5">
        <f>SUM(Tabela32391011[[#This Row],[jan/23]:[dez/23]])</f>
        <v>150838</v>
      </c>
    </row>
    <row r="6" spans="1:15" x14ac:dyDescent="0.25">
      <c r="A6" s="4" t="s">
        <v>8</v>
      </c>
      <c r="B6" s="4" t="s">
        <v>372</v>
      </c>
      <c r="C6" s="5">
        <v>13629</v>
      </c>
      <c r="D6" s="5">
        <v>10410</v>
      </c>
      <c r="E6" s="5">
        <v>10275</v>
      </c>
      <c r="F6" s="5">
        <v>11286</v>
      </c>
      <c r="G6" s="5">
        <v>7871</v>
      </c>
      <c r="H6" s="5">
        <v>7580</v>
      </c>
      <c r="I6" s="5">
        <v>9613</v>
      </c>
      <c r="J6" s="5">
        <v>10922</v>
      </c>
      <c r="K6" s="5">
        <v>8749</v>
      </c>
      <c r="L6" s="5">
        <v>11192</v>
      </c>
      <c r="M6" s="5">
        <v>10473</v>
      </c>
      <c r="N6" s="5">
        <v>10269</v>
      </c>
      <c r="O6" s="5">
        <f>SUM(Tabela32391011[[#This Row],[jan/23]:[dez/23]])</f>
        <v>122269</v>
      </c>
    </row>
    <row r="7" spans="1:15" x14ac:dyDescent="0.25">
      <c r="A7" s="4" t="s">
        <v>10</v>
      </c>
      <c r="B7" s="4" t="s">
        <v>7</v>
      </c>
      <c r="C7" s="5">
        <v>9612</v>
      </c>
      <c r="D7" s="5">
        <v>8819</v>
      </c>
      <c r="E7" s="5">
        <v>8312</v>
      </c>
      <c r="F7" s="5">
        <v>9715</v>
      </c>
      <c r="G7" s="5">
        <v>9755</v>
      </c>
      <c r="H7" s="5">
        <v>9528</v>
      </c>
      <c r="I7" s="5">
        <v>10857</v>
      </c>
      <c r="J7" s="5">
        <v>9074</v>
      </c>
      <c r="K7" s="5">
        <v>9904</v>
      </c>
      <c r="L7" s="5">
        <v>10603</v>
      </c>
      <c r="M7" s="5">
        <v>10688</v>
      </c>
      <c r="N7" s="5">
        <v>12921</v>
      </c>
      <c r="O7" s="5">
        <f>SUM(Tabela32391011[[#This Row],[jan/23]:[dez/23]])</f>
        <v>119788</v>
      </c>
    </row>
    <row r="8" spans="1:15" x14ac:dyDescent="0.25">
      <c r="A8" s="4" t="s">
        <v>14</v>
      </c>
      <c r="B8" s="4" t="s">
        <v>538</v>
      </c>
      <c r="C8" s="5">
        <v>13179</v>
      </c>
      <c r="D8" s="5">
        <v>8915</v>
      </c>
      <c r="E8" s="5">
        <v>9045</v>
      </c>
      <c r="F8" s="5">
        <v>12042</v>
      </c>
      <c r="G8" s="5">
        <v>10976</v>
      </c>
      <c r="H8" s="5">
        <v>10701</v>
      </c>
      <c r="I8" s="5">
        <v>10591</v>
      </c>
      <c r="J8" s="5">
        <v>8505</v>
      </c>
      <c r="K8" s="5">
        <v>6490</v>
      </c>
      <c r="L8" s="5">
        <v>5891</v>
      </c>
      <c r="M8" s="5">
        <v>5159</v>
      </c>
      <c r="N8" s="5">
        <v>6900</v>
      </c>
      <c r="O8" s="5">
        <f>SUM(Tabela32391011[[#This Row],[jan/23]:[dez/23]])</f>
        <v>108394</v>
      </c>
    </row>
    <row r="9" spans="1:15" x14ac:dyDescent="0.25">
      <c r="A9" s="4" t="s">
        <v>16</v>
      </c>
      <c r="B9" s="4" t="s">
        <v>814</v>
      </c>
      <c r="C9" s="5">
        <v>11415</v>
      </c>
      <c r="D9" s="5">
        <v>9329</v>
      </c>
      <c r="E9" s="5">
        <v>7716</v>
      </c>
      <c r="F9" s="5">
        <v>8940</v>
      </c>
      <c r="G9" s="5">
        <v>8979</v>
      </c>
      <c r="H9" s="5">
        <v>8544</v>
      </c>
      <c r="I9" s="5">
        <v>8949</v>
      </c>
      <c r="J9" s="5">
        <v>8469</v>
      </c>
      <c r="K9" s="5">
        <v>9518</v>
      </c>
      <c r="L9" s="5">
        <v>8221</v>
      </c>
      <c r="M9" s="5">
        <v>7464</v>
      </c>
      <c r="N9" s="5">
        <v>9430</v>
      </c>
      <c r="O9" s="5">
        <f>SUM(Tabela32391011[[#This Row],[jan/23]:[dez/23]])</f>
        <v>106974</v>
      </c>
    </row>
    <row r="10" spans="1:15" x14ac:dyDescent="0.25">
      <c r="A10" s="4" t="s">
        <v>18</v>
      </c>
      <c r="B10" s="4" t="s">
        <v>100</v>
      </c>
      <c r="C10" s="5">
        <v>9155</v>
      </c>
      <c r="D10" s="5">
        <v>6317</v>
      </c>
      <c r="E10" s="5">
        <v>6006</v>
      </c>
      <c r="F10" s="5">
        <v>8746</v>
      </c>
      <c r="G10" s="5">
        <v>9910</v>
      </c>
      <c r="H10" s="5">
        <v>6832</v>
      </c>
      <c r="I10" s="5">
        <v>5425</v>
      </c>
      <c r="J10" s="5">
        <v>7278</v>
      </c>
      <c r="K10" s="5">
        <v>7488</v>
      </c>
      <c r="L10" s="5">
        <v>7008</v>
      </c>
      <c r="M10" s="5">
        <v>8309</v>
      </c>
      <c r="N10" s="5">
        <v>12911</v>
      </c>
      <c r="O10" s="5">
        <f>SUM(Tabela32391011[[#This Row],[jan/23]:[dez/23]])</f>
        <v>95385</v>
      </c>
    </row>
    <row r="11" spans="1:15" x14ac:dyDescent="0.25">
      <c r="A11" s="4" t="s">
        <v>20</v>
      </c>
      <c r="B11" s="4" t="s">
        <v>432</v>
      </c>
      <c r="C11" s="5">
        <v>9777</v>
      </c>
      <c r="D11" s="5">
        <v>8072</v>
      </c>
      <c r="E11" s="5">
        <v>6264</v>
      </c>
      <c r="F11" s="5">
        <v>6625</v>
      </c>
      <c r="G11" s="5">
        <v>6913</v>
      </c>
      <c r="H11" s="5">
        <v>5985</v>
      </c>
      <c r="I11" s="5">
        <v>6331</v>
      </c>
      <c r="J11" s="5">
        <v>7480</v>
      </c>
      <c r="K11" s="5">
        <v>7730</v>
      </c>
      <c r="L11" s="5">
        <v>9218</v>
      </c>
      <c r="M11" s="5">
        <v>6534</v>
      </c>
      <c r="N11" s="5">
        <v>8095</v>
      </c>
      <c r="O11" s="5">
        <f>SUM(Tabela32391011[[#This Row],[jan/23]:[dez/23]])</f>
        <v>89024</v>
      </c>
    </row>
    <row r="12" spans="1:15" x14ac:dyDescent="0.25">
      <c r="A12" s="4" t="s">
        <v>23</v>
      </c>
      <c r="B12" s="4" t="s">
        <v>593</v>
      </c>
      <c r="C12" s="5">
        <v>6023</v>
      </c>
      <c r="D12" s="5">
        <v>4938</v>
      </c>
      <c r="E12" s="5">
        <v>5602</v>
      </c>
      <c r="F12" s="5">
        <v>8122</v>
      </c>
      <c r="G12" s="5">
        <v>7355</v>
      </c>
      <c r="H12" s="5">
        <v>7219</v>
      </c>
      <c r="I12" s="5">
        <v>8498</v>
      </c>
      <c r="J12" s="5">
        <v>6717</v>
      </c>
      <c r="K12" s="5">
        <v>8353</v>
      </c>
      <c r="L12" s="5">
        <v>8342</v>
      </c>
      <c r="M12" s="5">
        <v>7657</v>
      </c>
      <c r="N12" s="5">
        <v>9549</v>
      </c>
      <c r="O12" s="5">
        <f>SUM(Tabela32391011[[#This Row],[jan/23]:[dez/23]])</f>
        <v>88375</v>
      </c>
    </row>
    <row r="13" spans="1:15" x14ac:dyDescent="0.25">
      <c r="A13" s="4" t="s">
        <v>25</v>
      </c>
      <c r="B13" s="4" t="s">
        <v>44</v>
      </c>
      <c r="C13" s="5">
        <v>5496</v>
      </c>
      <c r="D13" s="5">
        <v>5072</v>
      </c>
      <c r="E13" s="5">
        <v>4383</v>
      </c>
      <c r="F13" s="5">
        <v>5422</v>
      </c>
      <c r="G13" s="5">
        <v>7314</v>
      </c>
      <c r="H13" s="5">
        <v>6722</v>
      </c>
      <c r="I13" s="5">
        <v>7296</v>
      </c>
      <c r="J13" s="5">
        <v>7022</v>
      </c>
      <c r="K13" s="5">
        <v>7780</v>
      </c>
      <c r="L13" s="5">
        <v>8439</v>
      </c>
      <c r="M13" s="5">
        <v>8643</v>
      </c>
      <c r="N13" s="5">
        <v>9449</v>
      </c>
      <c r="O13" s="5">
        <f>SUM(Tabela32391011[[#This Row],[jan/23]:[dez/23]])</f>
        <v>83038</v>
      </c>
    </row>
    <row r="14" spans="1:15" x14ac:dyDescent="0.25">
      <c r="A14" s="4" t="s">
        <v>27</v>
      </c>
      <c r="B14" s="4" t="s">
        <v>130</v>
      </c>
      <c r="C14" s="5">
        <v>6798</v>
      </c>
      <c r="D14" s="5">
        <v>5788</v>
      </c>
      <c r="E14" s="5">
        <v>5088</v>
      </c>
      <c r="F14" s="5">
        <v>5976</v>
      </c>
      <c r="G14" s="5">
        <v>7592</v>
      </c>
      <c r="H14" s="5">
        <v>6953</v>
      </c>
      <c r="I14" s="5">
        <v>7181</v>
      </c>
      <c r="J14" s="5">
        <v>6843</v>
      </c>
      <c r="K14" s="5">
        <v>5565</v>
      </c>
      <c r="L14" s="5">
        <v>6530</v>
      </c>
      <c r="M14" s="5">
        <v>5195</v>
      </c>
      <c r="N14" s="5">
        <v>5629</v>
      </c>
      <c r="O14" s="5">
        <f>SUM(Tabela32391011[[#This Row],[jan/23]:[dez/23]])</f>
        <v>75138</v>
      </c>
    </row>
    <row r="15" spans="1:15" x14ac:dyDescent="0.25">
      <c r="A15" s="4" t="s">
        <v>29</v>
      </c>
      <c r="B15" s="4" t="s">
        <v>48</v>
      </c>
      <c r="C15" s="5">
        <v>2857</v>
      </c>
      <c r="D15" s="5">
        <v>3020</v>
      </c>
      <c r="E15" s="5">
        <v>2945</v>
      </c>
      <c r="F15" s="5">
        <v>5566</v>
      </c>
      <c r="G15" s="5">
        <v>5741</v>
      </c>
      <c r="H15" s="5">
        <v>5001</v>
      </c>
      <c r="I15" s="5">
        <v>6129</v>
      </c>
      <c r="J15" s="5">
        <v>5944</v>
      </c>
      <c r="K15" s="5">
        <v>6050</v>
      </c>
      <c r="L15" s="5">
        <v>6326</v>
      </c>
      <c r="M15" s="5">
        <v>6133</v>
      </c>
      <c r="N15" s="5">
        <v>7587</v>
      </c>
      <c r="O15" s="5">
        <f>SUM(Tabela32391011[[#This Row],[jan/23]:[dez/23]])</f>
        <v>63299</v>
      </c>
    </row>
    <row r="16" spans="1:15" x14ac:dyDescent="0.25">
      <c r="A16" s="4" t="s">
        <v>31</v>
      </c>
      <c r="B16" s="4" t="s">
        <v>58</v>
      </c>
      <c r="C16" s="5">
        <v>3927</v>
      </c>
      <c r="D16" s="5">
        <v>3819</v>
      </c>
      <c r="E16" s="5">
        <v>3680</v>
      </c>
      <c r="F16" s="5">
        <v>4451</v>
      </c>
      <c r="G16" s="5">
        <v>4954</v>
      </c>
      <c r="H16" s="5">
        <v>4822</v>
      </c>
      <c r="I16" s="5">
        <v>5334</v>
      </c>
      <c r="J16" s="5">
        <v>4593</v>
      </c>
      <c r="K16" s="5">
        <v>5137</v>
      </c>
      <c r="L16" s="5">
        <v>5673</v>
      </c>
      <c r="M16" s="5">
        <v>6189</v>
      </c>
      <c r="N16" s="5">
        <v>7361</v>
      </c>
      <c r="O16" s="5">
        <f>SUM(Tabela32391011[[#This Row],[jan/23]:[dez/23]])</f>
        <v>59940</v>
      </c>
    </row>
    <row r="17" spans="1:15" x14ac:dyDescent="0.25">
      <c r="A17" s="4" t="s">
        <v>33</v>
      </c>
      <c r="B17" s="4" t="s">
        <v>575</v>
      </c>
      <c r="C17" s="5">
        <v>239</v>
      </c>
      <c r="D17" s="5">
        <v>2115</v>
      </c>
      <c r="E17" s="5">
        <v>3517</v>
      </c>
      <c r="F17" s="5">
        <v>5198</v>
      </c>
      <c r="G17" s="5">
        <v>5744</v>
      </c>
      <c r="H17" s="5">
        <v>6223</v>
      </c>
      <c r="I17" s="5">
        <v>6316</v>
      </c>
      <c r="J17" s="5">
        <v>5846</v>
      </c>
      <c r="K17" s="5">
        <v>6272</v>
      </c>
      <c r="L17" s="5">
        <v>6441</v>
      </c>
      <c r="M17" s="5">
        <v>5283</v>
      </c>
      <c r="N17" s="5">
        <v>5702</v>
      </c>
      <c r="O17" s="5">
        <f>SUM(Tabela32391011[[#This Row],[jan/23]:[dez/23]])</f>
        <v>58896</v>
      </c>
    </row>
    <row r="18" spans="1:15" x14ac:dyDescent="0.25">
      <c r="A18" s="4" t="s">
        <v>35</v>
      </c>
      <c r="B18" s="4" t="s">
        <v>454</v>
      </c>
      <c r="C18" s="5">
        <v>5284</v>
      </c>
      <c r="D18" s="5">
        <v>3940</v>
      </c>
      <c r="E18" s="5">
        <v>3483</v>
      </c>
      <c r="F18" s="5">
        <v>4734</v>
      </c>
      <c r="G18" s="5">
        <v>4541</v>
      </c>
      <c r="H18" s="5">
        <v>4015</v>
      </c>
      <c r="I18" s="5">
        <v>5287</v>
      </c>
      <c r="J18" s="5">
        <v>4735</v>
      </c>
      <c r="K18" s="5">
        <v>4563</v>
      </c>
      <c r="L18" s="5">
        <v>4523</v>
      </c>
      <c r="M18" s="5">
        <v>4111</v>
      </c>
      <c r="N18" s="5">
        <v>5046</v>
      </c>
      <c r="O18" s="5">
        <f>SUM(Tabela32391011[[#This Row],[jan/23]:[dez/23]])</f>
        <v>54262</v>
      </c>
    </row>
    <row r="19" spans="1:15" x14ac:dyDescent="0.25">
      <c r="A19" s="4" t="s">
        <v>37</v>
      </c>
      <c r="B19" s="4" t="s">
        <v>519</v>
      </c>
      <c r="C19" s="5">
        <v>3457</v>
      </c>
      <c r="D19" s="5">
        <v>2670</v>
      </c>
      <c r="E19" s="5">
        <v>2645</v>
      </c>
      <c r="F19" s="5">
        <v>2922</v>
      </c>
      <c r="G19" s="5">
        <v>4030</v>
      </c>
      <c r="H19" s="5">
        <v>4348</v>
      </c>
      <c r="I19" s="5">
        <v>4482</v>
      </c>
      <c r="J19" s="5">
        <v>4880</v>
      </c>
      <c r="K19" s="5">
        <v>5808</v>
      </c>
      <c r="L19" s="5">
        <v>5372</v>
      </c>
      <c r="M19" s="5">
        <v>5383</v>
      </c>
      <c r="N19" s="5">
        <v>7703</v>
      </c>
      <c r="O19" s="5">
        <f>SUM(Tabela32391011[[#This Row],[jan/23]:[dez/23]])</f>
        <v>53700</v>
      </c>
    </row>
    <row r="20" spans="1:15" x14ac:dyDescent="0.25">
      <c r="A20" s="4" t="s">
        <v>39</v>
      </c>
      <c r="B20" s="4" t="s">
        <v>232</v>
      </c>
      <c r="C20" s="5">
        <v>3983</v>
      </c>
      <c r="D20" s="5">
        <v>4019</v>
      </c>
      <c r="E20" s="5">
        <v>4392</v>
      </c>
      <c r="F20" s="5">
        <v>5776</v>
      </c>
      <c r="G20" s="5">
        <v>4702</v>
      </c>
      <c r="H20" s="5">
        <v>4083</v>
      </c>
      <c r="I20" s="5">
        <v>4246</v>
      </c>
      <c r="J20" s="5">
        <v>4575</v>
      </c>
      <c r="K20" s="5">
        <v>4684</v>
      </c>
      <c r="L20" s="5">
        <v>4038</v>
      </c>
      <c r="M20" s="5">
        <v>3507</v>
      </c>
      <c r="N20" s="5">
        <v>4262</v>
      </c>
      <c r="O20" s="5">
        <f>SUM(Tabela32391011[[#This Row],[jan/23]:[dez/23]])</f>
        <v>52267</v>
      </c>
    </row>
    <row r="21" spans="1:15" x14ac:dyDescent="0.25">
      <c r="A21" s="4" t="s">
        <v>41</v>
      </c>
      <c r="B21" s="4" t="s">
        <v>56</v>
      </c>
      <c r="C21" s="5">
        <v>4120</v>
      </c>
      <c r="D21" s="5">
        <v>3657</v>
      </c>
      <c r="E21" s="5">
        <v>3344</v>
      </c>
      <c r="F21" s="5">
        <v>4743</v>
      </c>
      <c r="G21" s="5">
        <v>5018</v>
      </c>
      <c r="H21" s="5">
        <v>4078</v>
      </c>
      <c r="I21" s="5">
        <v>4471</v>
      </c>
      <c r="J21" s="5">
        <v>3861</v>
      </c>
      <c r="K21" s="5">
        <v>4760</v>
      </c>
      <c r="L21" s="5">
        <v>4424</v>
      </c>
      <c r="M21" s="5">
        <v>3922</v>
      </c>
      <c r="N21" s="5">
        <v>4423</v>
      </c>
      <c r="O21" s="5">
        <f>SUM(Tabela32391011[[#This Row],[jan/23]:[dez/23]])</f>
        <v>50821</v>
      </c>
    </row>
    <row r="22" spans="1:15" x14ac:dyDescent="0.25">
      <c r="A22" s="4" t="s">
        <v>43</v>
      </c>
      <c r="B22" s="4" t="s">
        <v>66</v>
      </c>
      <c r="C22" s="5">
        <v>4633</v>
      </c>
      <c r="D22" s="5">
        <v>3171</v>
      </c>
      <c r="E22" s="5">
        <v>2984</v>
      </c>
      <c r="F22" s="5">
        <v>3632</v>
      </c>
      <c r="G22" s="5">
        <v>3960</v>
      </c>
      <c r="H22" s="5">
        <v>3918</v>
      </c>
      <c r="I22" s="5">
        <v>4040</v>
      </c>
      <c r="J22" s="5">
        <v>3471</v>
      </c>
      <c r="K22" s="5">
        <v>4040</v>
      </c>
      <c r="L22" s="5">
        <v>4773</v>
      </c>
      <c r="M22" s="5">
        <v>4431</v>
      </c>
      <c r="N22" s="5">
        <v>5824</v>
      </c>
      <c r="O22" s="5">
        <f>SUM(Tabela32391011[[#This Row],[jan/23]:[dez/23]])</f>
        <v>48877</v>
      </c>
    </row>
    <row r="23" spans="1:15" x14ac:dyDescent="0.25">
      <c r="A23" s="4" t="s">
        <v>45</v>
      </c>
      <c r="B23" s="4" t="s">
        <v>793</v>
      </c>
      <c r="C23" s="5">
        <v>5294</v>
      </c>
      <c r="D23" s="5">
        <v>2814</v>
      </c>
      <c r="E23" s="5">
        <v>2345</v>
      </c>
      <c r="F23" s="5">
        <v>2677</v>
      </c>
      <c r="G23" s="5">
        <v>4499</v>
      </c>
      <c r="H23" s="5">
        <v>4725</v>
      </c>
      <c r="I23" s="5">
        <v>5051</v>
      </c>
      <c r="J23" s="5">
        <v>4085</v>
      </c>
      <c r="K23" s="5">
        <v>5143</v>
      </c>
      <c r="L23" s="5">
        <v>3865</v>
      </c>
      <c r="M23" s="5">
        <v>3398</v>
      </c>
      <c r="N23" s="5">
        <v>4506</v>
      </c>
      <c r="O23" s="5">
        <f>SUM(Tabela32391011[[#This Row],[jan/23]:[dez/23]])</f>
        <v>48402</v>
      </c>
    </row>
    <row r="24" spans="1:15" x14ac:dyDescent="0.25">
      <c r="A24" s="4" t="s">
        <v>47</v>
      </c>
      <c r="B24" s="4" t="s">
        <v>604</v>
      </c>
      <c r="C24" s="5">
        <v>3884</v>
      </c>
      <c r="D24" s="5">
        <v>3513</v>
      </c>
      <c r="E24" s="5">
        <v>2633</v>
      </c>
      <c r="F24" s="5">
        <v>3572</v>
      </c>
      <c r="G24" s="5">
        <v>3734</v>
      </c>
      <c r="H24" s="5">
        <v>3078</v>
      </c>
      <c r="I24" s="5">
        <v>4551</v>
      </c>
      <c r="J24" s="5">
        <v>3627</v>
      </c>
      <c r="K24" s="5">
        <v>4564</v>
      </c>
      <c r="L24" s="5">
        <v>4518</v>
      </c>
      <c r="M24" s="5">
        <v>4407</v>
      </c>
      <c r="N24" s="5">
        <v>4980</v>
      </c>
      <c r="O24" s="5">
        <f>SUM(Tabela32391011[[#This Row],[jan/23]:[dez/23]])</f>
        <v>47061</v>
      </c>
    </row>
    <row r="25" spans="1:15" x14ac:dyDescent="0.25">
      <c r="A25" s="4" t="s">
        <v>49</v>
      </c>
      <c r="B25" s="4" t="s">
        <v>112</v>
      </c>
      <c r="C25" s="5">
        <v>3089</v>
      </c>
      <c r="D25" s="5">
        <v>3353</v>
      </c>
      <c r="E25" s="5">
        <v>3273</v>
      </c>
      <c r="F25" s="5">
        <v>4088</v>
      </c>
      <c r="G25" s="5">
        <v>4083</v>
      </c>
      <c r="H25" s="5">
        <v>3540</v>
      </c>
      <c r="I25" s="5">
        <v>4303</v>
      </c>
      <c r="J25" s="5">
        <v>4027</v>
      </c>
      <c r="K25" s="5">
        <v>4937</v>
      </c>
      <c r="L25" s="5">
        <v>3417</v>
      </c>
      <c r="M25" s="5">
        <v>2949</v>
      </c>
      <c r="N25" s="5">
        <v>5407</v>
      </c>
      <c r="O25" s="5">
        <f>SUM(Tabela32391011[[#This Row],[jan/23]:[dez/23]])</f>
        <v>46466</v>
      </c>
    </row>
    <row r="26" spans="1:15" x14ac:dyDescent="0.25">
      <c r="A26" s="4" t="s">
        <v>51</v>
      </c>
      <c r="B26" s="4" t="s">
        <v>404</v>
      </c>
      <c r="C26" s="5">
        <v>2193</v>
      </c>
      <c r="D26" s="5">
        <v>837</v>
      </c>
      <c r="E26" s="5">
        <v>176</v>
      </c>
      <c r="F26" s="5">
        <v>62</v>
      </c>
      <c r="G26" s="5">
        <v>16</v>
      </c>
      <c r="H26" s="5">
        <v>21</v>
      </c>
      <c r="I26" s="5">
        <v>50</v>
      </c>
      <c r="J26" s="5">
        <v>319</v>
      </c>
      <c r="K26" s="5">
        <v>7093</v>
      </c>
      <c r="L26" s="5">
        <v>9603</v>
      </c>
      <c r="M26" s="5">
        <v>10748</v>
      </c>
      <c r="N26" s="5">
        <v>12720</v>
      </c>
      <c r="O26" s="5">
        <f>SUM(Tabela32391011[[#This Row],[jan/23]:[dez/23]])</f>
        <v>43838</v>
      </c>
    </row>
    <row r="27" spans="1:15" x14ac:dyDescent="0.25">
      <c r="A27" s="4" t="s">
        <v>53</v>
      </c>
      <c r="B27" s="4" t="s">
        <v>38</v>
      </c>
      <c r="C27" s="5">
        <v>3232</v>
      </c>
      <c r="D27" s="5">
        <v>2801</v>
      </c>
      <c r="E27" s="5">
        <v>3052</v>
      </c>
      <c r="F27" s="5">
        <v>3524</v>
      </c>
      <c r="G27" s="5">
        <v>3617</v>
      </c>
      <c r="H27" s="5">
        <v>3230</v>
      </c>
      <c r="I27" s="5">
        <v>4027</v>
      </c>
      <c r="J27" s="5">
        <v>3363</v>
      </c>
      <c r="K27" s="5">
        <v>3781</v>
      </c>
      <c r="L27" s="5">
        <v>3898</v>
      </c>
      <c r="M27" s="5">
        <v>3697</v>
      </c>
      <c r="N27" s="5">
        <v>5088</v>
      </c>
      <c r="O27" s="5">
        <f>SUM(Tabela32391011[[#This Row],[jan/23]:[dez/23]])</f>
        <v>43310</v>
      </c>
    </row>
    <row r="28" spans="1:15" x14ac:dyDescent="0.25">
      <c r="A28" s="4" t="s">
        <v>55</v>
      </c>
      <c r="B28" s="4" t="s">
        <v>802</v>
      </c>
      <c r="C28" s="5">
        <v>5374</v>
      </c>
      <c r="D28" s="5">
        <v>3953</v>
      </c>
      <c r="E28" s="5">
        <v>3400</v>
      </c>
      <c r="F28" s="5">
        <v>4252</v>
      </c>
      <c r="G28" s="5">
        <v>4421</v>
      </c>
      <c r="H28" s="5">
        <v>3046</v>
      </c>
      <c r="I28" s="5">
        <v>2121</v>
      </c>
      <c r="J28" s="5">
        <v>1257</v>
      </c>
      <c r="K28" s="5">
        <v>1812</v>
      </c>
      <c r="L28" s="5">
        <v>4218</v>
      </c>
      <c r="M28" s="5">
        <v>4006</v>
      </c>
      <c r="N28" s="5">
        <v>4794</v>
      </c>
      <c r="O28" s="5">
        <f>SUM(Tabela32391011[[#This Row],[jan/23]:[dez/23]])</f>
        <v>42654</v>
      </c>
    </row>
    <row r="29" spans="1:15" x14ac:dyDescent="0.25">
      <c r="A29" s="4" t="s">
        <v>57</v>
      </c>
      <c r="B29" s="4" t="s">
        <v>578</v>
      </c>
      <c r="C29" s="5">
        <v>2682</v>
      </c>
      <c r="D29" s="5">
        <v>2768</v>
      </c>
      <c r="E29" s="5">
        <v>2587</v>
      </c>
      <c r="F29" s="5">
        <v>3438</v>
      </c>
      <c r="G29" s="5">
        <v>2961</v>
      </c>
      <c r="H29" s="5">
        <v>2473</v>
      </c>
      <c r="I29" s="5">
        <v>3120</v>
      </c>
      <c r="J29" s="5">
        <v>3234</v>
      </c>
      <c r="K29" s="5">
        <v>3394</v>
      </c>
      <c r="L29" s="5">
        <v>4016</v>
      </c>
      <c r="M29" s="5">
        <v>3959</v>
      </c>
      <c r="N29" s="5">
        <v>4182</v>
      </c>
      <c r="O29" s="5">
        <f>SUM(Tabela32391011[[#This Row],[jan/23]:[dez/23]])</f>
        <v>38814</v>
      </c>
    </row>
    <row r="30" spans="1:15" x14ac:dyDescent="0.25">
      <c r="A30" s="4" t="s">
        <v>59</v>
      </c>
      <c r="B30" s="4" t="s">
        <v>70</v>
      </c>
      <c r="C30" s="5">
        <v>3044</v>
      </c>
      <c r="D30" s="5">
        <v>2496</v>
      </c>
      <c r="E30" s="5">
        <v>2435</v>
      </c>
      <c r="F30" s="5">
        <v>3254</v>
      </c>
      <c r="G30" s="5">
        <v>2962</v>
      </c>
      <c r="H30" s="5">
        <v>2633</v>
      </c>
      <c r="I30" s="5">
        <v>3688</v>
      </c>
      <c r="J30" s="5">
        <v>2995</v>
      </c>
      <c r="K30" s="5">
        <v>3855</v>
      </c>
      <c r="L30" s="5">
        <v>3006</v>
      </c>
      <c r="M30" s="5">
        <v>3198</v>
      </c>
      <c r="N30" s="5">
        <v>3231</v>
      </c>
      <c r="O30" s="5">
        <f>SUM(Tabela32391011[[#This Row],[jan/23]:[dez/23]])</f>
        <v>36797</v>
      </c>
    </row>
    <row r="31" spans="1:15" x14ac:dyDescent="0.25">
      <c r="A31" s="4" t="s">
        <v>61</v>
      </c>
      <c r="B31" s="4" t="s">
        <v>52</v>
      </c>
      <c r="C31" s="5">
        <v>2801</v>
      </c>
      <c r="D31" s="5">
        <v>3455</v>
      </c>
      <c r="E31" s="5">
        <v>3158</v>
      </c>
      <c r="F31" s="5">
        <v>3781</v>
      </c>
      <c r="G31" s="5">
        <v>2471</v>
      </c>
      <c r="H31" s="5">
        <v>2319</v>
      </c>
      <c r="I31" s="5">
        <v>2446</v>
      </c>
      <c r="J31" s="5">
        <v>1754</v>
      </c>
      <c r="K31" s="5">
        <v>3307</v>
      </c>
      <c r="L31" s="5">
        <v>4306</v>
      </c>
      <c r="M31" s="5">
        <v>3258</v>
      </c>
      <c r="N31" s="5">
        <v>2679</v>
      </c>
      <c r="O31" s="5">
        <f>SUM(Tabela32391011[[#This Row],[jan/23]:[dez/23]])</f>
        <v>35735</v>
      </c>
    </row>
    <row r="32" spans="1:15" x14ac:dyDescent="0.25">
      <c r="A32" s="4" t="s">
        <v>63</v>
      </c>
      <c r="B32" s="4" t="s">
        <v>60</v>
      </c>
      <c r="C32" s="5">
        <v>2991</v>
      </c>
      <c r="D32" s="5">
        <v>2937</v>
      </c>
      <c r="E32" s="5">
        <v>2398</v>
      </c>
      <c r="F32" s="5">
        <v>2332</v>
      </c>
      <c r="G32" s="5">
        <v>2508</v>
      </c>
      <c r="H32" s="5">
        <v>2334</v>
      </c>
      <c r="I32" s="5">
        <v>2230</v>
      </c>
      <c r="J32" s="5">
        <v>2272</v>
      </c>
      <c r="K32" s="5">
        <v>2210</v>
      </c>
      <c r="L32" s="5">
        <v>2071</v>
      </c>
      <c r="M32" s="5">
        <v>2085</v>
      </c>
      <c r="N32" s="5">
        <v>2377</v>
      </c>
      <c r="O32" s="5">
        <f>SUM(Tabela32391011[[#This Row],[jan/23]:[dez/23]])</f>
        <v>28745</v>
      </c>
    </row>
    <row r="33" spans="1:15" x14ac:dyDescent="0.25">
      <c r="A33" s="4" t="s">
        <v>65</v>
      </c>
      <c r="B33" s="4" t="s">
        <v>576</v>
      </c>
      <c r="C33" s="5">
        <v>2254</v>
      </c>
      <c r="D33" s="5">
        <v>1872</v>
      </c>
      <c r="E33" s="5">
        <v>1820</v>
      </c>
      <c r="F33" s="5">
        <v>2210</v>
      </c>
      <c r="G33" s="5">
        <v>2240</v>
      </c>
      <c r="H33" s="5">
        <v>1859</v>
      </c>
      <c r="I33" s="5">
        <v>2200</v>
      </c>
      <c r="J33" s="5">
        <v>2170</v>
      </c>
      <c r="K33" s="5">
        <v>2460</v>
      </c>
      <c r="L33" s="5">
        <v>2937</v>
      </c>
      <c r="M33" s="5">
        <v>2822</v>
      </c>
      <c r="N33" s="5">
        <v>2762</v>
      </c>
      <c r="O33" s="5">
        <f>SUM(Tabela32391011[[#This Row],[jan/23]:[dez/23]])</f>
        <v>27606</v>
      </c>
    </row>
    <row r="34" spans="1:15" x14ac:dyDescent="0.25">
      <c r="A34" s="4" t="s">
        <v>67</v>
      </c>
      <c r="B34" s="4" t="s">
        <v>82</v>
      </c>
      <c r="C34" s="5">
        <v>2659</v>
      </c>
      <c r="D34" s="5">
        <v>1952</v>
      </c>
      <c r="E34" s="5">
        <v>2072</v>
      </c>
      <c r="F34" s="5">
        <v>2314</v>
      </c>
      <c r="G34" s="5">
        <v>1424</v>
      </c>
      <c r="H34" s="5">
        <v>1091</v>
      </c>
      <c r="I34" s="5">
        <v>1282</v>
      </c>
      <c r="J34" s="5">
        <v>937</v>
      </c>
      <c r="K34" s="5">
        <v>713</v>
      </c>
      <c r="L34" s="5">
        <v>2524</v>
      </c>
      <c r="M34" s="5">
        <v>3077</v>
      </c>
      <c r="N34" s="5">
        <v>4685</v>
      </c>
      <c r="O34" s="5">
        <f>SUM(Tabela32391011[[#This Row],[jan/23]:[dez/23]])</f>
        <v>24730</v>
      </c>
    </row>
    <row r="35" spans="1:15" x14ac:dyDescent="0.25">
      <c r="A35" s="4" t="s">
        <v>69</v>
      </c>
      <c r="B35" s="4" t="s">
        <v>584</v>
      </c>
      <c r="C35" s="5">
        <v>1806</v>
      </c>
      <c r="D35" s="5">
        <v>1365</v>
      </c>
      <c r="E35" s="5">
        <v>1076</v>
      </c>
      <c r="F35" s="5">
        <v>1276</v>
      </c>
      <c r="G35" s="5">
        <v>1696</v>
      </c>
      <c r="H35" s="5">
        <v>2131</v>
      </c>
      <c r="I35" s="5">
        <v>2081</v>
      </c>
      <c r="J35" s="5">
        <v>2292</v>
      </c>
      <c r="K35" s="5">
        <v>2559</v>
      </c>
      <c r="L35" s="5">
        <v>2504</v>
      </c>
      <c r="M35" s="5">
        <v>2861</v>
      </c>
      <c r="N35" s="5">
        <v>3007</v>
      </c>
      <c r="O35" s="5">
        <f>SUM(Tabela32391011[[#This Row],[jan/23]:[dez/23]])</f>
        <v>24654</v>
      </c>
    </row>
    <row r="36" spans="1:15" x14ac:dyDescent="0.25">
      <c r="A36" s="4" t="s">
        <v>71</v>
      </c>
      <c r="B36" s="4" t="s">
        <v>656</v>
      </c>
      <c r="C36" s="5">
        <v>3623</v>
      </c>
      <c r="D36" s="5">
        <v>2478</v>
      </c>
      <c r="E36" s="5">
        <v>1805</v>
      </c>
      <c r="F36" s="5">
        <v>2270</v>
      </c>
      <c r="G36" s="5">
        <v>2178</v>
      </c>
      <c r="H36" s="5">
        <v>2281</v>
      </c>
      <c r="I36" s="5">
        <v>2219</v>
      </c>
      <c r="J36" s="5">
        <v>1553</v>
      </c>
      <c r="K36" s="5">
        <v>1396</v>
      </c>
      <c r="L36" s="5">
        <v>1298</v>
      </c>
      <c r="M36" s="5">
        <v>1504</v>
      </c>
      <c r="N36" s="5">
        <v>2044</v>
      </c>
      <c r="O36" s="5">
        <f>SUM(Tabela32391011[[#This Row],[jan/23]:[dez/23]])</f>
        <v>24649</v>
      </c>
    </row>
    <row r="37" spans="1:15" x14ac:dyDescent="0.25">
      <c r="A37" s="4" t="s">
        <v>73</v>
      </c>
      <c r="B37" s="4" t="s">
        <v>178</v>
      </c>
      <c r="C37" s="5">
        <v>2501</v>
      </c>
      <c r="D37" s="5">
        <v>1845</v>
      </c>
      <c r="E37" s="5">
        <v>1423</v>
      </c>
      <c r="F37" s="5">
        <v>1437</v>
      </c>
      <c r="G37" s="5">
        <v>1651</v>
      </c>
      <c r="H37" s="5">
        <v>1619</v>
      </c>
      <c r="I37" s="5">
        <v>1982</v>
      </c>
      <c r="J37" s="5">
        <v>1559</v>
      </c>
      <c r="K37" s="5">
        <v>1860</v>
      </c>
      <c r="L37" s="5">
        <v>2393</v>
      </c>
      <c r="M37" s="5">
        <v>3665</v>
      </c>
      <c r="N37" s="5">
        <v>2572</v>
      </c>
      <c r="O37" s="5">
        <f>SUM(Tabela32391011[[#This Row],[jan/23]:[dez/23]])</f>
        <v>24507</v>
      </c>
    </row>
    <row r="38" spans="1:15" x14ac:dyDescent="0.25">
      <c r="A38" s="4" t="s">
        <v>75</v>
      </c>
      <c r="B38" s="4" t="s">
        <v>74</v>
      </c>
      <c r="C38" s="5">
        <v>1887</v>
      </c>
      <c r="D38" s="5">
        <v>1615</v>
      </c>
      <c r="E38" s="5">
        <v>1607</v>
      </c>
      <c r="F38" s="5">
        <v>2342</v>
      </c>
      <c r="G38" s="5">
        <v>2139</v>
      </c>
      <c r="H38" s="5">
        <v>1766</v>
      </c>
      <c r="I38" s="5">
        <v>2325</v>
      </c>
      <c r="J38" s="5">
        <v>2153</v>
      </c>
      <c r="K38" s="5">
        <v>2025</v>
      </c>
      <c r="L38" s="5">
        <v>2056</v>
      </c>
      <c r="M38" s="5">
        <v>1906</v>
      </c>
      <c r="N38" s="5">
        <v>2315</v>
      </c>
      <c r="O38" s="5">
        <f>SUM(Tabela32391011[[#This Row],[jan/23]:[dez/23]])</f>
        <v>24136</v>
      </c>
    </row>
    <row r="39" spans="1:15" x14ac:dyDescent="0.25">
      <c r="A39" s="4" t="s">
        <v>77</v>
      </c>
      <c r="B39" s="4" t="s">
        <v>551</v>
      </c>
      <c r="C39" s="5">
        <v>2811</v>
      </c>
      <c r="D39" s="5">
        <v>1520</v>
      </c>
      <c r="E39" s="5">
        <v>2030</v>
      </c>
      <c r="F39" s="5">
        <v>2266</v>
      </c>
      <c r="G39" s="5">
        <v>2476</v>
      </c>
      <c r="H39" s="5">
        <v>2151</v>
      </c>
      <c r="I39" s="5">
        <v>2928</v>
      </c>
      <c r="J39" s="5">
        <v>2477</v>
      </c>
      <c r="K39" s="5">
        <v>1541</v>
      </c>
      <c r="L39" s="5">
        <v>1373</v>
      </c>
      <c r="M39" s="5">
        <v>1084</v>
      </c>
      <c r="N39" s="5">
        <v>1287</v>
      </c>
      <c r="O39" s="5">
        <f>SUM(Tabela32391011[[#This Row],[jan/23]:[dez/23]])</f>
        <v>23944</v>
      </c>
    </row>
    <row r="40" spans="1:15" x14ac:dyDescent="0.25">
      <c r="A40" s="4" t="s">
        <v>79</v>
      </c>
      <c r="B40" s="4" t="s">
        <v>72</v>
      </c>
      <c r="C40" s="5">
        <v>1458</v>
      </c>
      <c r="D40" s="5">
        <v>2146</v>
      </c>
      <c r="E40" s="5">
        <v>1575</v>
      </c>
      <c r="F40" s="5">
        <v>1823</v>
      </c>
      <c r="G40" s="5">
        <v>2219</v>
      </c>
      <c r="H40" s="5">
        <v>1916</v>
      </c>
      <c r="I40" s="5">
        <v>2250</v>
      </c>
      <c r="J40" s="5">
        <v>1972</v>
      </c>
      <c r="K40" s="5">
        <v>2262</v>
      </c>
      <c r="L40" s="5">
        <v>2595</v>
      </c>
      <c r="M40" s="5">
        <v>1901</v>
      </c>
      <c r="N40" s="5">
        <v>1707</v>
      </c>
      <c r="O40" s="5">
        <f>SUM(Tabela32391011[[#This Row],[jan/23]:[dez/23]])</f>
        <v>23824</v>
      </c>
    </row>
    <row r="41" spans="1:15" x14ac:dyDescent="0.25">
      <c r="A41" s="4" t="s">
        <v>81</v>
      </c>
      <c r="B41" s="4" t="s">
        <v>54</v>
      </c>
      <c r="C41" s="5">
        <v>3033</v>
      </c>
      <c r="D41" s="5">
        <v>1924</v>
      </c>
      <c r="E41" s="5">
        <v>1606</v>
      </c>
      <c r="F41" s="5">
        <v>1815</v>
      </c>
      <c r="G41" s="5">
        <v>1829</v>
      </c>
      <c r="H41" s="5">
        <v>1562</v>
      </c>
      <c r="I41" s="5">
        <v>1738</v>
      </c>
      <c r="J41" s="5">
        <v>1798</v>
      </c>
      <c r="K41" s="5">
        <v>2137</v>
      </c>
      <c r="L41" s="5">
        <v>1925</v>
      </c>
      <c r="M41" s="5">
        <v>1740</v>
      </c>
      <c r="N41" s="5">
        <v>2416</v>
      </c>
      <c r="O41" s="5">
        <f>SUM(Tabela32391011[[#This Row],[jan/23]:[dez/23]])</f>
        <v>23523</v>
      </c>
    </row>
    <row r="42" spans="1:15" x14ac:dyDescent="0.25">
      <c r="A42" s="4" t="s">
        <v>83</v>
      </c>
      <c r="B42" s="4" t="s">
        <v>535</v>
      </c>
      <c r="C42" s="5">
        <v>1749</v>
      </c>
      <c r="D42" s="5">
        <v>1988</v>
      </c>
      <c r="E42" s="5">
        <v>2002</v>
      </c>
      <c r="F42" s="5">
        <v>2034</v>
      </c>
      <c r="G42" s="5">
        <v>1666</v>
      </c>
      <c r="H42" s="5">
        <v>1428</v>
      </c>
      <c r="I42" s="5">
        <v>2260</v>
      </c>
      <c r="J42" s="5">
        <v>2218</v>
      </c>
      <c r="K42" s="5">
        <v>1580</v>
      </c>
      <c r="L42" s="5">
        <v>1670</v>
      </c>
      <c r="M42" s="5">
        <v>1508</v>
      </c>
      <c r="N42" s="5">
        <v>1759</v>
      </c>
      <c r="O42" s="5">
        <f>SUM(Tabela32391011[[#This Row],[jan/23]:[dez/23]])</f>
        <v>21862</v>
      </c>
    </row>
    <row r="43" spans="1:15" x14ac:dyDescent="0.25">
      <c r="A43" s="4" t="s">
        <v>85</v>
      </c>
      <c r="B43" s="4" t="s">
        <v>88</v>
      </c>
      <c r="C43" s="5">
        <v>1742</v>
      </c>
      <c r="D43" s="5">
        <v>1575</v>
      </c>
      <c r="E43" s="5">
        <v>1457</v>
      </c>
      <c r="F43" s="5">
        <v>1738</v>
      </c>
      <c r="G43" s="5">
        <v>1726</v>
      </c>
      <c r="H43" s="5">
        <v>1535</v>
      </c>
      <c r="I43" s="5">
        <v>1710</v>
      </c>
      <c r="J43" s="5">
        <v>1554</v>
      </c>
      <c r="K43" s="5">
        <v>2082</v>
      </c>
      <c r="L43" s="5">
        <v>1670</v>
      </c>
      <c r="M43" s="5">
        <v>1564</v>
      </c>
      <c r="N43" s="5">
        <v>2219</v>
      </c>
      <c r="O43" s="5">
        <f>SUM(Tabela32391011[[#This Row],[jan/23]:[dez/23]])</f>
        <v>20572</v>
      </c>
    </row>
    <row r="44" spans="1:15" x14ac:dyDescent="0.25">
      <c r="A44" s="4" t="s">
        <v>87</v>
      </c>
      <c r="B44" s="4" t="s">
        <v>792</v>
      </c>
      <c r="C44" s="5">
        <v>2641</v>
      </c>
      <c r="D44" s="5">
        <v>1355</v>
      </c>
      <c r="E44" s="5">
        <v>611</v>
      </c>
      <c r="F44" s="5">
        <v>933</v>
      </c>
      <c r="G44" s="5">
        <v>1427</v>
      </c>
      <c r="H44" s="5">
        <v>1285</v>
      </c>
      <c r="I44" s="5">
        <v>1896</v>
      </c>
      <c r="J44" s="5">
        <v>2239</v>
      </c>
      <c r="K44" s="5">
        <v>2389</v>
      </c>
      <c r="L44" s="5">
        <v>1618</v>
      </c>
      <c r="M44" s="5">
        <v>1667</v>
      </c>
      <c r="N44" s="5">
        <v>2240</v>
      </c>
      <c r="O44" s="5">
        <f>SUM(Tabela32391011[[#This Row],[jan/23]:[dez/23]])</f>
        <v>20301</v>
      </c>
    </row>
    <row r="45" spans="1:15" x14ac:dyDescent="0.25">
      <c r="A45" s="4" t="s">
        <v>89</v>
      </c>
      <c r="B45" s="4" t="s">
        <v>700</v>
      </c>
      <c r="C45" s="5">
        <v>1529</v>
      </c>
      <c r="D45" s="5">
        <v>1278</v>
      </c>
      <c r="E45" s="5">
        <v>1181</v>
      </c>
      <c r="F45" s="5">
        <v>1611</v>
      </c>
      <c r="G45" s="5">
        <v>1481</v>
      </c>
      <c r="H45" s="5">
        <v>1614</v>
      </c>
      <c r="I45" s="5">
        <v>1632</v>
      </c>
      <c r="J45" s="5">
        <v>1424</v>
      </c>
      <c r="K45" s="5">
        <v>1653</v>
      </c>
      <c r="L45" s="5">
        <v>1633</v>
      </c>
      <c r="M45" s="5">
        <v>1328</v>
      </c>
      <c r="N45" s="5">
        <v>1814</v>
      </c>
      <c r="O45" s="5">
        <f>SUM(Tabela32391011[[#This Row],[jan/23]:[dez/23]])</f>
        <v>18178</v>
      </c>
    </row>
    <row r="46" spans="1:15" x14ac:dyDescent="0.25">
      <c r="A46" s="4" t="s">
        <v>91</v>
      </c>
      <c r="B46" s="4" t="s">
        <v>104</v>
      </c>
      <c r="C46" s="5">
        <v>1896</v>
      </c>
      <c r="D46" s="5">
        <v>1582</v>
      </c>
      <c r="E46" s="5">
        <v>1064</v>
      </c>
      <c r="F46" s="5">
        <v>1359</v>
      </c>
      <c r="G46" s="5">
        <v>1726</v>
      </c>
      <c r="H46" s="5">
        <v>1332</v>
      </c>
      <c r="I46" s="5">
        <v>1432</v>
      </c>
      <c r="J46" s="5">
        <v>1444</v>
      </c>
      <c r="K46" s="5">
        <v>1327</v>
      </c>
      <c r="L46" s="5">
        <v>1337</v>
      </c>
      <c r="M46" s="5">
        <v>1370</v>
      </c>
      <c r="N46" s="5">
        <v>1981</v>
      </c>
      <c r="O46" s="5">
        <f>SUM(Tabela32391011[[#This Row],[jan/23]:[dez/23]])</f>
        <v>17850</v>
      </c>
    </row>
    <row r="47" spans="1:15" x14ac:dyDescent="0.25">
      <c r="A47" s="4" t="s">
        <v>93</v>
      </c>
      <c r="B47" s="4" t="s">
        <v>600</v>
      </c>
      <c r="C47" s="5">
        <v>1536</v>
      </c>
      <c r="D47" s="5">
        <v>1256</v>
      </c>
      <c r="E47" s="5">
        <v>1488</v>
      </c>
      <c r="F47" s="5">
        <v>1417</v>
      </c>
      <c r="G47" s="5">
        <v>1379</v>
      </c>
      <c r="H47" s="5">
        <v>1388</v>
      </c>
      <c r="I47" s="5">
        <v>1615</v>
      </c>
      <c r="J47" s="5">
        <v>1605</v>
      </c>
      <c r="K47" s="5">
        <v>2011</v>
      </c>
      <c r="L47" s="5">
        <v>1649</v>
      </c>
      <c r="M47" s="5">
        <v>1436</v>
      </c>
      <c r="N47" s="5">
        <v>962</v>
      </c>
      <c r="O47" s="5">
        <f>SUM(Tabela32391011[[#This Row],[jan/23]:[dez/23]])</f>
        <v>17742</v>
      </c>
    </row>
    <row r="48" spans="1:15" x14ac:dyDescent="0.25">
      <c r="A48" s="4" t="s">
        <v>95</v>
      </c>
      <c r="B48" s="4" t="s">
        <v>256</v>
      </c>
      <c r="C48" s="5">
        <v>2359</v>
      </c>
      <c r="D48" s="5">
        <v>1340</v>
      </c>
      <c r="E48" s="5">
        <v>1035</v>
      </c>
      <c r="F48" s="5">
        <v>1637</v>
      </c>
      <c r="G48" s="5">
        <v>1724</v>
      </c>
      <c r="H48" s="5">
        <v>1105</v>
      </c>
      <c r="I48" s="5">
        <v>961</v>
      </c>
      <c r="J48" s="5">
        <v>905</v>
      </c>
      <c r="K48" s="5">
        <v>1430</v>
      </c>
      <c r="L48" s="5">
        <v>1157</v>
      </c>
      <c r="M48" s="5">
        <v>1628</v>
      </c>
      <c r="N48" s="5">
        <v>1769</v>
      </c>
      <c r="O48" s="5">
        <f>SUM(Tabela32391011[[#This Row],[jan/23]:[dez/23]])</f>
        <v>17050</v>
      </c>
    </row>
    <row r="49" spans="1:15" x14ac:dyDescent="0.25">
      <c r="A49" s="4" t="s">
        <v>97</v>
      </c>
      <c r="B49" s="4" t="s">
        <v>790</v>
      </c>
      <c r="C49" s="5">
        <v>1901</v>
      </c>
      <c r="D49" s="5">
        <v>1686</v>
      </c>
      <c r="E49" s="5">
        <v>1340</v>
      </c>
      <c r="F49" s="5">
        <v>1522</v>
      </c>
      <c r="G49" s="5">
        <v>1607</v>
      </c>
      <c r="H49" s="5">
        <v>1583</v>
      </c>
      <c r="I49" s="5">
        <v>1598</v>
      </c>
      <c r="J49" s="5">
        <v>1206</v>
      </c>
      <c r="K49" s="5">
        <v>1207</v>
      </c>
      <c r="L49" s="5">
        <v>1153</v>
      </c>
      <c r="M49" s="5">
        <v>905</v>
      </c>
      <c r="N49" s="5">
        <v>1068</v>
      </c>
      <c r="O49" s="5">
        <f>SUM(Tabela32391011[[#This Row],[jan/23]:[dez/23]])</f>
        <v>16776</v>
      </c>
    </row>
    <row r="50" spans="1:15" x14ac:dyDescent="0.25">
      <c r="A50" s="4" t="s">
        <v>99</v>
      </c>
      <c r="B50" s="4" t="s">
        <v>601</v>
      </c>
      <c r="C50" s="5">
        <v>1979</v>
      </c>
      <c r="D50" s="5">
        <v>1665</v>
      </c>
      <c r="E50" s="5">
        <v>1392</v>
      </c>
      <c r="F50" s="5">
        <v>1504</v>
      </c>
      <c r="G50" s="5">
        <v>1394</v>
      </c>
      <c r="H50" s="5">
        <v>1337</v>
      </c>
      <c r="I50" s="5">
        <v>1311</v>
      </c>
      <c r="J50" s="5">
        <v>1359</v>
      </c>
      <c r="K50" s="5">
        <v>1371</v>
      </c>
      <c r="L50" s="5">
        <v>946</v>
      </c>
      <c r="M50" s="5">
        <v>729</v>
      </c>
      <c r="N50" s="5">
        <v>1120</v>
      </c>
      <c r="O50" s="5">
        <f>SUM(Tabela32391011[[#This Row],[jan/23]:[dez/23]])</f>
        <v>16107</v>
      </c>
    </row>
    <row r="51" spans="1:15" x14ac:dyDescent="0.25">
      <c r="A51" s="4" t="s">
        <v>101</v>
      </c>
      <c r="B51" s="4" t="s">
        <v>98</v>
      </c>
      <c r="C51" s="5">
        <v>1454</v>
      </c>
      <c r="D51" s="5">
        <v>657</v>
      </c>
      <c r="E51" s="5">
        <v>352</v>
      </c>
      <c r="F51" s="5">
        <v>718</v>
      </c>
      <c r="G51" s="5">
        <v>961</v>
      </c>
      <c r="H51" s="5">
        <v>1012</v>
      </c>
      <c r="I51" s="5">
        <v>1348</v>
      </c>
      <c r="J51" s="5">
        <v>1250</v>
      </c>
      <c r="K51" s="5">
        <v>1387</v>
      </c>
      <c r="L51" s="5">
        <v>1396</v>
      </c>
      <c r="M51" s="5">
        <v>1972</v>
      </c>
      <c r="N51" s="5">
        <v>2893</v>
      </c>
      <c r="O51" s="5">
        <f>SUM(Tabela32391011[[#This Row],[jan/23]:[dez/23]])</f>
        <v>15400</v>
      </c>
    </row>
    <row r="52" spans="1:15" x14ac:dyDescent="0.25">
      <c r="A52" s="4" t="s">
        <v>103</v>
      </c>
      <c r="B52" s="4" t="s">
        <v>398</v>
      </c>
      <c r="C52" s="5">
        <v>1052</v>
      </c>
      <c r="D52" s="4">
        <v>965</v>
      </c>
      <c r="E52" s="5">
        <v>920</v>
      </c>
      <c r="F52" s="5">
        <v>1332</v>
      </c>
      <c r="G52" s="5">
        <v>1424</v>
      </c>
      <c r="H52" s="5">
        <v>1333</v>
      </c>
      <c r="I52" s="5">
        <v>1547</v>
      </c>
      <c r="J52" s="5">
        <v>1304</v>
      </c>
      <c r="K52" s="5">
        <v>1393</v>
      </c>
      <c r="L52" s="5">
        <v>1426</v>
      </c>
      <c r="M52" s="5">
        <v>1156</v>
      </c>
      <c r="N52" s="5">
        <v>1464</v>
      </c>
      <c r="O52" s="5">
        <f>SUM(Tabela32391011[[#This Row],[jan/23]:[dez/23]])</f>
        <v>15316</v>
      </c>
    </row>
    <row r="53" spans="1:15" x14ac:dyDescent="0.25">
      <c r="A53" s="4" t="s">
        <v>105</v>
      </c>
      <c r="B53" s="4" t="s">
        <v>116</v>
      </c>
      <c r="C53" s="5">
        <v>1086</v>
      </c>
      <c r="D53" s="5">
        <v>1078</v>
      </c>
      <c r="E53" s="5">
        <v>1047</v>
      </c>
      <c r="F53" s="5">
        <v>1481</v>
      </c>
      <c r="G53" s="5">
        <v>1233</v>
      </c>
      <c r="H53" s="5">
        <v>1019</v>
      </c>
      <c r="I53" s="5">
        <v>1041</v>
      </c>
      <c r="J53" s="5">
        <v>1132</v>
      </c>
      <c r="K53" s="5">
        <v>1273</v>
      </c>
      <c r="L53" s="5">
        <v>1160</v>
      </c>
      <c r="M53" s="5">
        <v>1183</v>
      </c>
      <c r="N53" s="5">
        <v>1537</v>
      </c>
      <c r="O53" s="5">
        <f>SUM(Tabela32391011[[#This Row],[jan/23]:[dez/23]])</f>
        <v>14270</v>
      </c>
    </row>
    <row r="54" spans="1:15" x14ac:dyDescent="0.25">
      <c r="A54" s="4" t="s">
        <v>107</v>
      </c>
      <c r="B54" s="4" t="s">
        <v>19</v>
      </c>
      <c r="C54" s="5">
        <v>2572</v>
      </c>
      <c r="D54" s="5">
        <v>1617</v>
      </c>
      <c r="E54" s="5">
        <v>745</v>
      </c>
      <c r="F54" s="5">
        <v>1084</v>
      </c>
      <c r="G54" s="5">
        <v>1291</v>
      </c>
      <c r="H54" s="5">
        <v>1190</v>
      </c>
      <c r="I54" s="5">
        <v>969</v>
      </c>
      <c r="J54" s="5">
        <v>745</v>
      </c>
      <c r="K54" s="5">
        <v>514</v>
      </c>
      <c r="L54" s="5">
        <v>1031</v>
      </c>
      <c r="M54" s="5">
        <v>1085</v>
      </c>
      <c r="N54" s="5">
        <v>1328</v>
      </c>
      <c r="O54" s="5">
        <f>SUM(Tabela32391011[[#This Row],[jan/23]:[dez/23]])</f>
        <v>14171</v>
      </c>
    </row>
    <row r="55" spans="1:15" x14ac:dyDescent="0.25">
      <c r="A55" s="4" t="s">
        <v>109</v>
      </c>
      <c r="B55" s="4" t="s">
        <v>78</v>
      </c>
      <c r="C55" s="5">
        <v>1024</v>
      </c>
      <c r="D55" s="5">
        <v>872</v>
      </c>
      <c r="E55" s="5">
        <v>903</v>
      </c>
      <c r="F55" s="5">
        <v>1119</v>
      </c>
      <c r="G55" s="5">
        <v>1238</v>
      </c>
      <c r="H55" s="5">
        <v>989</v>
      </c>
      <c r="I55" s="5">
        <v>1377</v>
      </c>
      <c r="J55" s="5">
        <v>1346</v>
      </c>
      <c r="K55" s="5">
        <v>1106</v>
      </c>
      <c r="L55" s="5">
        <v>1178</v>
      </c>
      <c r="M55" s="5">
        <v>1075</v>
      </c>
      <c r="N55" s="5">
        <v>1433</v>
      </c>
      <c r="O55" s="5">
        <f>SUM(Tabela32391011[[#This Row],[jan/23]:[dez/23]])</f>
        <v>13660</v>
      </c>
    </row>
    <row r="56" spans="1:15" x14ac:dyDescent="0.25">
      <c r="A56" s="4" t="s">
        <v>111</v>
      </c>
      <c r="B56" s="4" t="s">
        <v>446</v>
      </c>
      <c r="C56" s="5">
        <v>714</v>
      </c>
      <c r="D56" s="5">
        <v>1013</v>
      </c>
      <c r="E56" s="5">
        <v>1178</v>
      </c>
      <c r="F56" s="5">
        <v>1031</v>
      </c>
      <c r="G56" s="5">
        <v>1255</v>
      </c>
      <c r="H56" s="5">
        <v>868</v>
      </c>
      <c r="I56" s="5">
        <v>1241</v>
      </c>
      <c r="J56" s="5">
        <v>784</v>
      </c>
      <c r="K56" s="5">
        <v>1182</v>
      </c>
      <c r="L56" s="5">
        <v>1243</v>
      </c>
      <c r="M56" s="5">
        <v>1060</v>
      </c>
      <c r="N56" s="5">
        <v>1233</v>
      </c>
      <c r="O56" s="5">
        <f>SUM(Tabela32391011[[#This Row],[jan/23]:[dez/23]])</f>
        <v>12802</v>
      </c>
    </row>
    <row r="57" spans="1:15" x14ac:dyDescent="0.25">
      <c r="A57" s="4" t="s">
        <v>113</v>
      </c>
      <c r="B57" s="4" t="s">
        <v>597</v>
      </c>
      <c r="C57" s="5">
        <v>1490</v>
      </c>
      <c r="D57" s="5">
        <v>1221</v>
      </c>
      <c r="E57" s="5">
        <v>1049</v>
      </c>
      <c r="F57" s="5">
        <v>1145</v>
      </c>
      <c r="G57" s="5">
        <v>1100</v>
      </c>
      <c r="H57" s="5">
        <v>849</v>
      </c>
      <c r="I57" s="5">
        <v>953</v>
      </c>
      <c r="J57" s="5">
        <v>868</v>
      </c>
      <c r="K57" s="5">
        <v>740</v>
      </c>
      <c r="L57" s="4">
        <v>465</v>
      </c>
      <c r="M57" s="5">
        <v>1009</v>
      </c>
      <c r="N57" s="5">
        <v>1427</v>
      </c>
      <c r="O57" s="5">
        <f>SUM(Tabela32391011[[#This Row],[jan/23]:[dez/23]])</f>
        <v>12316</v>
      </c>
    </row>
    <row r="58" spans="1:15" x14ac:dyDescent="0.25">
      <c r="A58" s="4" t="s">
        <v>115</v>
      </c>
      <c r="B58" s="4" t="s">
        <v>570</v>
      </c>
      <c r="C58" s="5">
        <v>1341</v>
      </c>
      <c r="D58" s="5">
        <v>1022</v>
      </c>
      <c r="E58" s="4">
        <v>867</v>
      </c>
      <c r="F58" s="5">
        <v>1160</v>
      </c>
      <c r="G58" s="5">
        <v>1057</v>
      </c>
      <c r="H58" s="4">
        <v>954</v>
      </c>
      <c r="I58" s="5">
        <v>1125</v>
      </c>
      <c r="J58" s="5">
        <v>1066</v>
      </c>
      <c r="K58" s="4">
        <v>819</v>
      </c>
      <c r="L58" s="5">
        <v>972</v>
      </c>
      <c r="M58" s="5">
        <v>971</v>
      </c>
      <c r="N58" s="5">
        <v>948</v>
      </c>
      <c r="O58" s="5">
        <f>SUM(Tabela32391011[[#This Row],[jan/23]:[dez/23]])</f>
        <v>12302</v>
      </c>
    </row>
    <row r="59" spans="1:15" x14ac:dyDescent="0.25">
      <c r="A59" s="4" t="s">
        <v>117</v>
      </c>
      <c r="B59" s="4" t="s">
        <v>90</v>
      </c>
      <c r="C59" s="4">
        <v>973</v>
      </c>
      <c r="D59" s="5">
        <v>778</v>
      </c>
      <c r="E59" s="5">
        <v>656</v>
      </c>
      <c r="F59" s="4">
        <v>742</v>
      </c>
      <c r="G59" s="5">
        <v>1091</v>
      </c>
      <c r="H59" s="5">
        <v>1000</v>
      </c>
      <c r="I59" s="5">
        <v>1132</v>
      </c>
      <c r="J59" s="5">
        <v>1193</v>
      </c>
      <c r="K59" s="5">
        <v>1206</v>
      </c>
      <c r="L59" s="5">
        <v>1139</v>
      </c>
      <c r="M59" s="5">
        <v>1316</v>
      </c>
      <c r="N59" s="4">
        <v>999</v>
      </c>
      <c r="O59" s="5">
        <f>SUM(Tabela32391011[[#This Row],[jan/23]:[dez/23]])</f>
        <v>12225</v>
      </c>
    </row>
    <row r="60" spans="1:15" x14ac:dyDescent="0.25">
      <c r="A60" s="4" t="s">
        <v>119</v>
      </c>
      <c r="B60" s="4" t="s">
        <v>250</v>
      </c>
      <c r="C60" s="5">
        <v>1230</v>
      </c>
      <c r="D60" s="4">
        <v>730</v>
      </c>
      <c r="E60" s="4">
        <v>861</v>
      </c>
      <c r="F60" s="4">
        <v>902</v>
      </c>
      <c r="G60" s="4">
        <v>975</v>
      </c>
      <c r="H60" s="4">
        <v>772</v>
      </c>
      <c r="I60" s="5">
        <v>918</v>
      </c>
      <c r="J60" s="5">
        <v>857</v>
      </c>
      <c r="K60" s="4">
        <v>695</v>
      </c>
      <c r="L60" s="4">
        <v>693</v>
      </c>
      <c r="M60" s="5">
        <v>1663</v>
      </c>
      <c r="N60" s="5">
        <v>1913</v>
      </c>
      <c r="O60" s="5">
        <f>SUM(Tabela32391011[[#This Row],[jan/23]:[dez/23]])</f>
        <v>12209</v>
      </c>
    </row>
    <row r="61" spans="1:15" x14ac:dyDescent="0.25">
      <c r="A61" s="4" t="s">
        <v>121</v>
      </c>
      <c r="B61" s="4" t="s">
        <v>536</v>
      </c>
      <c r="C61" s="5">
        <v>1079</v>
      </c>
      <c r="D61" s="4">
        <v>927</v>
      </c>
      <c r="E61" s="4">
        <v>823</v>
      </c>
      <c r="F61" s="5">
        <v>945</v>
      </c>
      <c r="G61" s="4">
        <v>992</v>
      </c>
      <c r="H61" s="4">
        <v>918</v>
      </c>
      <c r="I61" s="5">
        <v>1009</v>
      </c>
      <c r="J61" s="4">
        <v>966</v>
      </c>
      <c r="K61" s="5">
        <v>1054</v>
      </c>
      <c r="L61" s="5">
        <v>1000</v>
      </c>
      <c r="M61" s="4">
        <v>970</v>
      </c>
      <c r="N61" s="5">
        <v>1470</v>
      </c>
      <c r="O61" s="5">
        <f>SUM(Tabela32391011[[#This Row],[jan/23]:[dez/23]])</f>
        <v>12153</v>
      </c>
    </row>
    <row r="62" spans="1:15" x14ac:dyDescent="0.25">
      <c r="A62" s="4" t="s">
        <v>123</v>
      </c>
      <c r="B62" s="4" t="s">
        <v>102</v>
      </c>
      <c r="C62" s="4">
        <v>965</v>
      </c>
      <c r="D62" s="4">
        <v>808</v>
      </c>
      <c r="E62" s="4">
        <v>903</v>
      </c>
      <c r="F62" s="5">
        <v>1445</v>
      </c>
      <c r="G62" s="4">
        <v>856</v>
      </c>
      <c r="H62" s="4">
        <v>857</v>
      </c>
      <c r="I62" s="4">
        <v>924</v>
      </c>
      <c r="J62" s="4">
        <v>869</v>
      </c>
      <c r="K62" s="5">
        <v>1011</v>
      </c>
      <c r="L62" s="5">
        <v>1156</v>
      </c>
      <c r="M62" s="4">
        <v>944</v>
      </c>
      <c r="N62" s="4">
        <v>851</v>
      </c>
      <c r="O62" s="5">
        <f>SUM(Tabela32391011[[#This Row],[jan/23]:[dez/23]])</f>
        <v>11589</v>
      </c>
    </row>
    <row r="63" spans="1:15" x14ac:dyDescent="0.25">
      <c r="A63" s="4" t="s">
        <v>125</v>
      </c>
      <c r="B63" s="4" t="s">
        <v>154</v>
      </c>
      <c r="C63" s="4">
        <v>809</v>
      </c>
      <c r="D63" s="5">
        <v>544</v>
      </c>
      <c r="E63" s="5">
        <v>394</v>
      </c>
      <c r="F63" s="4">
        <v>690</v>
      </c>
      <c r="G63" s="4">
        <v>818</v>
      </c>
      <c r="H63" s="4">
        <v>735</v>
      </c>
      <c r="I63" s="5">
        <v>900</v>
      </c>
      <c r="J63" s="4">
        <v>945</v>
      </c>
      <c r="K63" s="5">
        <v>1006</v>
      </c>
      <c r="L63" s="5">
        <v>1125</v>
      </c>
      <c r="M63" s="5">
        <v>1337</v>
      </c>
      <c r="N63" s="5">
        <v>1296</v>
      </c>
      <c r="O63" s="5">
        <f>SUM(Tabela32391011[[#This Row],[jan/23]:[dez/23]])</f>
        <v>10599</v>
      </c>
    </row>
    <row r="64" spans="1:15" x14ac:dyDescent="0.25">
      <c r="A64" s="4" t="s">
        <v>127</v>
      </c>
      <c r="B64" s="4" t="s">
        <v>196</v>
      </c>
      <c r="C64" s="5">
        <v>853</v>
      </c>
      <c r="D64" s="4">
        <v>685</v>
      </c>
      <c r="E64" s="4">
        <v>666</v>
      </c>
      <c r="F64" s="4">
        <v>954</v>
      </c>
      <c r="G64" s="4">
        <v>857</v>
      </c>
      <c r="H64" s="4">
        <v>764</v>
      </c>
      <c r="I64" s="4">
        <v>811</v>
      </c>
      <c r="J64" s="4">
        <v>908</v>
      </c>
      <c r="K64" s="4">
        <v>833</v>
      </c>
      <c r="L64" s="5">
        <v>960</v>
      </c>
      <c r="M64" s="4">
        <v>893</v>
      </c>
      <c r="N64" s="5">
        <v>1197</v>
      </c>
      <c r="O64" s="5">
        <f>SUM(Tabela32391011[[#This Row],[jan/23]:[dez/23]])</f>
        <v>10381</v>
      </c>
    </row>
    <row r="65" spans="1:15" x14ac:dyDescent="0.25">
      <c r="A65" s="4" t="s">
        <v>129</v>
      </c>
      <c r="B65" s="4" t="s">
        <v>836</v>
      </c>
      <c r="C65" s="5">
        <v>4684</v>
      </c>
      <c r="D65" s="5">
        <v>1748</v>
      </c>
      <c r="E65" s="4">
        <v>795</v>
      </c>
      <c r="F65" s="4">
        <v>810</v>
      </c>
      <c r="G65" s="4">
        <v>766</v>
      </c>
      <c r="H65" s="4">
        <v>330</v>
      </c>
      <c r="I65" s="4">
        <v>272</v>
      </c>
      <c r="J65" s="4">
        <v>143</v>
      </c>
      <c r="K65" s="5">
        <v>121</v>
      </c>
      <c r="L65" s="4">
        <v>97</v>
      </c>
      <c r="M65" s="4">
        <v>41</v>
      </c>
      <c r="N65" s="4">
        <v>24</v>
      </c>
      <c r="O65" s="5">
        <f>SUM(Tabela32391011[[#This Row],[jan/23]:[dez/23]])</f>
        <v>9831</v>
      </c>
    </row>
    <row r="66" spans="1:15" x14ac:dyDescent="0.25">
      <c r="A66" s="4" t="s">
        <v>131</v>
      </c>
      <c r="B66" s="4" t="s">
        <v>579</v>
      </c>
      <c r="C66" s="4">
        <v>835</v>
      </c>
      <c r="D66" s="4">
        <v>741</v>
      </c>
      <c r="E66" s="4">
        <v>700</v>
      </c>
      <c r="F66" s="5">
        <v>1014</v>
      </c>
      <c r="G66" s="4">
        <v>883</v>
      </c>
      <c r="H66" s="4">
        <v>800</v>
      </c>
      <c r="I66" s="4">
        <v>750</v>
      </c>
      <c r="J66" s="4">
        <v>651</v>
      </c>
      <c r="K66" s="4">
        <v>789</v>
      </c>
      <c r="L66" s="4">
        <v>849</v>
      </c>
      <c r="M66" s="5">
        <v>586</v>
      </c>
      <c r="N66" s="5">
        <v>608</v>
      </c>
      <c r="O66" s="5">
        <f>SUM(Tabela32391011[[#This Row],[jan/23]:[dez/23]])</f>
        <v>9206</v>
      </c>
    </row>
    <row r="67" spans="1:15" x14ac:dyDescent="0.25">
      <c r="A67" s="4" t="s">
        <v>133</v>
      </c>
      <c r="B67" s="4" t="s">
        <v>202</v>
      </c>
      <c r="C67" s="4">
        <v>785</v>
      </c>
      <c r="D67" s="4">
        <v>582</v>
      </c>
      <c r="E67" s="4">
        <v>386</v>
      </c>
      <c r="F67" s="4">
        <v>675</v>
      </c>
      <c r="G67" s="4">
        <v>804</v>
      </c>
      <c r="H67" s="4">
        <v>858</v>
      </c>
      <c r="I67" s="4">
        <v>822</v>
      </c>
      <c r="J67" s="4">
        <v>908</v>
      </c>
      <c r="K67" s="4">
        <v>663</v>
      </c>
      <c r="L67" s="4">
        <v>689</v>
      </c>
      <c r="M67" s="4">
        <v>767</v>
      </c>
      <c r="N67" s="4">
        <v>818</v>
      </c>
      <c r="O67" s="5">
        <f>SUM(Tabela32391011[[#This Row],[jan/23]:[dez/23]])</f>
        <v>8757</v>
      </c>
    </row>
    <row r="68" spans="1:15" x14ac:dyDescent="0.25">
      <c r="A68" s="4" t="s">
        <v>135</v>
      </c>
      <c r="B68" s="4" t="s">
        <v>322</v>
      </c>
      <c r="C68" s="4">
        <v>550</v>
      </c>
      <c r="D68" s="4">
        <v>507</v>
      </c>
      <c r="E68" s="4">
        <v>665</v>
      </c>
      <c r="F68" s="4">
        <v>705</v>
      </c>
      <c r="G68" s="4">
        <v>758</v>
      </c>
      <c r="H68" s="4">
        <v>677</v>
      </c>
      <c r="I68" s="4">
        <v>752</v>
      </c>
      <c r="J68" s="4">
        <v>744</v>
      </c>
      <c r="K68" s="4">
        <v>904</v>
      </c>
      <c r="L68" s="4">
        <v>883</v>
      </c>
      <c r="M68" s="4">
        <v>814</v>
      </c>
      <c r="N68" s="4">
        <v>735</v>
      </c>
      <c r="O68" s="5">
        <f>SUM(Tabela32391011[[#This Row],[jan/23]:[dez/23]])</f>
        <v>8694</v>
      </c>
    </row>
    <row r="69" spans="1:15" x14ac:dyDescent="0.25">
      <c r="A69" s="4" t="s">
        <v>137</v>
      </c>
      <c r="B69" s="4" t="s">
        <v>647</v>
      </c>
      <c r="C69" s="4">
        <v>501</v>
      </c>
      <c r="D69" s="4">
        <v>587</v>
      </c>
      <c r="E69" s="4">
        <v>545</v>
      </c>
      <c r="F69" s="5">
        <v>1320</v>
      </c>
      <c r="G69" s="5">
        <v>1174</v>
      </c>
      <c r="H69" s="4">
        <v>660</v>
      </c>
      <c r="I69" s="5">
        <v>595</v>
      </c>
      <c r="J69" s="4">
        <v>861</v>
      </c>
      <c r="K69" s="4">
        <v>710</v>
      </c>
      <c r="L69" s="4">
        <v>643</v>
      </c>
      <c r="M69" s="4">
        <v>516</v>
      </c>
      <c r="N69" s="4">
        <v>575</v>
      </c>
      <c r="O69" s="5">
        <f>SUM(Tabela32391011[[#This Row],[jan/23]:[dez/23]])</f>
        <v>8687</v>
      </c>
    </row>
    <row r="70" spans="1:15" x14ac:dyDescent="0.25">
      <c r="A70" s="4" t="s">
        <v>139</v>
      </c>
      <c r="B70" s="4" t="s">
        <v>699</v>
      </c>
      <c r="C70" s="4">
        <v>897</v>
      </c>
      <c r="D70" s="4">
        <v>436</v>
      </c>
      <c r="E70" s="4">
        <v>395</v>
      </c>
      <c r="F70" s="4">
        <v>683</v>
      </c>
      <c r="G70" s="4">
        <v>641</v>
      </c>
      <c r="H70" s="4">
        <v>580</v>
      </c>
      <c r="I70" s="4">
        <v>699</v>
      </c>
      <c r="J70" s="4">
        <v>717</v>
      </c>
      <c r="K70" s="4">
        <v>505</v>
      </c>
      <c r="L70" s="5">
        <v>807</v>
      </c>
      <c r="M70" s="4">
        <v>597</v>
      </c>
      <c r="N70" s="5">
        <v>1526</v>
      </c>
      <c r="O70" s="5">
        <f>SUM(Tabela32391011[[#This Row],[jan/23]:[dez/23]])</f>
        <v>8483</v>
      </c>
    </row>
    <row r="71" spans="1:15" x14ac:dyDescent="0.25">
      <c r="A71" s="4" t="s">
        <v>141</v>
      </c>
      <c r="B71" s="4" t="s">
        <v>607</v>
      </c>
      <c r="C71" s="4">
        <v>624</v>
      </c>
      <c r="D71" s="4">
        <v>486</v>
      </c>
      <c r="E71" s="4">
        <v>585</v>
      </c>
      <c r="F71" s="4">
        <v>694</v>
      </c>
      <c r="G71" s="4">
        <v>826</v>
      </c>
      <c r="H71" s="5">
        <v>1085</v>
      </c>
      <c r="I71" s="4">
        <v>974</v>
      </c>
      <c r="J71" s="4">
        <v>695</v>
      </c>
      <c r="K71" s="4">
        <v>693</v>
      </c>
      <c r="L71" s="4">
        <v>707</v>
      </c>
      <c r="M71" s="4">
        <v>457</v>
      </c>
      <c r="N71" s="4">
        <v>513</v>
      </c>
      <c r="O71" s="5">
        <f>SUM(Tabela32391011[[#This Row],[jan/23]:[dez/23]])</f>
        <v>8339</v>
      </c>
    </row>
    <row r="72" spans="1:15" x14ac:dyDescent="0.25">
      <c r="A72" s="4" t="s">
        <v>143</v>
      </c>
      <c r="B72" s="4" t="s">
        <v>832</v>
      </c>
      <c r="C72" s="4">
        <v>600</v>
      </c>
      <c r="D72" s="4">
        <v>563</v>
      </c>
      <c r="E72" s="4">
        <v>488</v>
      </c>
      <c r="F72" s="5">
        <v>657</v>
      </c>
      <c r="G72" s="4">
        <v>740</v>
      </c>
      <c r="H72" s="4">
        <v>600</v>
      </c>
      <c r="I72" s="4">
        <v>628</v>
      </c>
      <c r="J72" s="4">
        <v>618</v>
      </c>
      <c r="K72" s="4">
        <v>672</v>
      </c>
      <c r="L72" s="5">
        <v>647</v>
      </c>
      <c r="M72" s="4">
        <v>627</v>
      </c>
      <c r="N72" s="4">
        <v>679</v>
      </c>
      <c r="O72" s="5">
        <f>SUM(Tabela32391011[[#This Row],[jan/23]:[dez/23]])</f>
        <v>7519</v>
      </c>
    </row>
    <row r="73" spans="1:15" x14ac:dyDescent="0.25">
      <c r="A73" s="4" t="s">
        <v>145</v>
      </c>
      <c r="B73" s="4" t="s">
        <v>110</v>
      </c>
      <c r="C73" s="4">
        <v>763</v>
      </c>
      <c r="D73" s="4">
        <v>635</v>
      </c>
      <c r="E73" s="4">
        <v>617</v>
      </c>
      <c r="F73" s="4">
        <v>588</v>
      </c>
      <c r="G73" s="4">
        <v>472</v>
      </c>
      <c r="H73" s="4">
        <v>485</v>
      </c>
      <c r="I73" s="4">
        <v>560</v>
      </c>
      <c r="J73" s="4">
        <v>613</v>
      </c>
      <c r="K73" s="4">
        <v>757</v>
      </c>
      <c r="L73" s="4">
        <v>704</v>
      </c>
      <c r="M73" s="4">
        <v>537</v>
      </c>
      <c r="N73" s="4">
        <v>715</v>
      </c>
      <c r="O73" s="5">
        <f>SUM(Tabela32391011[[#This Row],[jan/23]:[dez/23]])</f>
        <v>7446</v>
      </c>
    </row>
    <row r="74" spans="1:15" x14ac:dyDescent="0.25">
      <c r="A74" s="4" t="s">
        <v>147</v>
      </c>
      <c r="B74" s="4" t="s">
        <v>408</v>
      </c>
      <c r="C74" s="4">
        <v>628</v>
      </c>
      <c r="D74" s="4">
        <v>553</v>
      </c>
      <c r="E74" s="4">
        <v>455</v>
      </c>
      <c r="F74" s="4">
        <v>594</v>
      </c>
      <c r="G74" s="4">
        <v>680</v>
      </c>
      <c r="H74" s="4">
        <v>492</v>
      </c>
      <c r="I74" s="4">
        <v>595</v>
      </c>
      <c r="J74" s="4">
        <v>582</v>
      </c>
      <c r="K74" s="4">
        <v>590</v>
      </c>
      <c r="L74" s="4">
        <v>681</v>
      </c>
      <c r="M74" s="4">
        <v>637</v>
      </c>
      <c r="N74" s="4">
        <v>822</v>
      </c>
      <c r="O74" s="5">
        <f>SUM(Tabela32391011[[#This Row],[jan/23]:[dez/23]])</f>
        <v>7309</v>
      </c>
    </row>
    <row r="75" spans="1:15" x14ac:dyDescent="0.25">
      <c r="A75" s="4" t="s">
        <v>149</v>
      </c>
      <c r="B75" s="4" t="s">
        <v>587</v>
      </c>
      <c r="C75" s="4">
        <v>766</v>
      </c>
      <c r="D75" s="4">
        <v>590</v>
      </c>
      <c r="E75" s="4">
        <v>514</v>
      </c>
      <c r="F75" s="4">
        <v>468</v>
      </c>
      <c r="G75" s="4">
        <v>730</v>
      </c>
      <c r="H75" s="4">
        <v>640</v>
      </c>
      <c r="I75" s="4">
        <v>627</v>
      </c>
      <c r="J75" s="4">
        <v>549</v>
      </c>
      <c r="K75" s="4">
        <v>457</v>
      </c>
      <c r="L75" s="4">
        <v>562</v>
      </c>
      <c r="M75" s="4">
        <v>572</v>
      </c>
      <c r="N75" s="4">
        <v>819</v>
      </c>
      <c r="O75" s="5">
        <f>SUM(Tabela32391011[[#This Row],[jan/23]:[dez/23]])</f>
        <v>7294</v>
      </c>
    </row>
    <row r="76" spans="1:15" x14ac:dyDescent="0.25">
      <c r="A76" s="4" t="s">
        <v>151</v>
      </c>
      <c r="B76" s="4" t="s">
        <v>452</v>
      </c>
      <c r="C76" s="4"/>
      <c r="D76" s="4"/>
      <c r="E76" s="4"/>
      <c r="F76" s="4"/>
      <c r="G76" s="4"/>
      <c r="H76" s="4"/>
      <c r="I76" s="4"/>
      <c r="J76" s="4"/>
      <c r="K76" s="4"/>
      <c r="L76" s="4">
        <v>881</v>
      </c>
      <c r="M76" s="5">
        <v>1972</v>
      </c>
      <c r="N76" s="5">
        <v>4199</v>
      </c>
      <c r="O76" s="5">
        <f>SUM(Tabela32391011[[#This Row],[jan/23]:[dez/23]])</f>
        <v>7052</v>
      </c>
    </row>
    <row r="77" spans="1:15" x14ac:dyDescent="0.25">
      <c r="A77" s="4" t="s">
        <v>153</v>
      </c>
      <c r="B77" s="4" t="s">
        <v>448</v>
      </c>
      <c r="C77" s="4">
        <v>742</v>
      </c>
      <c r="D77" s="4">
        <v>301</v>
      </c>
      <c r="E77" s="4">
        <v>245</v>
      </c>
      <c r="F77" s="4">
        <v>188</v>
      </c>
      <c r="G77" s="4">
        <v>543</v>
      </c>
      <c r="H77" s="4">
        <v>858</v>
      </c>
      <c r="I77" s="4">
        <v>948</v>
      </c>
      <c r="J77" s="4">
        <v>813</v>
      </c>
      <c r="K77" s="4">
        <v>869</v>
      </c>
      <c r="L77" s="4">
        <v>712</v>
      </c>
      <c r="M77" s="4">
        <v>472</v>
      </c>
      <c r="N77" s="4">
        <v>244</v>
      </c>
      <c r="O77" s="5">
        <f>SUM(Tabela32391011[[#This Row],[jan/23]:[dez/23]])</f>
        <v>6935</v>
      </c>
    </row>
    <row r="78" spans="1:15" x14ac:dyDescent="0.25">
      <c r="A78" s="4" t="s">
        <v>155</v>
      </c>
      <c r="B78" s="4" t="s">
        <v>796</v>
      </c>
      <c r="C78" s="4">
        <v>546</v>
      </c>
      <c r="D78" s="4">
        <v>541</v>
      </c>
      <c r="E78" s="4">
        <v>134</v>
      </c>
      <c r="F78" s="4">
        <v>694</v>
      </c>
      <c r="G78" s="4">
        <v>463</v>
      </c>
      <c r="H78" s="4">
        <v>491</v>
      </c>
      <c r="I78" s="4">
        <v>571</v>
      </c>
      <c r="J78" s="4">
        <v>588</v>
      </c>
      <c r="K78" s="4">
        <v>769</v>
      </c>
      <c r="L78" s="4">
        <v>613</v>
      </c>
      <c r="M78" s="4">
        <v>532</v>
      </c>
      <c r="N78" s="4">
        <v>808</v>
      </c>
      <c r="O78" s="5">
        <f>SUM(Tabela32391011[[#This Row],[jan/23]:[dez/23]])</f>
        <v>6750</v>
      </c>
    </row>
    <row r="79" spans="1:15" x14ac:dyDescent="0.25">
      <c r="A79" s="4" t="s">
        <v>157</v>
      </c>
      <c r="B79" s="4" t="s">
        <v>228</v>
      </c>
      <c r="C79" s="4">
        <v>610</v>
      </c>
      <c r="D79" s="4">
        <v>391</v>
      </c>
      <c r="E79" s="4">
        <v>406</v>
      </c>
      <c r="F79" s="4">
        <v>434</v>
      </c>
      <c r="G79" s="4">
        <v>439</v>
      </c>
      <c r="H79" s="4">
        <v>604</v>
      </c>
      <c r="I79" s="4">
        <v>502</v>
      </c>
      <c r="J79" s="4">
        <v>536</v>
      </c>
      <c r="K79" s="4">
        <v>548</v>
      </c>
      <c r="L79" s="4">
        <v>546</v>
      </c>
      <c r="M79" s="4">
        <v>376</v>
      </c>
      <c r="N79" s="4">
        <v>556</v>
      </c>
      <c r="O79" s="5">
        <f>SUM(Tabela32391011[[#This Row],[jan/23]:[dez/23]])</f>
        <v>5948</v>
      </c>
    </row>
    <row r="80" spans="1:15" x14ac:dyDescent="0.25">
      <c r="A80" s="4" t="s">
        <v>159</v>
      </c>
      <c r="B80" s="4" t="s">
        <v>683</v>
      </c>
      <c r="C80" s="4">
        <v>650</v>
      </c>
      <c r="D80" s="4">
        <v>510</v>
      </c>
      <c r="E80" s="4">
        <v>449</v>
      </c>
      <c r="F80" s="4">
        <v>492</v>
      </c>
      <c r="G80" s="4">
        <v>551</v>
      </c>
      <c r="H80" s="4">
        <v>420</v>
      </c>
      <c r="I80" s="4">
        <v>405</v>
      </c>
      <c r="J80" s="4">
        <v>351</v>
      </c>
      <c r="K80" s="4">
        <v>455</v>
      </c>
      <c r="L80" s="4">
        <v>448</v>
      </c>
      <c r="M80" s="4">
        <v>420</v>
      </c>
      <c r="N80" s="4">
        <v>423</v>
      </c>
      <c r="O80" s="5">
        <f>SUM(Tabela32391011[[#This Row],[jan/23]:[dez/23]])</f>
        <v>5574</v>
      </c>
    </row>
    <row r="81" spans="1:15" x14ac:dyDescent="0.25">
      <c r="A81" s="4" t="s">
        <v>163</v>
      </c>
      <c r="B81" s="4" t="s">
        <v>825</v>
      </c>
      <c r="C81" s="4">
        <v>576</v>
      </c>
      <c r="D81" s="4">
        <v>354</v>
      </c>
      <c r="E81" s="4">
        <v>334</v>
      </c>
      <c r="F81" s="4">
        <v>355</v>
      </c>
      <c r="G81" s="4">
        <v>274</v>
      </c>
      <c r="H81" s="4">
        <v>288</v>
      </c>
      <c r="I81" s="4">
        <v>580</v>
      </c>
      <c r="J81" s="4">
        <v>535</v>
      </c>
      <c r="K81" s="4">
        <v>544</v>
      </c>
      <c r="L81" s="4">
        <v>491</v>
      </c>
      <c r="M81" s="4">
        <v>393</v>
      </c>
      <c r="N81" s="4">
        <v>649</v>
      </c>
      <c r="O81" s="5">
        <f>SUM(Tabela32391011[[#This Row],[jan/23]:[dez/23]])</f>
        <v>5373</v>
      </c>
    </row>
    <row r="82" spans="1:15" x14ac:dyDescent="0.25">
      <c r="A82" s="4" t="s">
        <v>161</v>
      </c>
      <c r="B82" s="4" t="s">
        <v>749</v>
      </c>
      <c r="C82" s="4">
        <v>448</v>
      </c>
      <c r="D82" s="4">
        <v>560</v>
      </c>
      <c r="E82" s="4">
        <v>424</v>
      </c>
      <c r="F82" s="4">
        <v>447</v>
      </c>
      <c r="G82" s="4">
        <v>427</v>
      </c>
      <c r="H82" s="4">
        <v>378</v>
      </c>
      <c r="I82" s="4">
        <v>418</v>
      </c>
      <c r="J82" s="4">
        <v>393</v>
      </c>
      <c r="K82" s="4">
        <v>425</v>
      </c>
      <c r="L82" s="4">
        <v>365</v>
      </c>
      <c r="M82" s="4">
        <v>420</v>
      </c>
      <c r="N82" s="4">
        <v>478</v>
      </c>
      <c r="O82" s="5">
        <f>SUM(Tabela32391011[[#This Row],[jan/23]:[dez/23]])</f>
        <v>5183</v>
      </c>
    </row>
    <row r="83" spans="1:15" x14ac:dyDescent="0.25">
      <c r="A83" s="4" t="s">
        <v>165</v>
      </c>
      <c r="B83" s="4" t="s">
        <v>348</v>
      </c>
      <c r="C83" s="4">
        <v>759</v>
      </c>
      <c r="D83" s="4">
        <v>574</v>
      </c>
      <c r="E83" s="4">
        <v>517</v>
      </c>
      <c r="F83" s="4">
        <v>503</v>
      </c>
      <c r="G83" s="4">
        <v>407</v>
      </c>
      <c r="H83" s="4">
        <v>267</v>
      </c>
      <c r="I83" s="4">
        <v>209</v>
      </c>
      <c r="J83" s="4">
        <v>345</v>
      </c>
      <c r="K83" s="4">
        <v>390</v>
      </c>
      <c r="L83" s="4">
        <v>355</v>
      </c>
      <c r="M83" s="5">
        <v>332</v>
      </c>
      <c r="N83" s="5">
        <v>405</v>
      </c>
      <c r="O83" s="5">
        <f>SUM(Tabela32391011[[#This Row],[jan/23]:[dez/23]])</f>
        <v>5063</v>
      </c>
    </row>
    <row r="84" spans="1:15" x14ac:dyDescent="0.25">
      <c r="A84" s="4" t="s">
        <v>167</v>
      </c>
      <c r="B84" s="4" t="s">
        <v>424</v>
      </c>
      <c r="C84" s="4">
        <v>3</v>
      </c>
      <c r="D84" s="4">
        <v>292</v>
      </c>
      <c r="E84" s="4">
        <v>433</v>
      </c>
      <c r="F84" s="4">
        <v>229</v>
      </c>
      <c r="G84" s="4">
        <v>507</v>
      </c>
      <c r="H84" s="4">
        <v>482</v>
      </c>
      <c r="I84" s="4">
        <v>426</v>
      </c>
      <c r="J84" s="4">
        <v>201</v>
      </c>
      <c r="K84" s="4">
        <v>324</v>
      </c>
      <c r="L84" s="4">
        <v>341</v>
      </c>
      <c r="M84" s="4">
        <v>762</v>
      </c>
      <c r="N84" s="4">
        <v>984</v>
      </c>
      <c r="O84" s="5">
        <f>SUM(Tabela32391011[[#This Row],[jan/23]:[dez/23]])</f>
        <v>4984</v>
      </c>
    </row>
    <row r="85" spans="1:15" x14ac:dyDescent="0.25">
      <c r="A85" s="4" t="s">
        <v>169</v>
      </c>
      <c r="B85" s="4" t="s">
        <v>696</v>
      </c>
      <c r="C85" s="4">
        <v>400</v>
      </c>
      <c r="D85" s="4">
        <v>400</v>
      </c>
      <c r="E85" s="4">
        <v>400</v>
      </c>
      <c r="F85" s="4">
        <v>400</v>
      </c>
      <c r="G85" s="4">
        <v>400</v>
      </c>
      <c r="H85" s="4">
        <v>400</v>
      </c>
      <c r="I85" s="4">
        <v>400</v>
      </c>
      <c r="J85" s="4">
        <v>400</v>
      </c>
      <c r="K85" s="4">
        <v>400</v>
      </c>
      <c r="L85" s="4">
        <v>400</v>
      </c>
      <c r="M85" s="4">
        <v>400</v>
      </c>
      <c r="N85" s="4">
        <v>400</v>
      </c>
      <c r="O85" s="5">
        <f>SUM(Tabela32391011[[#This Row],[jan/23]:[dez/23]])</f>
        <v>4800</v>
      </c>
    </row>
    <row r="86" spans="1:15" x14ac:dyDescent="0.25">
      <c r="A86" s="4" t="s">
        <v>171</v>
      </c>
      <c r="B86" s="4" t="s">
        <v>214</v>
      </c>
      <c r="C86" s="4">
        <v>541</v>
      </c>
      <c r="D86" s="4">
        <v>311</v>
      </c>
      <c r="E86" s="4">
        <v>220</v>
      </c>
      <c r="F86" s="4">
        <v>274</v>
      </c>
      <c r="G86" s="4">
        <v>385</v>
      </c>
      <c r="H86" s="4">
        <v>237</v>
      </c>
      <c r="I86" s="4">
        <v>166</v>
      </c>
      <c r="J86" s="4">
        <v>252</v>
      </c>
      <c r="K86" s="4">
        <v>390</v>
      </c>
      <c r="L86" s="4">
        <v>545</v>
      </c>
      <c r="M86" s="4">
        <v>521</v>
      </c>
      <c r="N86" s="4">
        <v>807</v>
      </c>
      <c r="O86" s="5">
        <f>SUM(Tabela32391011[[#This Row],[jan/23]:[dez/23]])</f>
        <v>4649</v>
      </c>
    </row>
    <row r="87" spans="1:15" x14ac:dyDescent="0.25">
      <c r="A87" s="4" t="s">
        <v>173</v>
      </c>
      <c r="B87" s="4" t="s">
        <v>834</v>
      </c>
      <c r="C87" s="4">
        <v>899</v>
      </c>
      <c r="D87" s="4">
        <v>773</v>
      </c>
      <c r="E87" s="4">
        <v>497</v>
      </c>
      <c r="F87" s="4">
        <v>473</v>
      </c>
      <c r="G87" s="4">
        <v>513</v>
      </c>
      <c r="H87" s="4">
        <v>356</v>
      </c>
      <c r="I87" s="4">
        <v>433</v>
      </c>
      <c r="J87" s="4">
        <v>302</v>
      </c>
      <c r="K87" s="4">
        <v>160</v>
      </c>
      <c r="L87" s="4">
        <v>106</v>
      </c>
      <c r="M87" s="4">
        <v>56</v>
      </c>
      <c r="N87" s="4">
        <v>55</v>
      </c>
      <c r="O87" s="5">
        <f>SUM(Tabela32391011[[#This Row],[jan/23]:[dez/23]])</f>
        <v>4623</v>
      </c>
    </row>
    <row r="88" spans="1:15" x14ac:dyDescent="0.25">
      <c r="A88" s="4" t="s">
        <v>175</v>
      </c>
      <c r="B88" s="4" t="s">
        <v>602</v>
      </c>
      <c r="C88" s="4">
        <v>363</v>
      </c>
      <c r="D88" s="4">
        <v>349</v>
      </c>
      <c r="E88" s="4">
        <v>325</v>
      </c>
      <c r="F88" s="4">
        <v>356</v>
      </c>
      <c r="G88" s="4">
        <v>332</v>
      </c>
      <c r="H88" s="4">
        <v>317</v>
      </c>
      <c r="I88" s="4">
        <v>371</v>
      </c>
      <c r="J88" s="4">
        <v>248</v>
      </c>
      <c r="K88" s="4">
        <v>376</v>
      </c>
      <c r="L88" s="4">
        <v>321</v>
      </c>
      <c r="M88" s="4">
        <v>494</v>
      </c>
      <c r="N88" s="4">
        <v>734</v>
      </c>
      <c r="O88" s="5">
        <f>SUM(Tabela32391011[[#This Row],[jan/23]:[dez/23]])</f>
        <v>4586</v>
      </c>
    </row>
    <row r="89" spans="1:15" x14ac:dyDescent="0.25">
      <c r="A89" s="4" t="s">
        <v>177</v>
      </c>
      <c r="B89" s="4" t="s">
        <v>613</v>
      </c>
      <c r="C89" s="4">
        <v>377</v>
      </c>
      <c r="D89" s="4">
        <v>285</v>
      </c>
      <c r="E89" s="4">
        <v>250</v>
      </c>
      <c r="F89" s="4">
        <v>378</v>
      </c>
      <c r="G89" s="4">
        <v>353</v>
      </c>
      <c r="H89" s="4">
        <v>361</v>
      </c>
      <c r="I89" s="4">
        <v>309</v>
      </c>
      <c r="J89" s="4">
        <v>335</v>
      </c>
      <c r="K89" s="4">
        <v>846</v>
      </c>
      <c r="L89" s="4">
        <v>315</v>
      </c>
      <c r="M89" s="5">
        <v>225</v>
      </c>
      <c r="N89" s="5">
        <v>469</v>
      </c>
      <c r="O89" s="5">
        <f>SUM(Tabela32391011[[#This Row],[jan/23]:[dez/23]])</f>
        <v>4503</v>
      </c>
    </row>
    <row r="90" spans="1:15" x14ac:dyDescent="0.25">
      <c r="A90" s="4" t="s">
        <v>179</v>
      </c>
      <c r="B90" s="4" t="s">
        <v>791</v>
      </c>
      <c r="C90" s="4">
        <v>528</v>
      </c>
      <c r="D90" s="4">
        <v>433</v>
      </c>
      <c r="E90" s="4">
        <v>354</v>
      </c>
      <c r="F90" s="4">
        <v>421</v>
      </c>
      <c r="G90" s="4">
        <v>500</v>
      </c>
      <c r="H90" s="4">
        <v>381</v>
      </c>
      <c r="I90" s="4">
        <v>432</v>
      </c>
      <c r="J90" s="4">
        <v>318</v>
      </c>
      <c r="K90" s="4">
        <v>294</v>
      </c>
      <c r="L90" s="4">
        <v>252</v>
      </c>
      <c r="M90" s="4">
        <v>200</v>
      </c>
      <c r="N90" s="4">
        <v>324</v>
      </c>
      <c r="O90" s="5">
        <f>SUM(Tabela32391011[[#This Row],[jan/23]:[dez/23]])</f>
        <v>4437</v>
      </c>
    </row>
    <row r="91" spans="1:15" x14ac:dyDescent="0.25">
      <c r="A91" s="4" t="s">
        <v>181</v>
      </c>
      <c r="B91" s="4" t="s">
        <v>826</v>
      </c>
      <c r="C91" s="4">
        <v>600</v>
      </c>
      <c r="D91" s="4">
        <v>347</v>
      </c>
      <c r="E91" s="4">
        <v>302</v>
      </c>
      <c r="F91" s="4">
        <v>400</v>
      </c>
      <c r="G91" s="4">
        <v>400</v>
      </c>
      <c r="H91" s="4">
        <v>500</v>
      </c>
      <c r="I91" s="4">
        <v>331</v>
      </c>
      <c r="J91" s="4">
        <v>300</v>
      </c>
      <c r="K91" s="4">
        <v>300</v>
      </c>
      <c r="L91" s="4">
        <v>300</v>
      </c>
      <c r="M91" s="4">
        <v>300</v>
      </c>
      <c r="N91" s="4">
        <v>300</v>
      </c>
      <c r="O91" s="5">
        <f>SUM(Tabela32391011[[#This Row],[jan/23]:[dez/23]])</f>
        <v>4380</v>
      </c>
    </row>
    <row r="92" spans="1:15" x14ac:dyDescent="0.25">
      <c r="A92" s="4" t="s">
        <v>183</v>
      </c>
      <c r="B92" s="4" t="s">
        <v>831</v>
      </c>
      <c r="C92" s="5">
        <v>2535</v>
      </c>
      <c r="D92" s="4">
        <v>595</v>
      </c>
      <c r="E92" s="4">
        <v>245</v>
      </c>
      <c r="F92" s="4">
        <v>186</v>
      </c>
      <c r="G92" s="4">
        <v>157</v>
      </c>
      <c r="H92" s="4">
        <v>107</v>
      </c>
      <c r="I92" s="4">
        <v>104</v>
      </c>
      <c r="J92" s="4">
        <v>159</v>
      </c>
      <c r="K92" s="4">
        <v>58</v>
      </c>
      <c r="L92" s="4">
        <v>79</v>
      </c>
      <c r="M92" s="4">
        <v>27</v>
      </c>
      <c r="N92" s="4">
        <v>21</v>
      </c>
      <c r="O92" s="5">
        <f>SUM(Tabela32391011[[#This Row],[jan/23]:[dez/23]])</f>
        <v>4273</v>
      </c>
    </row>
    <row r="93" spans="1:15" x14ac:dyDescent="0.25">
      <c r="A93" s="4" t="s">
        <v>185</v>
      </c>
      <c r="B93" s="4" t="s">
        <v>741</v>
      </c>
      <c r="C93" s="4">
        <v>416</v>
      </c>
      <c r="D93" s="4">
        <v>353</v>
      </c>
      <c r="E93" s="4">
        <v>388</v>
      </c>
      <c r="F93" s="4">
        <v>403</v>
      </c>
      <c r="G93" s="4">
        <v>371</v>
      </c>
      <c r="H93" s="4">
        <v>348</v>
      </c>
      <c r="I93" s="4">
        <v>349</v>
      </c>
      <c r="J93" s="4">
        <v>330</v>
      </c>
      <c r="K93" s="4">
        <v>348</v>
      </c>
      <c r="L93" s="4">
        <v>284</v>
      </c>
      <c r="M93" s="4">
        <v>289</v>
      </c>
      <c r="N93" s="4">
        <v>363</v>
      </c>
      <c r="O93" s="5">
        <f>SUM(Tabela32391011[[#This Row],[jan/23]:[dez/23]])</f>
        <v>4242</v>
      </c>
    </row>
    <row r="94" spans="1:15" x14ac:dyDescent="0.25">
      <c r="A94" s="4" t="s">
        <v>187</v>
      </c>
      <c r="B94" s="4" t="s">
        <v>514</v>
      </c>
      <c r="C94" s="4">
        <v>287</v>
      </c>
      <c r="D94" s="4">
        <v>328</v>
      </c>
      <c r="E94" s="4">
        <v>388</v>
      </c>
      <c r="F94" s="4">
        <v>395</v>
      </c>
      <c r="G94" s="4">
        <v>330</v>
      </c>
      <c r="H94" s="4">
        <v>344</v>
      </c>
      <c r="I94" s="4">
        <v>423</v>
      </c>
      <c r="J94" s="4">
        <v>358</v>
      </c>
      <c r="K94" s="4">
        <v>411</v>
      </c>
      <c r="L94" s="4">
        <v>293</v>
      </c>
      <c r="M94" s="4">
        <v>341</v>
      </c>
      <c r="N94" s="4">
        <v>344</v>
      </c>
      <c r="O94" s="5">
        <f>SUM(Tabela32391011[[#This Row],[jan/23]:[dez/23]])</f>
        <v>4242</v>
      </c>
    </row>
    <row r="95" spans="1:15" x14ac:dyDescent="0.25">
      <c r="A95" s="4" t="s">
        <v>189</v>
      </c>
      <c r="B95" s="4" t="s">
        <v>152</v>
      </c>
      <c r="C95" s="4">
        <v>270</v>
      </c>
      <c r="D95" s="4">
        <v>348</v>
      </c>
      <c r="E95" s="4">
        <v>312</v>
      </c>
      <c r="F95" s="4">
        <v>430</v>
      </c>
      <c r="G95" s="4">
        <v>398</v>
      </c>
      <c r="H95" s="4">
        <v>341</v>
      </c>
      <c r="I95" s="4">
        <v>420</v>
      </c>
      <c r="J95" s="4">
        <v>339</v>
      </c>
      <c r="K95" s="4">
        <v>348</v>
      </c>
      <c r="L95" s="4">
        <v>335</v>
      </c>
      <c r="M95" s="4">
        <v>283</v>
      </c>
      <c r="N95" s="4">
        <v>257</v>
      </c>
      <c r="O95" s="5">
        <f>SUM(Tabela32391011[[#This Row],[jan/23]:[dez/23]])</f>
        <v>4081</v>
      </c>
    </row>
    <row r="96" spans="1:15" x14ac:dyDescent="0.25">
      <c r="A96" s="4" t="s">
        <v>191</v>
      </c>
      <c r="B96" s="4" t="s">
        <v>140</v>
      </c>
      <c r="C96" s="4">
        <v>321</v>
      </c>
      <c r="D96" s="4">
        <v>327</v>
      </c>
      <c r="E96" s="4">
        <v>281</v>
      </c>
      <c r="F96" s="4">
        <v>351</v>
      </c>
      <c r="G96" s="4">
        <v>329</v>
      </c>
      <c r="H96" s="4">
        <v>270</v>
      </c>
      <c r="I96" s="4">
        <v>293</v>
      </c>
      <c r="J96" s="4">
        <v>331</v>
      </c>
      <c r="K96" s="4">
        <v>303</v>
      </c>
      <c r="L96" s="4">
        <v>405</v>
      </c>
      <c r="M96" s="4">
        <v>288</v>
      </c>
      <c r="N96" s="4">
        <v>368</v>
      </c>
      <c r="O96" s="5">
        <f>SUM(Tabela32391011[[#This Row],[jan/23]:[dez/23]])</f>
        <v>3867</v>
      </c>
    </row>
    <row r="97" spans="1:15" x14ac:dyDescent="0.25">
      <c r="A97" s="4" t="s">
        <v>193</v>
      </c>
      <c r="B97" s="4" t="s">
        <v>392</v>
      </c>
      <c r="C97" s="4">
        <v>656</v>
      </c>
      <c r="D97" s="4">
        <v>465</v>
      </c>
      <c r="E97" s="4">
        <v>299</v>
      </c>
      <c r="F97" s="4">
        <v>194</v>
      </c>
      <c r="G97" s="4">
        <v>238</v>
      </c>
      <c r="H97" s="4">
        <v>266</v>
      </c>
      <c r="I97" s="4">
        <v>295</v>
      </c>
      <c r="J97" s="4">
        <v>229</v>
      </c>
      <c r="K97" s="4">
        <v>255</v>
      </c>
      <c r="L97" s="4">
        <v>296</v>
      </c>
      <c r="M97" s="4">
        <v>262</v>
      </c>
      <c r="N97" s="4">
        <v>356</v>
      </c>
      <c r="O97" s="5">
        <f>SUM(Tabela32391011[[#This Row],[jan/23]:[dez/23]])</f>
        <v>3811</v>
      </c>
    </row>
    <row r="98" spans="1:15" x14ac:dyDescent="0.25">
      <c r="A98" s="4" t="s">
        <v>195</v>
      </c>
      <c r="B98" s="4" t="s">
        <v>174</v>
      </c>
      <c r="C98" s="4">
        <v>246</v>
      </c>
      <c r="D98" s="4">
        <v>258</v>
      </c>
      <c r="E98" s="4">
        <v>203</v>
      </c>
      <c r="F98" s="4">
        <v>292</v>
      </c>
      <c r="G98" s="4">
        <v>461</v>
      </c>
      <c r="H98" s="4">
        <v>425</v>
      </c>
      <c r="I98" s="4">
        <v>229</v>
      </c>
      <c r="J98" s="4">
        <v>306</v>
      </c>
      <c r="K98" s="4">
        <v>339</v>
      </c>
      <c r="L98" s="4">
        <v>347</v>
      </c>
      <c r="M98" s="4">
        <v>308</v>
      </c>
      <c r="N98" s="4">
        <v>349</v>
      </c>
      <c r="O98" s="5">
        <f>SUM(Tabela32391011[[#This Row],[jan/23]:[dez/23]])</f>
        <v>3763</v>
      </c>
    </row>
    <row r="99" spans="1:15" x14ac:dyDescent="0.25">
      <c r="A99" s="4" t="s">
        <v>197</v>
      </c>
      <c r="B99" s="4" t="s">
        <v>799</v>
      </c>
      <c r="C99" s="4">
        <v>350</v>
      </c>
      <c r="D99" s="4">
        <v>303</v>
      </c>
      <c r="E99" s="4">
        <v>296</v>
      </c>
      <c r="F99" s="4">
        <v>326</v>
      </c>
      <c r="G99" s="4">
        <v>328</v>
      </c>
      <c r="H99" s="4">
        <v>309</v>
      </c>
      <c r="I99" s="4">
        <v>291</v>
      </c>
      <c r="J99" s="4">
        <v>249</v>
      </c>
      <c r="K99" s="4">
        <v>270</v>
      </c>
      <c r="L99" s="4">
        <v>281</v>
      </c>
      <c r="M99" s="4">
        <v>379</v>
      </c>
      <c r="N99" s="4">
        <v>325</v>
      </c>
      <c r="O99" s="5">
        <f>SUM(Tabela32391011[[#This Row],[jan/23]:[dez/23]])</f>
        <v>3707</v>
      </c>
    </row>
    <row r="100" spans="1:15" x14ac:dyDescent="0.25">
      <c r="A100" s="4" t="s">
        <v>199</v>
      </c>
      <c r="B100" s="4" t="s">
        <v>816</v>
      </c>
      <c r="C100" s="4">
        <v>472</v>
      </c>
      <c r="D100" s="4">
        <v>377</v>
      </c>
      <c r="E100" s="4">
        <v>342</v>
      </c>
      <c r="F100" s="4">
        <v>349</v>
      </c>
      <c r="G100" s="4">
        <v>385</v>
      </c>
      <c r="H100" s="4">
        <v>268</v>
      </c>
      <c r="I100" s="4">
        <v>233</v>
      </c>
      <c r="J100" s="4">
        <v>221</v>
      </c>
      <c r="K100" s="4">
        <v>248</v>
      </c>
      <c r="L100" s="4">
        <v>248</v>
      </c>
      <c r="M100" s="4">
        <v>262</v>
      </c>
      <c r="N100" s="4">
        <v>283</v>
      </c>
      <c r="O100" s="5">
        <f>SUM(Tabela32391011[[#This Row],[jan/23]:[dez/23]])</f>
        <v>3688</v>
      </c>
    </row>
    <row r="101" spans="1:15" x14ac:dyDescent="0.25">
      <c r="A101" s="4" t="s">
        <v>201</v>
      </c>
      <c r="B101" s="4" t="s">
        <v>136</v>
      </c>
      <c r="C101" s="4">
        <v>288</v>
      </c>
      <c r="D101" s="4">
        <v>342</v>
      </c>
      <c r="E101" s="4">
        <v>265</v>
      </c>
      <c r="F101" s="4">
        <v>280</v>
      </c>
      <c r="G101" s="4">
        <v>233</v>
      </c>
      <c r="H101" s="4">
        <v>289</v>
      </c>
      <c r="I101" s="4">
        <v>335</v>
      </c>
      <c r="J101" s="4">
        <v>369</v>
      </c>
      <c r="K101" s="4">
        <v>302</v>
      </c>
      <c r="L101" s="4">
        <v>329</v>
      </c>
      <c r="M101" s="4">
        <v>268</v>
      </c>
      <c r="N101" s="4">
        <v>308</v>
      </c>
      <c r="O101" s="5">
        <f>SUM(Tabela32391011[[#This Row],[jan/23]:[dez/23]])</f>
        <v>3608</v>
      </c>
    </row>
    <row r="102" spans="1:15" x14ac:dyDescent="0.25">
      <c r="A102" s="4" t="s">
        <v>203</v>
      </c>
      <c r="B102" s="4" t="s">
        <v>508</v>
      </c>
      <c r="C102" s="4">
        <v>381</v>
      </c>
      <c r="D102" s="4">
        <v>336</v>
      </c>
      <c r="E102" s="4">
        <v>340</v>
      </c>
      <c r="F102" s="4">
        <v>405</v>
      </c>
      <c r="G102" s="4">
        <v>258</v>
      </c>
      <c r="H102" s="4">
        <v>191</v>
      </c>
      <c r="I102" s="4">
        <v>301</v>
      </c>
      <c r="J102" s="4">
        <v>155</v>
      </c>
      <c r="K102" s="4">
        <v>343</v>
      </c>
      <c r="L102" s="4">
        <v>345</v>
      </c>
      <c r="M102" s="4">
        <v>262</v>
      </c>
      <c r="N102" s="4">
        <v>213</v>
      </c>
      <c r="O102" s="5">
        <f>SUM(Tabela32391011[[#This Row],[jan/23]:[dez/23]])</f>
        <v>3530</v>
      </c>
    </row>
    <row r="103" spans="1:15" x14ac:dyDescent="0.25">
      <c r="A103" s="4" t="s">
        <v>205</v>
      </c>
      <c r="B103" s="4" t="s">
        <v>608</v>
      </c>
      <c r="C103" s="4">
        <v>381</v>
      </c>
      <c r="D103" s="4">
        <v>354</v>
      </c>
      <c r="E103" s="4">
        <v>279</v>
      </c>
      <c r="F103" s="4">
        <v>340</v>
      </c>
      <c r="G103" s="4">
        <v>341</v>
      </c>
      <c r="H103" s="4">
        <v>348</v>
      </c>
      <c r="I103" s="4">
        <v>334</v>
      </c>
      <c r="J103" s="4">
        <v>241</v>
      </c>
      <c r="K103" s="4">
        <v>225</v>
      </c>
      <c r="L103" s="4">
        <v>211</v>
      </c>
      <c r="M103" s="4">
        <v>202</v>
      </c>
      <c r="N103" s="4">
        <v>262</v>
      </c>
      <c r="O103" s="5">
        <f>SUM(Tabela32391011[[#This Row],[jan/23]:[dez/23]])</f>
        <v>3518</v>
      </c>
    </row>
    <row r="104" spans="1:15" x14ac:dyDescent="0.25">
      <c r="A104" s="4" t="s">
        <v>207</v>
      </c>
      <c r="B104" s="4" t="s">
        <v>5</v>
      </c>
      <c r="C104" s="4">
        <v>431</v>
      </c>
      <c r="D104" s="4">
        <v>267</v>
      </c>
      <c r="E104" s="4">
        <v>202</v>
      </c>
      <c r="F104" s="4">
        <v>311</v>
      </c>
      <c r="G104" s="4">
        <v>277</v>
      </c>
      <c r="H104" s="4">
        <v>228</v>
      </c>
      <c r="I104" s="4">
        <v>338</v>
      </c>
      <c r="J104" s="4">
        <v>294</v>
      </c>
      <c r="K104" s="4">
        <v>262</v>
      </c>
      <c r="L104" s="4">
        <v>257</v>
      </c>
      <c r="M104" s="4">
        <v>231</v>
      </c>
      <c r="N104" s="4">
        <v>391</v>
      </c>
      <c r="O104" s="5">
        <f>SUM(Tabela32391011[[#This Row],[jan/23]:[dez/23]])</f>
        <v>3489</v>
      </c>
    </row>
    <row r="105" spans="1:15" x14ac:dyDescent="0.25">
      <c r="A105" s="4" t="s">
        <v>209</v>
      </c>
      <c r="B105" s="4" t="s">
        <v>645</v>
      </c>
      <c r="C105" s="4">
        <v>307</v>
      </c>
      <c r="D105" s="4">
        <v>268</v>
      </c>
      <c r="E105" s="4">
        <v>276</v>
      </c>
      <c r="F105" s="4">
        <v>222</v>
      </c>
      <c r="G105" s="4">
        <v>198</v>
      </c>
      <c r="H105" s="4">
        <v>140</v>
      </c>
      <c r="I105" s="4">
        <v>276</v>
      </c>
      <c r="J105" s="4">
        <v>323</v>
      </c>
      <c r="K105" s="4">
        <v>376</v>
      </c>
      <c r="L105" s="4">
        <v>346</v>
      </c>
      <c r="M105" s="4">
        <v>355</v>
      </c>
      <c r="N105" s="4">
        <v>401</v>
      </c>
      <c r="O105" s="5">
        <f>SUM(Tabela32391011[[#This Row],[jan/23]:[dez/23]])</f>
        <v>3488</v>
      </c>
    </row>
    <row r="106" spans="1:15" x14ac:dyDescent="0.25">
      <c r="A106" s="4" t="s">
        <v>211</v>
      </c>
      <c r="B106" s="4" t="s">
        <v>677</v>
      </c>
      <c r="C106" s="4">
        <v>255</v>
      </c>
      <c r="D106" s="4">
        <v>190</v>
      </c>
      <c r="E106" s="4">
        <v>430</v>
      </c>
      <c r="F106" s="4">
        <v>511</v>
      </c>
      <c r="G106" s="4">
        <v>510</v>
      </c>
      <c r="H106" s="4">
        <v>409</v>
      </c>
      <c r="I106" s="4">
        <v>258</v>
      </c>
      <c r="J106" s="4">
        <v>170</v>
      </c>
      <c r="K106" s="4">
        <v>210</v>
      </c>
      <c r="L106" s="4">
        <v>201</v>
      </c>
      <c r="M106" s="4">
        <v>105</v>
      </c>
      <c r="N106" s="4">
        <v>83</v>
      </c>
      <c r="O106" s="5">
        <f>SUM(Tabela32391011[[#This Row],[jan/23]:[dez/23]])</f>
        <v>3332</v>
      </c>
    </row>
    <row r="107" spans="1:15" x14ac:dyDescent="0.25">
      <c r="A107" s="4" t="s">
        <v>213</v>
      </c>
      <c r="B107" s="4" t="s">
        <v>833</v>
      </c>
      <c r="C107" s="4">
        <v>454</v>
      </c>
      <c r="D107" s="4">
        <v>476</v>
      </c>
      <c r="E107" s="4">
        <v>477</v>
      </c>
      <c r="F107" s="4">
        <v>435</v>
      </c>
      <c r="G107" s="4">
        <v>305</v>
      </c>
      <c r="H107" s="4">
        <v>198</v>
      </c>
      <c r="I107" s="4">
        <v>221</v>
      </c>
      <c r="J107" s="4">
        <v>132</v>
      </c>
      <c r="K107" s="4">
        <v>135</v>
      </c>
      <c r="L107" s="4">
        <v>136</v>
      </c>
      <c r="M107" s="4">
        <v>109</v>
      </c>
      <c r="N107" s="4">
        <v>175</v>
      </c>
      <c r="O107" s="5">
        <f>SUM(Tabela32391011[[#This Row],[jan/23]:[dez/23]])</f>
        <v>3253</v>
      </c>
    </row>
    <row r="108" spans="1:15" x14ac:dyDescent="0.25">
      <c r="A108" s="4" t="s">
        <v>215</v>
      </c>
      <c r="B108" s="4" t="s">
        <v>797</v>
      </c>
      <c r="C108" s="4">
        <v>277</v>
      </c>
      <c r="D108" s="4">
        <v>272</v>
      </c>
      <c r="E108" s="4">
        <v>213</v>
      </c>
      <c r="F108" s="4">
        <v>271</v>
      </c>
      <c r="G108" s="4">
        <v>257</v>
      </c>
      <c r="H108" s="4">
        <v>201</v>
      </c>
      <c r="I108" s="4">
        <v>220</v>
      </c>
      <c r="J108" s="4">
        <v>229</v>
      </c>
      <c r="K108" s="4">
        <v>188</v>
      </c>
      <c r="L108" s="4">
        <v>243</v>
      </c>
      <c r="M108" s="4">
        <v>277</v>
      </c>
      <c r="N108" s="4">
        <v>364</v>
      </c>
      <c r="O108" s="5">
        <f>SUM(Tabela32391011[[#This Row],[jan/23]:[dez/23]])</f>
        <v>3012</v>
      </c>
    </row>
    <row r="109" spans="1:15" x14ac:dyDescent="0.25">
      <c r="A109" s="4" t="s">
        <v>217</v>
      </c>
      <c r="B109" s="4" t="s">
        <v>666</v>
      </c>
      <c r="C109" s="4">
        <v>178</v>
      </c>
      <c r="D109" s="4">
        <v>180</v>
      </c>
      <c r="E109" s="4">
        <v>168</v>
      </c>
      <c r="F109" s="4">
        <v>176</v>
      </c>
      <c r="G109" s="4">
        <v>163</v>
      </c>
      <c r="H109" s="4">
        <v>158</v>
      </c>
      <c r="I109" s="4">
        <v>283</v>
      </c>
      <c r="J109" s="4">
        <v>281</v>
      </c>
      <c r="K109" s="4">
        <v>310</v>
      </c>
      <c r="L109" s="4">
        <v>360</v>
      </c>
      <c r="M109" s="4">
        <v>288</v>
      </c>
      <c r="N109" s="4">
        <v>426</v>
      </c>
      <c r="O109" s="5">
        <f>SUM(Tabela32391011[[#This Row],[jan/23]:[dez/23]])</f>
        <v>2971</v>
      </c>
    </row>
    <row r="110" spans="1:15" x14ac:dyDescent="0.25">
      <c r="A110" s="4" t="s">
        <v>219</v>
      </c>
      <c r="B110" s="4" t="s">
        <v>226</v>
      </c>
      <c r="C110" s="4"/>
      <c r="D110" s="4">
        <v>396</v>
      </c>
      <c r="E110" s="4">
        <v>201</v>
      </c>
      <c r="F110" s="4">
        <v>69</v>
      </c>
      <c r="G110" s="4">
        <v>177</v>
      </c>
      <c r="H110" s="4">
        <v>155</v>
      </c>
      <c r="I110" s="4">
        <v>223</v>
      </c>
      <c r="J110" s="4">
        <v>246</v>
      </c>
      <c r="K110" s="4">
        <v>268</v>
      </c>
      <c r="L110" s="4">
        <v>374</v>
      </c>
      <c r="M110" s="4">
        <v>343</v>
      </c>
      <c r="N110" s="4">
        <v>382</v>
      </c>
      <c r="O110" s="5">
        <f>SUM(Tabela32391011[[#This Row],[jan/23]:[dez/23]])</f>
        <v>2834</v>
      </c>
    </row>
    <row r="111" spans="1:15" x14ac:dyDescent="0.25">
      <c r="A111" s="4" t="s">
        <v>221</v>
      </c>
      <c r="B111" s="4" t="s">
        <v>838</v>
      </c>
      <c r="C111" s="4">
        <v>541</v>
      </c>
      <c r="D111" s="4">
        <v>450</v>
      </c>
      <c r="E111" s="4">
        <v>285</v>
      </c>
      <c r="F111" s="4">
        <v>356</v>
      </c>
      <c r="G111" s="4">
        <v>420</v>
      </c>
      <c r="H111" s="4">
        <v>273</v>
      </c>
      <c r="I111" s="4">
        <v>267</v>
      </c>
      <c r="J111" s="4">
        <v>114</v>
      </c>
      <c r="K111" s="4">
        <v>29</v>
      </c>
      <c r="L111" s="4">
        <v>29</v>
      </c>
      <c r="M111" s="4">
        <v>16</v>
      </c>
      <c r="N111" s="4">
        <v>9</v>
      </c>
      <c r="O111" s="5">
        <f>SUM(Tabela32391011[[#This Row],[jan/23]:[dez/23]])</f>
        <v>2789</v>
      </c>
    </row>
    <row r="112" spans="1:15" x14ac:dyDescent="0.25">
      <c r="A112" s="4" t="s">
        <v>223</v>
      </c>
      <c r="B112" s="4" t="s">
        <v>794</v>
      </c>
      <c r="C112" s="4">
        <v>184</v>
      </c>
      <c r="D112" s="4">
        <v>145</v>
      </c>
      <c r="E112" s="4">
        <v>164</v>
      </c>
      <c r="F112" s="4">
        <v>234</v>
      </c>
      <c r="G112" s="4">
        <v>233</v>
      </c>
      <c r="H112" s="4">
        <v>159</v>
      </c>
      <c r="I112" s="4">
        <v>188</v>
      </c>
      <c r="J112" s="4">
        <v>188</v>
      </c>
      <c r="K112" s="4">
        <v>208</v>
      </c>
      <c r="L112" s="4">
        <v>262</v>
      </c>
      <c r="M112" s="4">
        <v>243</v>
      </c>
      <c r="N112" s="4">
        <v>308</v>
      </c>
      <c r="O112" s="5">
        <f>SUM(Tabela32391011[[#This Row],[jan/23]:[dez/23]])</f>
        <v>2516</v>
      </c>
    </row>
    <row r="113" spans="1:15" x14ac:dyDescent="0.25">
      <c r="A113" s="4" t="s">
        <v>225</v>
      </c>
      <c r="B113" s="4" t="s">
        <v>803</v>
      </c>
      <c r="C113" s="4">
        <v>370</v>
      </c>
      <c r="D113" s="4">
        <v>311</v>
      </c>
      <c r="E113" s="4">
        <v>211</v>
      </c>
      <c r="F113" s="4">
        <v>233</v>
      </c>
      <c r="G113" s="4">
        <v>214</v>
      </c>
      <c r="H113" s="4">
        <v>147</v>
      </c>
      <c r="I113" s="4">
        <v>155</v>
      </c>
      <c r="J113" s="4">
        <v>175</v>
      </c>
      <c r="K113" s="4">
        <v>218</v>
      </c>
      <c r="L113" s="4">
        <v>179</v>
      </c>
      <c r="M113" s="4">
        <v>106</v>
      </c>
      <c r="N113" s="4">
        <v>154</v>
      </c>
      <c r="O113" s="5">
        <f>SUM(Tabela32391011[[#This Row],[jan/23]:[dez/23]])</f>
        <v>2473</v>
      </c>
    </row>
    <row r="114" spans="1:15" x14ac:dyDescent="0.25">
      <c r="A114" s="4" t="s">
        <v>229</v>
      </c>
      <c r="B114" s="4" t="s">
        <v>581</v>
      </c>
      <c r="C114" s="4">
        <v>305</v>
      </c>
      <c r="D114" s="4">
        <v>200</v>
      </c>
      <c r="E114" s="4">
        <v>200</v>
      </c>
      <c r="F114" s="4">
        <v>200</v>
      </c>
      <c r="G114" s="4">
        <v>200</v>
      </c>
      <c r="H114" s="4">
        <v>124</v>
      </c>
      <c r="I114" s="4">
        <v>200</v>
      </c>
      <c r="J114" s="4">
        <v>200</v>
      </c>
      <c r="K114" s="4">
        <v>200</v>
      </c>
      <c r="L114" s="4">
        <v>200</v>
      </c>
      <c r="M114" s="4">
        <v>200</v>
      </c>
      <c r="N114" s="4">
        <v>200</v>
      </c>
      <c r="O114" s="5">
        <f>SUM(Tabela32391011[[#This Row],[jan/23]:[dez/23]])</f>
        <v>2429</v>
      </c>
    </row>
    <row r="115" spans="1:15" x14ac:dyDescent="0.25">
      <c r="A115" s="4" t="s">
        <v>227</v>
      </c>
      <c r="B115" s="4" t="s">
        <v>310</v>
      </c>
      <c r="C115" s="4">
        <v>213</v>
      </c>
      <c r="D115" s="4">
        <v>185</v>
      </c>
      <c r="E115" s="4">
        <v>143</v>
      </c>
      <c r="F115" s="4">
        <v>158</v>
      </c>
      <c r="G115" s="4">
        <v>215</v>
      </c>
      <c r="H115" s="4">
        <v>176</v>
      </c>
      <c r="I115" s="4">
        <v>208</v>
      </c>
      <c r="J115" s="4">
        <v>206</v>
      </c>
      <c r="K115" s="4">
        <v>213</v>
      </c>
      <c r="L115" s="4">
        <v>219</v>
      </c>
      <c r="M115" s="4">
        <v>208</v>
      </c>
      <c r="N115" s="4">
        <v>269</v>
      </c>
      <c r="O115" s="5">
        <f>SUM(Tabela32391011[[#This Row],[jan/23]:[dez/23]])</f>
        <v>2413</v>
      </c>
    </row>
    <row r="116" spans="1:15" x14ac:dyDescent="0.25">
      <c r="A116" s="4" t="s">
        <v>231</v>
      </c>
      <c r="B116" s="4" t="s">
        <v>545</v>
      </c>
      <c r="C116" s="4">
        <v>192</v>
      </c>
      <c r="D116" s="4">
        <v>231</v>
      </c>
      <c r="E116" s="4">
        <v>200</v>
      </c>
      <c r="F116" s="4">
        <v>206</v>
      </c>
      <c r="G116" s="4">
        <v>198</v>
      </c>
      <c r="H116" s="4">
        <v>169</v>
      </c>
      <c r="I116" s="4">
        <v>194</v>
      </c>
      <c r="J116" s="4">
        <v>186</v>
      </c>
      <c r="K116" s="4">
        <v>193</v>
      </c>
      <c r="L116" s="4">
        <v>204</v>
      </c>
      <c r="M116" s="4">
        <v>163</v>
      </c>
      <c r="N116" s="4">
        <v>222</v>
      </c>
      <c r="O116" s="5">
        <f>SUM(Tabela32391011[[#This Row],[jan/23]:[dez/23]])</f>
        <v>2358</v>
      </c>
    </row>
    <row r="117" spans="1:15" x14ac:dyDescent="0.25">
      <c r="A117" s="4" t="s">
        <v>233</v>
      </c>
      <c r="B117" s="4" t="s">
        <v>436</v>
      </c>
      <c r="C117" s="4">
        <v>182</v>
      </c>
      <c r="D117" s="4">
        <v>87</v>
      </c>
      <c r="E117" s="4">
        <v>137</v>
      </c>
      <c r="F117" s="4">
        <v>234</v>
      </c>
      <c r="G117" s="4">
        <v>252</v>
      </c>
      <c r="H117" s="4">
        <v>180</v>
      </c>
      <c r="I117" s="4">
        <v>202</v>
      </c>
      <c r="J117" s="4">
        <v>200</v>
      </c>
      <c r="K117" s="4">
        <v>221</v>
      </c>
      <c r="L117" s="4">
        <v>217</v>
      </c>
      <c r="M117" s="4">
        <v>187</v>
      </c>
      <c r="N117" s="4">
        <v>256</v>
      </c>
      <c r="O117" s="5">
        <f>SUM(Tabela32391011[[#This Row],[jan/23]:[dez/23]])</f>
        <v>2355</v>
      </c>
    </row>
    <row r="118" spans="1:15" x14ac:dyDescent="0.25">
      <c r="A118" s="4" t="s">
        <v>235</v>
      </c>
      <c r="B118" s="4" t="s">
        <v>160</v>
      </c>
      <c r="C118" s="4">
        <v>204</v>
      </c>
      <c r="D118" s="4">
        <v>174</v>
      </c>
      <c r="E118" s="4">
        <v>245</v>
      </c>
      <c r="F118" s="4">
        <v>348</v>
      </c>
      <c r="G118" s="4">
        <v>200</v>
      </c>
      <c r="H118" s="4">
        <v>175</v>
      </c>
      <c r="I118" s="4">
        <v>199</v>
      </c>
      <c r="J118" s="4">
        <v>166</v>
      </c>
      <c r="K118" s="4">
        <v>113</v>
      </c>
      <c r="L118" s="4">
        <v>106</v>
      </c>
      <c r="M118" s="4">
        <v>125</v>
      </c>
      <c r="N118" s="4">
        <v>230</v>
      </c>
      <c r="O118" s="5">
        <f>SUM(Tabela32391011[[#This Row],[jan/23]:[dez/23]])</f>
        <v>2285</v>
      </c>
    </row>
    <row r="119" spans="1:15" x14ac:dyDescent="0.25">
      <c r="A119" s="4" t="s">
        <v>237</v>
      </c>
      <c r="B119" s="4" t="s">
        <v>346</v>
      </c>
      <c r="C119" s="4">
        <v>183</v>
      </c>
      <c r="D119" s="4">
        <v>141</v>
      </c>
      <c r="E119" s="4">
        <v>133</v>
      </c>
      <c r="F119" s="4">
        <v>191</v>
      </c>
      <c r="G119" s="4">
        <v>210</v>
      </c>
      <c r="H119" s="4">
        <v>205</v>
      </c>
      <c r="I119" s="4">
        <v>198</v>
      </c>
      <c r="J119" s="4">
        <v>163</v>
      </c>
      <c r="K119" s="4">
        <v>193</v>
      </c>
      <c r="L119" s="4">
        <v>230</v>
      </c>
      <c r="M119" s="4">
        <v>192</v>
      </c>
      <c r="N119" s="4">
        <v>173</v>
      </c>
      <c r="O119" s="5">
        <f>SUM(Tabela32391011[[#This Row],[jan/23]:[dez/23]])</f>
        <v>2212</v>
      </c>
    </row>
    <row r="120" spans="1:15" x14ac:dyDescent="0.25">
      <c r="A120" s="4" t="s">
        <v>239</v>
      </c>
      <c r="B120" s="4" t="s">
        <v>300</v>
      </c>
      <c r="C120" s="4">
        <v>263</v>
      </c>
      <c r="D120" s="4">
        <v>206</v>
      </c>
      <c r="E120" s="4">
        <v>311</v>
      </c>
      <c r="F120" s="4">
        <v>183</v>
      </c>
      <c r="G120" s="4">
        <v>161</v>
      </c>
      <c r="H120" s="4">
        <v>150</v>
      </c>
      <c r="I120" s="4">
        <v>169</v>
      </c>
      <c r="J120" s="4">
        <v>135</v>
      </c>
      <c r="K120" s="4">
        <v>150</v>
      </c>
      <c r="L120" s="4">
        <v>154</v>
      </c>
      <c r="M120" s="4">
        <v>177</v>
      </c>
      <c r="N120" s="4">
        <v>136</v>
      </c>
      <c r="O120" s="5">
        <f>SUM(Tabela32391011[[#This Row],[jan/23]:[dez/23]])</f>
        <v>2195</v>
      </c>
    </row>
    <row r="121" spans="1:15" x14ac:dyDescent="0.25">
      <c r="A121" s="4" t="s">
        <v>243</v>
      </c>
      <c r="B121" s="4" t="s">
        <v>124</v>
      </c>
      <c r="C121" s="4">
        <v>205</v>
      </c>
      <c r="D121" s="4">
        <v>194</v>
      </c>
      <c r="E121" s="4">
        <v>147</v>
      </c>
      <c r="F121" s="4">
        <v>205</v>
      </c>
      <c r="G121" s="4">
        <v>230</v>
      </c>
      <c r="H121" s="4">
        <v>204</v>
      </c>
      <c r="I121" s="4">
        <v>181</v>
      </c>
      <c r="J121" s="4">
        <v>181</v>
      </c>
      <c r="K121" s="4">
        <v>177</v>
      </c>
      <c r="L121" s="4">
        <v>166</v>
      </c>
      <c r="M121" s="4">
        <v>113</v>
      </c>
      <c r="N121" s="4">
        <v>167</v>
      </c>
      <c r="O121" s="5">
        <f>SUM(Tabela32391011[[#This Row],[jan/23]:[dez/23]])</f>
        <v>2170</v>
      </c>
    </row>
    <row r="122" spans="1:15" x14ac:dyDescent="0.25">
      <c r="A122" s="4" t="s">
        <v>241</v>
      </c>
      <c r="B122" s="4" t="s">
        <v>114</v>
      </c>
      <c r="C122" s="4">
        <v>171</v>
      </c>
      <c r="D122" s="4">
        <v>191</v>
      </c>
      <c r="E122" s="4">
        <v>151</v>
      </c>
      <c r="F122" s="4">
        <v>219</v>
      </c>
      <c r="G122" s="4">
        <v>170</v>
      </c>
      <c r="H122" s="4">
        <v>124</v>
      </c>
      <c r="I122" s="4">
        <v>211</v>
      </c>
      <c r="J122" s="4">
        <v>168</v>
      </c>
      <c r="K122" s="4">
        <v>201</v>
      </c>
      <c r="L122" s="4">
        <v>196</v>
      </c>
      <c r="M122" s="4">
        <v>148</v>
      </c>
      <c r="N122" s="4">
        <v>206</v>
      </c>
      <c r="O122" s="5">
        <f>SUM(Tabela32391011[[#This Row],[jan/23]:[dez/23]])</f>
        <v>2156</v>
      </c>
    </row>
    <row r="123" spans="1:15" x14ac:dyDescent="0.25">
      <c r="A123" s="4" t="s">
        <v>245</v>
      </c>
      <c r="B123" s="4" t="s">
        <v>688</v>
      </c>
      <c r="C123" s="4">
        <v>259</v>
      </c>
      <c r="D123" s="4">
        <v>258</v>
      </c>
      <c r="E123" s="4">
        <v>167</v>
      </c>
      <c r="F123" s="4">
        <v>183</v>
      </c>
      <c r="G123" s="4">
        <v>196</v>
      </c>
      <c r="H123" s="4">
        <v>141</v>
      </c>
      <c r="I123" s="4">
        <v>186</v>
      </c>
      <c r="J123" s="4">
        <v>179</v>
      </c>
      <c r="K123" s="4">
        <v>155</v>
      </c>
      <c r="L123" s="4">
        <v>133</v>
      </c>
      <c r="M123" s="4">
        <v>85</v>
      </c>
      <c r="N123" s="4">
        <v>138</v>
      </c>
      <c r="O123" s="5">
        <f>SUM(Tabela32391011[[#This Row],[jan/23]:[dez/23]])</f>
        <v>2080</v>
      </c>
    </row>
    <row r="124" spans="1:15" x14ac:dyDescent="0.25">
      <c r="A124" s="4" t="s">
        <v>247</v>
      </c>
      <c r="B124" s="4" t="s">
        <v>788</v>
      </c>
      <c r="C124" s="4">
        <v>152</v>
      </c>
      <c r="D124" s="4">
        <v>136</v>
      </c>
      <c r="E124" s="4">
        <v>161</v>
      </c>
      <c r="F124" s="4">
        <v>165</v>
      </c>
      <c r="G124" s="4">
        <v>127</v>
      </c>
      <c r="H124" s="4">
        <v>149</v>
      </c>
      <c r="I124" s="4">
        <v>197</v>
      </c>
      <c r="J124" s="4">
        <v>202</v>
      </c>
      <c r="K124" s="4">
        <v>211</v>
      </c>
      <c r="L124" s="4">
        <v>169</v>
      </c>
      <c r="M124" s="4">
        <v>141</v>
      </c>
      <c r="N124" s="4">
        <v>144</v>
      </c>
      <c r="O124" s="5">
        <f>SUM(Tabela32391011[[#This Row],[jan/23]:[dez/23]])</f>
        <v>1954</v>
      </c>
    </row>
    <row r="125" spans="1:15" x14ac:dyDescent="0.25">
      <c r="A125" s="4" t="s">
        <v>249</v>
      </c>
      <c r="B125" s="4" t="s">
        <v>789</v>
      </c>
      <c r="C125" s="4">
        <v>274</v>
      </c>
      <c r="D125" s="4">
        <v>160</v>
      </c>
      <c r="E125" s="4">
        <v>107</v>
      </c>
      <c r="F125" s="4">
        <v>131</v>
      </c>
      <c r="G125" s="4">
        <v>169</v>
      </c>
      <c r="H125" s="4">
        <v>183</v>
      </c>
      <c r="I125" s="4">
        <v>164</v>
      </c>
      <c r="J125" s="4">
        <v>176</v>
      </c>
      <c r="K125" s="4">
        <v>177</v>
      </c>
      <c r="L125" s="4">
        <v>159</v>
      </c>
      <c r="M125" s="4">
        <v>130</v>
      </c>
      <c r="N125" s="4">
        <v>113</v>
      </c>
      <c r="O125" s="5">
        <f>SUM(Tabela32391011[[#This Row],[jan/23]:[dez/23]])</f>
        <v>1943</v>
      </c>
    </row>
    <row r="126" spans="1:15" x14ac:dyDescent="0.25">
      <c r="A126" s="4" t="s">
        <v>253</v>
      </c>
      <c r="B126" s="4" t="s">
        <v>787</v>
      </c>
      <c r="C126" s="4">
        <v>249</v>
      </c>
      <c r="D126" s="4">
        <v>207</v>
      </c>
      <c r="E126" s="4">
        <v>131</v>
      </c>
      <c r="F126" s="4">
        <v>175</v>
      </c>
      <c r="G126" s="4">
        <v>189</v>
      </c>
      <c r="H126" s="4">
        <v>135</v>
      </c>
      <c r="I126" s="4">
        <v>152</v>
      </c>
      <c r="J126" s="4">
        <v>158</v>
      </c>
      <c r="K126" s="4">
        <v>121</v>
      </c>
      <c r="L126" s="4">
        <v>137</v>
      </c>
      <c r="M126" s="4">
        <v>82</v>
      </c>
      <c r="N126" s="4">
        <v>196</v>
      </c>
      <c r="O126" s="5">
        <f>SUM(Tabela32391011[[#This Row],[jan/23]:[dez/23]])</f>
        <v>1932</v>
      </c>
    </row>
    <row r="127" spans="1:15" x14ac:dyDescent="0.25">
      <c r="A127" s="4" t="s">
        <v>251</v>
      </c>
      <c r="B127" s="4" t="s">
        <v>352</v>
      </c>
      <c r="C127" s="4">
        <v>274</v>
      </c>
      <c r="D127" s="4">
        <v>166</v>
      </c>
      <c r="E127" s="4">
        <v>86</v>
      </c>
      <c r="F127" s="4">
        <v>131</v>
      </c>
      <c r="G127" s="4">
        <v>142</v>
      </c>
      <c r="H127" s="4">
        <v>120</v>
      </c>
      <c r="I127" s="4">
        <v>208</v>
      </c>
      <c r="J127" s="4">
        <v>166</v>
      </c>
      <c r="K127" s="4">
        <v>172</v>
      </c>
      <c r="L127" s="4">
        <v>138</v>
      </c>
      <c r="M127" s="4">
        <v>101</v>
      </c>
      <c r="N127" s="4">
        <v>149</v>
      </c>
      <c r="O127" s="5">
        <f>SUM(Tabela32391011[[#This Row],[jan/23]:[dez/23]])</f>
        <v>1853</v>
      </c>
    </row>
    <row r="128" spans="1:15" x14ac:dyDescent="0.25">
      <c r="A128" s="4" t="s">
        <v>255</v>
      </c>
      <c r="B128" s="4" t="s">
        <v>268</v>
      </c>
      <c r="C128" s="4">
        <v>373</v>
      </c>
      <c r="D128" s="4">
        <v>150</v>
      </c>
      <c r="E128" s="4">
        <v>227</v>
      </c>
      <c r="F128" s="4">
        <v>188</v>
      </c>
      <c r="G128" s="4">
        <v>227</v>
      </c>
      <c r="H128" s="4">
        <v>144</v>
      </c>
      <c r="I128" s="4">
        <v>76</v>
      </c>
      <c r="J128" s="4">
        <v>62</v>
      </c>
      <c r="K128" s="4">
        <v>71</v>
      </c>
      <c r="L128" s="4">
        <v>112</v>
      </c>
      <c r="M128" s="4">
        <v>94</v>
      </c>
      <c r="N128" s="4">
        <v>123</v>
      </c>
      <c r="O128" s="5">
        <f>SUM(Tabela32391011[[#This Row],[jan/23]:[dez/23]])</f>
        <v>1847</v>
      </c>
    </row>
    <row r="129" spans="1:15" x14ac:dyDescent="0.25">
      <c r="A129" s="4" t="s">
        <v>257</v>
      </c>
      <c r="B129" s="4" t="s">
        <v>428</v>
      </c>
      <c r="C129" s="4">
        <v>40</v>
      </c>
      <c r="D129" s="4">
        <v>27</v>
      </c>
      <c r="E129" s="4">
        <v>97</v>
      </c>
      <c r="F129" s="4">
        <v>94</v>
      </c>
      <c r="G129" s="4">
        <v>232</v>
      </c>
      <c r="H129" s="4">
        <v>143</v>
      </c>
      <c r="I129" s="4">
        <v>227</v>
      </c>
      <c r="J129" s="4">
        <v>186</v>
      </c>
      <c r="K129" s="4">
        <v>275</v>
      </c>
      <c r="L129" s="4">
        <v>163</v>
      </c>
      <c r="M129" s="4">
        <v>35</v>
      </c>
      <c r="N129" s="4">
        <v>320</v>
      </c>
      <c r="O129" s="5">
        <f>SUM(Tabela32391011[[#This Row],[jan/23]:[dez/23]])</f>
        <v>1839</v>
      </c>
    </row>
    <row r="130" spans="1:15" x14ac:dyDescent="0.25">
      <c r="A130" s="4" t="s">
        <v>259</v>
      </c>
      <c r="B130" s="4" t="s">
        <v>364</v>
      </c>
      <c r="C130" s="4">
        <v>146</v>
      </c>
      <c r="D130" s="4">
        <v>137</v>
      </c>
      <c r="E130" s="4">
        <v>156</v>
      </c>
      <c r="F130" s="4">
        <v>184</v>
      </c>
      <c r="G130" s="4">
        <v>260</v>
      </c>
      <c r="H130" s="4">
        <v>200</v>
      </c>
      <c r="I130" s="4">
        <v>115</v>
      </c>
      <c r="J130" s="4">
        <v>133</v>
      </c>
      <c r="K130" s="4">
        <v>90</v>
      </c>
      <c r="L130" s="4">
        <v>114</v>
      </c>
      <c r="M130" s="4">
        <v>148</v>
      </c>
      <c r="N130" s="4">
        <v>143</v>
      </c>
      <c r="O130" s="5">
        <f>SUM(Tabela32391011[[#This Row],[jan/23]:[dez/23]])</f>
        <v>1826</v>
      </c>
    </row>
    <row r="131" spans="1:15" x14ac:dyDescent="0.25">
      <c r="A131" s="4" t="s">
        <v>261</v>
      </c>
      <c r="B131" s="4" t="s">
        <v>690</v>
      </c>
      <c r="C131" s="4">
        <v>277</v>
      </c>
      <c r="D131" s="4">
        <v>75</v>
      </c>
      <c r="E131" s="4">
        <v>90</v>
      </c>
      <c r="F131" s="4">
        <v>133</v>
      </c>
      <c r="G131" s="4">
        <v>117</v>
      </c>
      <c r="H131" s="4">
        <v>102</v>
      </c>
      <c r="I131" s="4">
        <v>137</v>
      </c>
      <c r="J131" s="4">
        <v>171</v>
      </c>
      <c r="K131" s="4">
        <v>216</v>
      </c>
      <c r="L131" s="4">
        <v>179</v>
      </c>
      <c r="M131" s="4">
        <v>140</v>
      </c>
      <c r="N131" s="4">
        <v>185</v>
      </c>
      <c r="O131" s="5">
        <f>SUM(Tabela32391011[[#This Row],[jan/23]:[dez/23]])</f>
        <v>1822</v>
      </c>
    </row>
    <row r="132" spans="1:15" x14ac:dyDescent="0.25">
      <c r="A132" s="4" t="s">
        <v>265</v>
      </c>
      <c r="B132" s="4" t="s">
        <v>552</v>
      </c>
      <c r="C132" s="4">
        <v>140</v>
      </c>
      <c r="D132" s="4">
        <v>130</v>
      </c>
      <c r="E132" s="4">
        <v>97</v>
      </c>
      <c r="F132" s="4">
        <v>249</v>
      </c>
      <c r="G132" s="4">
        <v>141</v>
      </c>
      <c r="H132" s="4">
        <v>139</v>
      </c>
      <c r="I132" s="4">
        <v>172</v>
      </c>
      <c r="J132" s="4">
        <v>176</v>
      </c>
      <c r="K132" s="4">
        <v>193</v>
      </c>
      <c r="L132" s="4">
        <v>138</v>
      </c>
      <c r="M132" s="4">
        <v>103</v>
      </c>
      <c r="N132" s="4">
        <v>125</v>
      </c>
      <c r="O132" s="5">
        <f>SUM(Tabela32391011[[#This Row],[jan/23]:[dez/23]])</f>
        <v>1803</v>
      </c>
    </row>
    <row r="133" spans="1:15" x14ac:dyDescent="0.25">
      <c r="A133" s="4" t="s">
        <v>263</v>
      </c>
      <c r="B133" s="4" t="s">
        <v>742</v>
      </c>
      <c r="C133" s="4">
        <v>200</v>
      </c>
      <c r="D133" s="4">
        <v>150</v>
      </c>
      <c r="E133" s="4">
        <v>200</v>
      </c>
      <c r="F133" s="4">
        <v>200</v>
      </c>
      <c r="G133" s="4">
        <v>100</v>
      </c>
      <c r="H133" s="4">
        <v>70</v>
      </c>
      <c r="I133" s="4">
        <v>100</v>
      </c>
      <c r="J133" s="4">
        <v>149</v>
      </c>
      <c r="K133" s="4">
        <v>132</v>
      </c>
      <c r="L133" s="4">
        <v>132</v>
      </c>
      <c r="M133" s="4">
        <v>121</v>
      </c>
      <c r="N133" s="4">
        <v>200</v>
      </c>
      <c r="O133" s="5">
        <f>SUM(Tabela32391011[[#This Row],[jan/23]:[dez/23]])</f>
        <v>1754</v>
      </c>
    </row>
    <row r="134" spans="1:15" x14ac:dyDescent="0.25">
      <c r="A134" s="4" t="s">
        <v>267</v>
      </c>
      <c r="B134" s="4" t="s">
        <v>216</v>
      </c>
      <c r="C134" s="4">
        <v>80</v>
      </c>
      <c r="D134" s="4">
        <v>116</v>
      </c>
      <c r="E134" s="4">
        <v>189</v>
      </c>
      <c r="F134" s="4">
        <v>146</v>
      </c>
      <c r="G134" s="4">
        <v>121</v>
      </c>
      <c r="H134" s="4">
        <v>88</v>
      </c>
      <c r="I134" s="4">
        <v>181</v>
      </c>
      <c r="J134" s="4">
        <v>201</v>
      </c>
      <c r="K134" s="4">
        <v>190</v>
      </c>
      <c r="L134" s="4">
        <v>131</v>
      </c>
      <c r="M134" s="4">
        <v>122</v>
      </c>
      <c r="N134" s="4">
        <v>180</v>
      </c>
      <c r="O134" s="5">
        <f>SUM(Tabela32391011[[#This Row],[jan/23]:[dez/23]])</f>
        <v>1745</v>
      </c>
    </row>
    <row r="135" spans="1:15" x14ac:dyDescent="0.25">
      <c r="A135" s="4" t="s">
        <v>269</v>
      </c>
      <c r="B135" s="4" t="s">
        <v>264</v>
      </c>
      <c r="C135" s="4">
        <v>116</v>
      </c>
      <c r="D135" s="4">
        <v>112</v>
      </c>
      <c r="E135" s="4">
        <v>118</v>
      </c>
      <c r="F135" s="4">
        <v>151</v>
      </c>
      <c r="G135" s="4">
        <v>192</v>
      </c>
      <c r="H135" s="4">
        <v>145</v>
      </c>
      <c r="I135" s="4">
        <v>109</v>
      </c>
      <c r="J135" s="4">
        <v>94</v>
      </c>
      <c r="K135" s="4">
        <v>158</v>
      </c>
      <c r="L135" s="4">
        <v>142</v>
      </c>
      <c r="M135" s="4">
        <v>82</v>
      </c>
      <c r="N135" s="4">
        <v>161</v>
      </c>
      <c r="O135" s="5">
        <f>SUM(Tabela32391011[[#This Row],[jan/23]:[dez/23]])</f>
        <v>1580</v>
      </c>
    </row>
    <row r="136" spans="1:15" x14ac:dyDescent="0.25">
      <c r="A136" s="4" t="s">
        <v>271</v>
      </c>
      <c r="B136" s="4" t="s">
        <v>577</v>
      </c>
      <c r="C136" s="4">
        <v>120</v>
      </c>
      <c r="D136" s="4">
        <v>92</v>
      </c>
      <c r="E136" s="4">
        <v>61</v>
      </c>
      <c r="F136" s="4">
        <v>83</v>
      </c>
      <c r="G136" s="4">
        <v>84</v>
      </c>
      <c r="H136" s="4">
        <v>59</v>
      </c>
      <c r="I136" s="4">
        <v>122</v>
      </c>
      <c r="J136" s="4">
        <v>67</v>
      </c>
      <c r="K136" s="4">
        <v>178</v>
      </c>
      <c r="L136" s="4">
        <v>196</v>
      </c>
      <c r="M136" s="4">
        <v>183</v>
      </c>
      <c r="N136" s="4">
        <v>238</v>
      </c>
      <c r="O136" s="5">
        <f>SUM(Tabela32391011[[#This Row],[jan/23]:[dez/23]])</f>
        <v>1483</v>
      </c>
    </row>
    <row r="137" spans="1:15" x14ac:dyDescent="0.25">
      <c r="A137" s="4" t="s">
        <v>273</v>
      </c>
      <c r="B137" s="4" t="s">
        <v>829</v>
      </c>
      <c r="C137" s="4">
        <v>314</v>
      </c>
      <c r="D137" s="4">
        <v>100</v>
      </c>
      <c r="E137" s="4">
        <v>100</v>
      </c>
      <c r="F137" s="4">
        <v>212</v>
      </c>
      <c r="G137" s="4">
        <v>173</v>
      </c>
      <c r="H137" s="4">
        <v>62</v>
      </c>
      <c r="I137" s="4">
        <v>100</v>
      </c>
      <c r="J137" s="4">
        <v>90</v>
      </c>
      <c r="K137" s="4">
        <v>59</v>
      </c>
      <c r="L137" s="4">
        <v>61</v>
      </c>
      <c r="M137" s="4">
        <v>97</v>
      </c>
      <c r="N137" s="4">
        <v>58</v>
      </c>
      <c r="O137" s="5">
        <f>SUM(Tabela32391011[[#This Row],[jan/23]:[dez/23]])</f>
        <v>1426</v>
      </c>
    </row>
    <row r="138" spans="1:15" x14ac:dyDescent="0.25">
      <c r="A138" s="4" t="s">
        <v>275</v>
      </c>
      <c r="B138" s="4" t="s">
        <v>238</v>
      </c>
      <c r="C138" s="4">
        <v>71</v>
      </c>
      <c r="D138" s="4">
        <v>136</v>
      </c>
      <c r="E138" s="4">
        <v>124</v>
      </c>
      <c r="F138" s="4">
        <v>178</v>
      </c>
      <c r="G138" s="4">
        <v>117</v>
      </c>
      <c r="H138" s="4">
        <v>97</v>
      </c>
      <c r="I138" s="4">
        <v>135</v>
      </c>
      <c r="J138" s="4">
        <v>95</v>
      </c>
      <c r="K138" s="4">
        <v>110</v>
      </c>
      <c r="L138" s="4">
        <v>108</v>
      </c>
      <c r="M138" s="4">
        <v>106</v>
      </c>
      <c r="N138" s="4">
        <v>117</v>
      </c>
      <c r="O138" s="5">
        <f>SUM(Tabela32391011[[#This Row],[jan/23]:[dez/23]])</f>
        <v>1394</v>
      </c>
    </row>
    <row r="139" spans="1:15" x14ac:dyDescent="0.25">
      <c r="A139" s="4" t="s">
        <v>277</v>
      </c>
      <c r="B139" s="4" t="s">
        <v>224</v>
      </c>
      <c r="C139" s="4">
        <v>85</v>
      </c>
      <c r="D139" s="4">
        <v>88</v>
      </c>
      <c r="E139" s="4">
        <v>72</v>
      </c>
      <c r="F139" s="4">
        <v>77</v>
      </c>
      <c r="G139" s="4">
        <v>77</v>
      </c>
      <c r="H139" s="4">
        <v>68</v>
      </c>
      <c r="I139" s="4">
        <v>78</v>
      </c>
      <c r="J139" s="4">
        <v>79</v>
      </c>
      <c r="K139" s="4">
        <v>114</v>
      </c>
      <c r="L139" s="4">
        <v>168</v>
      </c>
      <c r="M139" s="4">
        <v>178</v>
      </c>
      <c r="N139" s="4">
        <v>211</v>
      </c>
      <c r="O139" s="5">
        <f>SUM(Tabela32391011[[#This Row],[jan/23]:[dez/23]])</f>
        <v>1295</v>
      </c>
    </row>
    <row r="140" spans="1:15" x14ac:dyDescent="0.25">
      <c r="A140" s="4" t="s">
        <v>279</v>
      </c>
      <c r="B140" s="4" t="s">
        <v>523</v>
      </c>
      <c r="C140" s="4">
        <v>71</v>
      </c>
      <c r="D140" s="4">
        <v>75</v>
      </c>
      <c r="E140" s="4">
        <v>41</v>
      </c>
      <c r="F140" s="4">
        <v>115</v>
      </c>
      <c r="G140" s="4">
        <v>128</v>
      </c>
      <c r="H140" s="4">
        <v>115</v>
      </c>
      <c r="I140" s="4">
        <v>108</v>
      </c>
      <c r="J140" s="4">
        <v>119</v>
      </c>
      <c r="K140" s="4">
        <v>130</v>
      </c>
      <c r="L140" s="4">
        <v>100</v>
      </c>
      <c r="M140" s="4">
        <v>105</v>
      </c>
      <c r="N140" s="4">
        <v>97</v>
      </c>
      <c r="O140" s="5">
        <f>SUM(Tabela32391011[[#This Row],[jan/23]:[dez/23]])</f>
        <v>1204</v>
      </c>
    </row>
    <row r="141" spans="1:15" x14ac:dyDescent="0.25">
      <c r="A141" s="4" t="s">
        <v>281</v>
      </c>
      <c r="B141" s="4" t="s">
        <v>843</v>
      </c>
      <c r="C141" s="4">
        <v>502</v>
      </c>
      <c r="D141" s="4">
        <v>228</v>
      </c>
      <c r="E141" s="4">
        <v>133</v>
      </c>
      <c r="F141" s="4">
        <v>100</v>
      </c>
      <c r="G141" s="4">
        <v>57</v>
      </c>
      <c r="H141" s="4">
        <v>49</v>
      </c>
      <c r="I141" s="4">
        <v>54</v>
      </c>
      <c r="J141" s="4">
        <v>19</v>
      </c>
      <c r="K141" s="4">
        <v>24</v>
      </c>
      <c r="L141" s="4">
        <v>19</v>
      </c>
      <c r="M141" s="4">
        <v>8</v>
      </c>
      <c r="N141" s="4">
        <v>6</v>
      </c>
      <c r="O141" s="5">
        <f>SUM(Tabela32391011[[#This Row],[jan/23]:[dez/23]])</f>
        <v>1199</v>
      </c>
    </row>
    <row r="142" spans="1:15" x14ac:dyDescent="0.25">
      <c r="A142" s="4" t="s">
        <v>285</v>
      </c>
      <c r="B142" s="4" t="s">
        <v>134</v>
      </c>
      <c r="C142" s="4">
        <v>224</v>
      </c>
      <c r="D142" s="4">
        <v>250</v>
      </c>
      <c r="E142" s="4">
        <v>138</v>
      </c>
      <c r="F142" s="4">
        <v>174</v>
      </c>
      <c r="G142" s="4">
        <v>121</v>
      </c>
      <c r="H142" s="4">
        <v>60</v>
      </c>
      <c r="I142" s="4">
        <v>56</v>
      </c>
      <c r="J142" s="4">
        <v>46</v>
      </c>
      <c r="K142" s="4">
        <v>71</v>
      </c>
      <c r="L142" s="4">
        <v>24</v>
      </c>
      <c r="M142" s="4">
        <v>8</v>
      </c>
      <c r="N142" s="4">
        <v>15</v>
      </c>
      <c r="O142" s="5">
        <f>SUM(Tabela32391011[[#This Row],[jan/23]:[dez/23]])</f>
        <v>1187</v>
      </c>
    </row>
    <row r="143" spans="1:15" x14ac:dyDescent="0.25">
      <c r="A143" s="4" t="s">
        <v>283</v>
      </c>
      <c r="B143" s="4" t="s">
        <v>252</v>
      </c>
      <c r="C143" s="4">
        <v>119</v>
      </c>
      <c r="D143" s="4">
        <v>73</v>
      </c>
      <c r="E143" s="4">
        <v>113</v>
      </c>
      <c r="F143" s="4">
        <v>98</v>
      </c>
      <c r="G143" s="4">
        <v>116</v>
      </c>
      <c r="H143" s="4">
        <v>73</v>
      </c>
      <c r="I143" s="4">
        <v>89</v>
      </c>
      <c r="J143" s="4">
        <v>87</v>
      </c>
      <c r="K143" s="4">
        <v>78</v>
      </c>
      <c r="L143" s="4">
        <v>88</v>
      </c>
      <c r="M143" s="4">
        <v>115</v>
      </c>
      <c r="N143" s="4">
        <v>67</v>
      </c>
      <c r="O143" s="5">
        <f>SUM(Tabela32391011[[#This Row],[jan/23]:[dez/23]])</f>
        <v>1116</v>
      </c>
    </row>
    <row r="144" spans="1:15" x14ac:dyDescent="0.25">
      <c r="A144" s="4" t="s">
        <v>287</v>
      </c>
      <c r="B144" s="4" t="s">
        <v>230</v>
      </c>
      <c r="C144" s="4"/>
      <c r="D144" s="4"/>
      <c r="E144" s="4"/>
      <c r="F144" s="4"/>
      <c r="G144" s="4"/>
      <c r="H144" s="4"/>
      <c r="I144" s="4"/>
      <c r="J144" s="4"/>
      <c r="K144" s="4"/>
      <c r="L144" s="4">
        <v>327</v>
      </c>
      <c r="M144" s="4">
        <v>308</v>
      </c>
      <c r="N144" s="4">
        <v>430</v>
      </c>
      <c r="O144" s="5">
        <f>SUM(Tabela32391011[[#This Row],[jan/23]:[dez/23]])</f>
        <v>1065</v>
      </c>
    </row>
    <row r="145" spans="1:15" x14ac:dyDescent="0.25">
      <c r="A145" s="4" t="s">
        <v>289</v>
      </c>
      <c r="B145" s="4" t="s">
        <v>860</v>
      </c>
      <c r="C145" s="4">
        <v>154</v>
      </c>
      <c r="D145" s="4">
        <v>143</v>
      </c>
      <c r="E145" s="4">
        <v>197</v>
      </c>
      <c r="F145" s="4">
        <v>199</v>
      </c>
      <c r="G145" s="4">
        <v>108</v>
      </c>
      <c r="H145" s="4">
        <v>93</v>
      </c>
      <c r="I145" s="4">
        <v>83</v>
      </c>
      <c r="J145" s="4">
        <v>41</v>
      </c>
      <c r="K145" s="4">
        <v>16</v>
      </c>
      <c r="L145" s="4">
        <v>8</v>
      </c>
      <c r="M145" s="4">
        <v>1</v>
      </c>
      <c r="N145" s="4">
        <v>1</v>
      </c>
      <c r="O145" s="5">
        <f>SUM(Tabela32391011[[#This Row],[jan/23]:[dez/23]])</f>
        <v>1044</v>
      </c>
    </row>
    <row r="146" spans="1:15" x14ac:dyDescent="0.25">
      <c r="A146" s="4" t="s">
        <v>291</v>
      </c>
      <c r="B146" s="4" t="s">
        <v>744</v>
      </c>
      <c r="C146" s="4">
        <v>154</v>
      </c>
      <c r="D146" s="4">
        <v>81</v>
      </c>
      <c r="E146" s="4">
        <v>86</v>
      </c>
      <c r="F146" s="4">
        <v>50</v>
      </c>
      <c r="G146" s="4">
        <v>65</v>
      </c>
      <c r="H146" s="4">
        <v>46</v>
      </c>
      <c r="I146" s="4">
        <v>69</v>
      </c>
      <c r="J146" s="4">
        <v>60</v>
      </c>
      <c r="K146" s="4">
        <v>100</v>
      </c>
      <c r="L146" s="4">
        <v>100</v>
      </c>
      <c r="M146" s="4">
        <v>100</v>
      </c>
      <c r="N146" s="4">
        <v>112</v>
      </c>
      <c r="O146" s="5">
        <f>SUM(Tabela32391011[[#This Row],[jan/23]:[dez/23]])</f>
        <v>1023</v>
      </c>
    </row>
    <row r="147" spans="1:15" x14ac:dyDescent="0.25">
      <c r="A147" s="4" t="s">
        <v>293</v>
      </c>
      <c r="B147" s="4" t="s">
        <v>830</v>
      </c>
      <c r="C147" s="4">
        <v>57</v>
      </c>
      <c r="D147" s="4">
        <v>48</v>
      </c>
      <c r="E147" s="4">
        <v>54</v>
      </c>
      <c r="F147" s="4">
        <v>83</v>
      </c>
      <c r="G147" s="4">
        <v>59</v>
      </c>
      <c r="H147" s="4">
        <v>90</v>
      </c>
      <c r="I147" s="4">
        <v>102</v>
      </c>
      <c r="J147" s="4">
        <v>78</v>
      </c>
      <c r="K147" s="4">
        <v>80</v>
      </c>
      <c r="L147" s="4">
        <v>62</v>
      </c>
      <c r="M147" s="4">
        <v>89</v>
      </c>
      <c r="N147" s="4">
        <v>129</v>
      </c>
      <c r="O147" s="5">
        <f>SUM(Tabela32391011[[#This Row],[jan/23]:[dez/23]])</f>
        <v>931</v>
      </c>
    </row>
    <row r="148" spans="1:15" x14ac:dyDescent="0.25">
      <c r="A148" s="4" t="s">
        <v>295</v>
      </c>
      <c r="B148" s="4" t="s">
        <v>294</v>
      </c>
      <c r="C148" s="4">
        <v>56</v>
      </c>
      <c r="D148" s="4">
        <v>72</v>
      </c>
      <c r="E148" s="4">
        <v>43</v>
      </c>
      <c r="F148" s="4">
        <v>73</v>
      </c>
      <c r="G148" s="4">
        <v>51</v>
      </c>
      <c r="H148" s="4">
        <v>48</v>
      </c>
      <c r="I148" s="4">
        <v>117</v>
      </c>
      <c r="J148" s="4">
        <v>79</v>
      </c>
      <c r="K148" s="4">
        <v>70</v>
      </c>
      <c r="L148" s="4">
        <v>104</v>
      </c>
      <c r="M148" s="4">
        <v>82</v>
      </c>
      <c r="N148" s="4">
        <v>119</v>
      </c>
      <c r="O148" s="5">
        <f>SUM(Tabela32391011[[#This Row],[jan/23]:[dez/23]])</f>
        <v>914</v>
      </c>
    </row>
    <row r="149" spans="1:15" x14ac:dyDescent="0.25">
      <c r="A149" s="4" t="s">
        <v>297</v>
      </c>
      <c r="B149" s="4" t="s">
        <v>747</v>
      </c>
      <c r="C149" s="4">
        <v>91</v>
      </c>
      <c r="D149" s="4">
        <v>84</v>
      </c>
      <c r="E149" s="4">
        <v>98</v>
      </c>
      <c r="F149" s="4">
        <v>100</v>
      </c>
      <c r="G149" s="4">
        <v>113</v>
      </c>
      <c r="H149" s="4">
        <v>61</v>
      </c>
      <c r="I149" s="4">
        <v>72</v>
      </c>
      <c r="J149" s="4">
        <v>58</v>
      </c>
      <c r="K149" s="4">
        <v>51</v>
      </c>
      <c r="L149" s="4">
        <v>66</v>
      </c>
      <c r="M149" s="4">
        <v>37</v>
      </c>
      <c r="N149" s="4">
        <v>57</v>
      </c>
      <c r="O149" s="5">
        <f>SUM(Tabela32391011[[#This Row],[jan/23]:[dez/23]])</f>
        <v>888</v>
      </c>
    </row>
    <row r="150" spans="1:15" x14ac:dyDescent="0.25">
      <c r="A150" s="4" t="s">
        <v>299</v>
      </c>
      <c r="B150" s="4" t="s">
        <v>662</v>
      </c>
      <c r="C150" s="4">
        <v>82</v>
      </c>
      <c r="D150" s="4">
        <v>67</v>
      </c>
      <c r="E150" s="4">
        <v>48</v>
      </c>
      <c r="F150" s="4">
        <v>71</v>
      </c>
      <c r="G150" s="4">
        <v>93</v>
      </c>
      <c r="H150" s="4">
        <v>65</v>
      </c>
      <c r="I150" s="4">
        <v>60</v>
      </c>
      <c r="J150" s="4">
        <v>62</v>
      </c>
      <c r="K150" s="4">
        <v>90</v>
      </c>
      <c r="L150" s="4">
        <v>87</v>
      </c>
      <c r="M150" s="4">
        <v>66</v>
      </c>
      <c r="N150" s="4">
        <v>81</v>
      </c>
      <c r="O150" s="5">
        <f>SUM(Tabela32391011[[#This Row],[jan/23]:[dez/23]])</f>
        <v>872</v>
      </c>
    </row>
    <row r="151" spans="1:15" x14ac:dyDescent="0.25">
      <c r="A151" s="4" t="s">
        <v>301</v>
      </c>
      <c r="B151" s="4" t="s">
        <v>750</v>
      </c>
      <c r="C151" s="4">
        <v>99</v>
      </c>
      <c r="D151" s="4">
        <v>95</v>
      </c>
      <c r="E151" s="4">
        <v>64</v>
      </c>
      <c r="F151" s="4">
        <v>58</v>
      </c>
      <c r="G151" s="4">
        <v>97</v>
      </c>
      <c r="H151" s="4">
        <v>68</v>
      </c>
      <c r="I151" s="4">
        <v>62</v>
      </c>
      <c r="J151" s="4">
        <v>82</v>
      </c>
      <c r="K151" s="4">
        <v>80</v>
      </c>
      <c r="L151" s="4">
        <v>64</v>
      </c>
      <c r="M151" s="4">
        <v>47</v>
      </c>
      <c r="N151" s="4">
        <v>55</v>
      </c>
      <c r="O151" s="5">
        <f>SUM(Tabela32391011[[#This Row],[jan/23]:[dez/23]])</f>
        <v>871</v>
      </c>
    </row>
    <row r="152" spans="1:15" x14ac:dyDescent="0.25">
      <c r="A152" s="4" t="s">
        <v>303</v>
      </c>
      <c r="B152" s="4" t="s">
        <v>652</v>
      </c>
      <c r="C152" s="4">
        <v>95</v>
      </c>
      <c r="D152" s="4">
        <v>95</v>
      </c>
      <c r="E152" s="4">
        <v>81</v>
      </c>
      <c r="F152" s="4">
        <v>87</v>
      </c>
      <c r="G152" s="4">
        <v>83</v>
      </c>
      <c r="H152" s="4">
        <v>46</v>
      </c>
      <c r="I152" s="4">
        <v>78</v>
      </c>
      <c r="J152" s="4">
        <v>75</v>
      </c>
      <c r="K152" s="4">
        <v>47</v>
      </c>
      <c r="L152" s="4">
        <v>57</v>
      </c>
      <c r="M152" s="4">
        <v>47</v>
      </c>
      <c r="N152" s="4">
        <v>66</v>
      </c>
      <c r="O152" s="5">
        <f>SUM(Tabela32391011[[#This Row],[jan/23]:[dez/23]])</f>
        <v>857</v>
      </c>
    </row>
    <row r="153" spans="1:15" x14ac:dyDescent="0.25">
      <c r="A153" s="4" t="s">
        <v>305</v>
      </c>
      <c r="B153" s="4" t="s">
        <v>242</v>
      </c>
      <c r="C153" s="4">
        <v>44</v>
      </c>
      <c r="D153" s="4">
        <v>67</v>
      </c>
      <c r="E153" s="4">
        <v>58</v>
      </c>
      <c r="F153" s="4">
        <v>65</v>
      </c>
      <c r="G153" s="4">
        <v>72</v>
      </c>
      <c r="H153" s="4">
        <v>40</v>
      </c>
      <c r="I153" s="4">
        <v>73</v>
      </c>
      <c r="J153" s="4">
        <v>61</v>
      </c>
      <c r="K153" s="4">
        <v>65</v>
      </c>
      <c r="L153" s="4">
        <v>52</v>
      </c>
      <c r="M153" s="4">
        <v>73</v>
      </c>
      <c r="N153" s="4">
        <v>97</v>
      </c>
      <c r="O153" s="5">
        <f>SUM(Tabela32391011[[#This Row],[jan/23]:[dez/23]])</f>
        <v>767</v>
      </c>
    </row>
    <row r="154" spans="1:15" x14ac:dyDescent="0.25">
      <c r="A154" s="4" t="s">
        <v>307</v>
      </c>
      <c r="B154" s="4" t="s">
        <v>24</v>
      </c>
      <c r="C154" s="4">
        <v>51</v>
      </c>
      <c r="D154" s="4">
        <v>53</v>
      </c>
      <c r="E154" s="4">
        <v>28</v>
      </c>
      <c r="F154" s="4">
        <v>28</v>
      </c>
      <c r="G154" s="4">
        <v>21</v>
      </c>
      <c r="H154" s="4">
        <v>29</v>
      </c>
      <c r="I154" s="4">
        <v>43</v>
      </c>
      <c r="J154" s="4">
        <v>75</v>
      </c>
      <c r="K154" s="4">
        <v>80</v>
      </c>
      <c r="L154" s="4">
        <v>91</v>
      </c>
      <c r="M154" s="4">
        <v>81</v>
      </c>
      <c r="N154" s="4">
        <v>162</v>
      </c>
      <c r="O154" s="5">
        <f>SUM(Tabela32391011[[#This Row],[jan/23]:[dez/23]])</f>
        <v>742</v>
      </c>
    </row>
    <row r="155" spans="1:15" x14ac:dyDescent="0.25">
      <c r="A155" s="4" t="s">
        <v>311</v>
      </c>
      <c r="B155" s="4" t="s">
        <v>518</v>
      </c>
      <c r="C155" s="4">
        <v>50</v>
      </c>
      <c r="D155" s="4">
        <v>50</v>
      </c>
      <c r="E155" s="4">
        <v>62</v>
      </c>
      <c r="F155" s="4">
        <v>32</v>
      </c>
      <c r="G155" s="4">
        <v>60</v>
      </c>
      <c r="H155" s="4">
        <v>90</v>
      </c>
      <c r="I155" s="4">
        <v>101</v>
      </c>
      <c r="J155" s="4">
        <v>60</v>
      </c>
      <c r="K155" s="4">
        <v>60</v>
      </c>
      <c r="L155" s="4">
        <v>50</v>
      </c>
      <c r="M155" s="4">
        <v>46</v>
      </c>
      <c r="N155" s="4">
        <v>80</v>
      </c>
      <c r="O155" s="5">
        <f>SUM(Tabela32391011[[#This Row],[jan/23]:[dez/23]])</f>
        <v>741</v>
      </c>
    </row>
    <row r="156" spans="1:15" x14ac:dyDescent="0.25">
      <c r="A156" s="4" t="s">
        <v>309</v>
      </c>
      <c r="B156" s="4" t="s">
        <v>673</v>
      </c>
      <c r="C156" s="4">
        <v>93</v>
      </c>
      <c r="D156" s="4">
        <v>81</v>
      </c>
      <c r="E156" s="4">
        <v>50</v>
      </c>
      <c r="F156" s="4">
        <v>78</v>
      </c>
      <c r="G156" s="4">
        <v>74</v>
      </c>
      <c r="H156" s="4">
        <v>57</v>
      </c>
      <c r="I156" s="4">
        <v>66</v>
      </c>
      <c r="J156" s="4">
        <v>66</v>
      </c>
      <c r="K156" s="4">
        <v>51</v>
      </c>
      <c r="L156" s="4">
        <v>38</v>
      </c>
      <c r="M156" s="4">
        <v>36</v>
      </c>
      <c r="N156" s="4">
        <v>40</v>
      </c>
      <c r="O156" s="5">
        <f>SUM(Tabela32391011[[#This Row],[jan/23]:[dez/23]])</f>
        <v>730</v>
      </c>
    </row>
    <row r="157" spans="1:15" x14ac:dyDescent="0.25">
      <c r="A157" s="4" t="s">
        <v>313</v>
      </c>
      <c r="B157" s="4" t="s">
        <v>368</v>
      </c>
      <c r="C157" s="4">
        <v>112</v>
      </c>
      <c r="D157" s="4">
        <v>102</v>
      </c>
      <c r="E157" s="4">
        <v>52</v>
      </c>
      <c r="F157" s="4">
        <v>68</v>
      </c>
      <c r="G157" s="4">
        <v>48</v>
      </c>
      <c r="H157" s="4">
        <v>56</v>
      </c>
      <c r="I157" s="4">
        <v>61</v>
      </c>
      <c r="J157" s="4">
        <v>53</v>
      </c>
      <c r="K157" s="4">
        <v>47</v>
      </c>
      <c r="L157" s="4">
        <v>50</v>
      </c>
      <c r="M157" s="4">
        <v>31</v>
      </c>
      <c r="N157" s="4">
        <v>23</v>
      </c>
      <c r="O157" s="5">
        <f>SUM(Tabela32391011[[#This Row],[jan/23]:[dez/23]])</f>
        <v>703</v>
      </c>
    </row>
    <row r="158" spans="1:15" x14ac:dyDescent="0.25">
      <c r="A158" s="4" t="s">
        <v>317</v>
      </c>
      <c r="B158" s="4" t="s">
        <v>697</v>
      </c>
      <c r="C158" s="4">
        <v>200</v>
      </c>
      <c r="D158" s="4">
        <v>100</v>
      </c>
      <c r="E158" s="4">
        <v>68</v>
      </c>
      <c r="F158" s="4">
        <v>60</v>
      </c>
      <c r="G158" s="4">
        <v>50</v>
      </c>
      <c r="H158" s="4">
        <v>55</v>
      </c>
      <c r="I158" s="4">
        <v>60</v>
      </c>
      <c r="J158" s="4">
        <v>30</v>
      </c>
      <c r="K158" s="4">
        <v>35</v>
      </c>
      <c r="L158" s="4">
        <v>13</v>
      </c>
      <c r="M158" s="4">
        <v>13</v>
      </c>
      <c r="N158" s="4">
        <v>6</v>
      </c>
      <c r="O158" s="5">
        <f>SUM(Tabela32391011[[#This Row],[jan/23]:[dez/23]])</f>
        <v>690</v>
      </c>
    </row>
    <row r="159" spans="1:15" x14ac:dyDescent="0.25">
      <c r="A159" s="4" t="s">
        <v>315</v>
      </c>
      <c r="B159" s="4" t="s">
        <v>828</v>
      </c>
      <c r="C159" s="4">
        <v>102</v>
      </c>
      <c r="D159" s="4">
        <v>59</v>
      </c>
      <c r="E159" s="4">
        <v>35</v>
      </c>
      <c r="F159" s="4">
        <v>51</v>
      </c>
      <c r="G159" s="4">
        <v>74</v>
      </c>
      <c r="H159" s="4">
        <v>48</v>
      </c>
      <c r="I159" s="4">
        <v>61</v>
      </c>
      <c r="J159" s="4">
        <v>48</v>
      </c>
      <c r="K159" s="4">
        <v>57</v>
      </c>
      <c r="L159" s="4">
        <v>58</v>
      </c>
      <c r="M159" s="4">
        <v>33</v>
      </c>
      <c r="N159" s="4">
        <v>59</v>
      </c>
      <c r="O159" s="5">
        <f>SUM(Tabela32391011[[#This Row],[jan/23]:[dez/23]])</f>
        <v>685</v>
      </c>
    </row>
    <row r="160" spans="1:15" x14ac:dyDescent="0.25">
      <c r="A160" s="4" t="s">
        <v>319</v>
      </c>
      <c r="B160" s="4" t="s">
        <v>743</v>
      </c>
      <c r="C160" s="4">
        <v>42</v>
      </c>
      <c r="D160" s="4">
        <v>31</v>
      </c>
      <c r="E160" s="4">
        <v>28</v>
      </c>
      <c r="F160" s="4">
        <v>44</v>
      </c>
      <c r="G160" s="4">
        <v>66</v>
      </c>
      <c r="H160" s="4">
        <v>54</v>
      </c>
      <c r="I160" s="4">
        <v>63</v>
      </c>
      <c r="J160" s="4">
        <v>72</v>
      </c>
      <c r="K160" s="4">
        <v>72</v>
      </c>
      <c r="L160" s="4">
        <v>83</v>
      </c>
      <c r="M160" s="4">
        <v>44</v>
      </c>
      <c r="N160" s="4">
        <v>31</v>
      </c>
      <c r="O160" s="5">
        <f>SUM(Tabela32391011[[#This Row],[jan/23]:[dez/23]])</f>
        <v>630</v>
      </c>
    </row>
    <row r="161" spans="1:15" x14ac:dyDescent="0.25">
      <c r="A161" s="4" t="s">
        <v>321</v>
      </c>
      <c r="B161" s="4" t="s">
        <v>810</v>
      </c>
      <c r="C161" s="4">
        <v>71</v>
      </c>
      <c r="D161" s="4">
        <v>44</v>
      </c>
      <c r="E161" s="4">
        <v>40</v>
      </c>
      <c r="F161" s="4">
        <v>52</v>
      </c>
      <c r="G161" s="4">
        <v>32</v>
      </c>
      <c r="H161" s="4">
        <v>26</v>
      </c>
      <c r="I161" s="4">
        <v>25</v>
      </c>
      <c r="J161" s="4">
        <v>33</v>
      </c>
      <c r="K161" s="4">
        <v>66</v>
      </c>
      <c r="L161" s="4">
        <v>82</v>
      </c>
      <c r="M161" s="4">
        <v>71</v>
      </c>
      <c r="N161" s="4">
        <v>64</v>
      </c>
      <c r="O161" s="5">
        <f>SUM(Tabela32391011[[#This Row],[jan/23]:[dez/23]])</f>
        <v>606</v>
      </c>
    </row>
    <row r="162" spans="1:15" x14ac:dyDescent="0.25">
      <c r="A162" s="4" t="s">
        <v>323</v>
      </c>
      <c r="B162" s="4" t="s">
        <v>753</v>
      </c>
      <c r="C162" s="4">
        <v>59</v>
      </c>
      <c r="D162" s="4">
        <v>77</v>
      </c>
      <c r="E162" s="4">
        <v>51</v>
      </c>
      <c r="F162" s="4">
        <v>43</v>
      </c>
      <c r="G162" s="4">
        <v>52</v>
      </c>
      <c r="H162" s="4">
        <v>33</v>
      </c>
      <c r="I162" s="4">
        <v>47</v>
      </c>
      <c r="J162" s="4">
        <v>41</v>
      </c>
      <c r="K162" s="4">
        <v>60</v>
      </c>
      <c r="L162" s="4">
        <v>53</v>
      </c>
      <c r="M162" s="4">
        <v>40</v>
      </c>
      <c r="N162" s="4">
        <v>41</v>
      </c>
      <c r="O162" s="5">
        <f>SUM(Tabela32391011[[#This Row],[jan/23]:[dez/23]])</f>
        <v>597</v>
      </c>
    </row>
    <row r="163" spans="1:15" x14ac:dyDescent="0.25">
      <c r="A163" s="4" t="s">
        <v>325</v>
      </c>
      <c r="B163" s="4" t="s">
        <v>711</v>
      </c>
      <c r="C163" s="4">
        <v>59</v>
      </c>
      <c r="D163" s="4">
        <v>55</v>
      </c>
      <c r="E163" s="4">
        <v>55</v>
      </c>
      <c r="F163" s="4">
        <v>60</v>
      </c>
      <c r="G163" s="4">
        <v>26</v>
      </c>
      <c r="H163" s="4">
        <v>57</v>
      </c>
      <c r="I163" s="4">
        <v>32</v>
      </c>
      <c r="J163" s="4">
        <v>42</v>
      </c>
      <c r="K163" s="4">
        <v>32</v>
      </c>
      <c r="L163" s="4">
        <v>64</v>
      </c>
      <c r="M163" s="4">
        <v>53</v>
      </c>
      <c r="N163" s="4">
        <v>26</v>
      </c>
      <c r="O163" s="5">
        <f>SUM(Tabela32391011[[#This Row],[jan/23]:[dez/23]])</f>
        <v>561</v>
      </c>
    </row>
    <row r="164" spans="1:15" x14ac:dyDescent="0.25">
      <c r="A164" s="4" t="s">
        <v>329</v>
      </c>
      <c r="B164" s="4" t="s">
        <v>827</v>
      </c>
      <c r="C164" s="4">
        <v>64</v>
      </c>
      <c r="D164" s="4">
        <v>58</v>
      </c>
      <c r="E164" s="4">
        <v>48</v>
      </c>
      <c r="F164" s="4">
        <v>40</v>
      </c>
      <c r="G164" s="4">
        <v>55</v>
      </c>
      <c r="H164" s="4">
        <v>45</v>
      </c>
      <c r="I164" s="4">
        <v>44</v>
      </c>
      <c r="J164" s="4">
        <v>53</v>
      </c>
      <c r="K164" s="4">
        <v>36</v>
      </c>
      <c r="L164" s="4">
        <v>42</v>
      </c>
      <c r="M164" s="4">
        <v>34</v>
      </c>
      <c r="N164" s="4">
        <v>31</v>
      </c>
      <c r="O164" s="5">
        <f>SUM(Tabela32391011[[#This Row],[jan/23]:[dez/23]])</f>
        <v>550</v>
      </c>
    </row>
    <row r="165" spans="1:15" x14ac:dyDescent="0.25">
      <c r="A165" s="4" t="s">
        <v>327</v>
      </c>
      <c r="B165" s="4" t="s">
        <v>640</v>
      </c>
      <c r="C165" s="4">
        <v>74</v>
      </c>
      <c r="D165" s="4">
        <v>60</v>
      </c>
      <c r="E165" s="4">
        <v>58</v>
      </c>
      <c r="F165" s="4">
        <v>50</v>
      </c>
      <c r="G165" s="4">
        <v>50</v>
      </c>
      <c r="H165" s="4">
        <v>25</v>
      </c>
      <c r="I165" s="4">
        <v>22</v>
      </c>
      <c r="J165" s="4">
        <v>27</v>
      </c>
      <c r="K165" s="4">
        <v>88</v>
      </c>
      <c r="L165" s="4">
        <v>34</v>
      </c>
      <c r="M165" s="4">
        <v>21</v>
      </c>
      <c r="N165" s="4">
        <v>38</v>
      </c>
      <c r="O165" s="5">
        <f>SUM(Tabela32391011[[#This Row],[jan/23]:[dez/23]])</f>
        <v>547</v>
      </c>
    </row>
    <row r="166" spans="1:15" x14ac:dyDescent="0.25">
      <c r="A166" s="4" t="s">
        <v>331</v>
      </c>
      <c r="B166" s="4" t="s">
        <v>707</v>
      </c>
      <c r="C166" s="4">
        <v>34</v>
      </c>
      <c r="D166" s="4">
        <v>30</v>
      </c>
      <c r="E166" s="4">
        <v>20</v>
      </c>
      <c r="F166" s="4">
        <v>32</v>
      </c>
      <c r="G166" s="4">
        <v>55</v>
      </c>
      <c r="H166" s="4">
        <v>74</v>
      </c>
      <c r="I166" s="4">
        <v>42</v>
      </c>
      <c r="J166" s="4">
        <v>53</v>
      </c>
      <c r="K166" s="4">
        <v>64</v>
      </c>
      <c r="L166" s="4">
        <v>67</v>
      </c>
      <c r="M166" s="4">
        <v>37</v>
      </c>
      <c r="N166" s="4">
        <v>35</v>
      </c>
      <c r="O166" s="5">
        <f>SUM(Tabela32391011[[#This Row],[jan/23]:[dez/23]])</f>
        <v>543</v>
      </c>
    </row>
    <row r="167" spans="1:15" x14ac:dyDescent="0.25">
      <c r="A167" s="4" t="s">
        <v>335</v>
      </c>
      <c r="B167" s="4" t="s">
        <v>270</v>
      </c>
      <c r="C167" s="4">
        <v>40</v>
      </c>
      <c r="D167" s="4">
        <v>30</v>
      </c>
      <c r="E167" s="4">
        <v>27</v>
      </c>
      <c r="F167" s="4">
        <v>53</v>
      </c>
      <c r="G167" s="4">
        <v>47</v>
      </c>
      <c r="H167" s="4">
        <v>60</v>
      </c>
      <c r="I167" s="4">
        <v>59</v>
      </c>
      <c r="J167" s="4">
        <v>55</v>
      </c>
      <c r="K167" s="4">
        <v>60</v>
      </c>
      <c r="L167" s="4">
        <v>42</v>
      </c>
      <c r="M167" s="4">
        <v>25</v>
      </c>
      <c r="N167" s="4">
        <v>25</v>
      </c>
      <c r="O167" s="5">
        <f>SUM(Tabela32391011[[#This Row],[jan/23]:[dez/23]])</f>
        <v>523</v>
      </c>
    </row>
    <row r="168" spans="1:15" x14ac:dyDescent="0.25">
      <c r="A168" s="4" t="s">
        <v>333</v>
      </c>
      <c r="B168" s="4" t="s">
        <v>667</v>
      </c>
      <c r="C168" s="4">
        <v>10</v>
      </c>
      <c r="D168" s="4">
        <v>60</v>
      </c>
      <c r="E168" s="4"/>
      <c r="F168" s="4"/>
      <c r="G168" s="4"/>
      <c r="H168" s="4"/>
      <c r="I168" s="4"/>
      <c r="J168" s="4"/>
      <c r="K168" s="4"/>
      <c r="L168" s="4">
        <v>78</v>
      </c>
      <c r="M168" s="4">
        <v>300</v>
      </c>
      <c r="N168" s="4">
        <v>38</v>
      </c>
      <c r="O168" s="5">
        <f>SUM(Tabela32391011[[#This Row],[jan/23]:[dez/23]])</f>
        <v>486</v>
      </c>
    </row>
    <row r="169" spans="1:15" x14ac:dyDescent="0.25">
      <c r="A169" s="4" t="s">
        <v>337</v>
      </c>
      <c r="B169" s="4" t="s">
        <v>679</v>
      </c>
      <c r="C169" s="4"/>
      <c r="D169" s="4"/>
      <c r="E169" s="4"/>
      <c r="F169" s="4"/>
      <c r="G169" s="4"/>
      <c r="H169" s="4">
        <v>7</v>
      </c>
      <c r="I169" s="4">
        <v>75</v>
      </c>
      <c r="J169" s="4">
        <v>69</v>
      </c>
      <c r="K169" s="4">
        <v>77</v>
      </c>
      <c r="L169" s="4">
        <v>84</v>
      </c>
      <c r="M169" s="4">
        <v>89</v>
      </c>
      <c r="N169" s="4">
        <v>70</v>
      </c>
      <c r="O169" s="5">
        <f>SUM(Tabela32391011[[#This Row],[jan/23]:[dez/23]])</f>
        <v>471</v>
      </c>
    </row>
    <row r="170" spans="1:15" x14ac:dyDescent="0.25">
      <c r="A170" s="4" t="s">
        <v>341</v>
      </c>
      <c r="B170" s="4" t="s">
        <v>386</v>
      </c>
      <c r="C170" s="4">
        <v>31</v>
      </c>
      <c r="D170" s="4">
        <v>36</v>
      </c>
      <c r="E170" s="4">
        <v>30</v>
      </c>
      <c r="F170" s="4">
        <v>32</v>
      </c>
      <c r="G170" s="4">
        <v>44</v>
      </c>
      <c r="H170" s="4">
        <v>45</v>
      </c>
      <c r="I170" s="4">
        <v>44</v>
      </c>
      <c r="J170" s="4">
        <v>50</v>
      </c>
      <c r="K170" s="4">
        <v>43</v>
      </c>
      <c r="L170" s="4">
        <v>41</v>
      </c>
      <c r="M170" s="4">
        <v>43</v>
      </c>
      <c r="N170" s="4">
        <v>31</v>
      </c>
      <c r="O170" s="5">
        <f>SUM(Tabela32391011[[#This Row],[jan/23]:[dez/23]])</f>
        <v>470</v>
      </c>
    </row>
    <row r="171" spans="1:15" x14ac:dyDescent="0.25">
      <c r="A171" s="4" t="s">
        <v>339</v>
      </c>
      <c r="B171" s="4" t="s">
        <v>156</v>
      </c>
      <c r="C171" s="4">
        <v>21</v>
      </c>
      <c r="D171" s="4">
        <v>12</v>
      </c>
      <c r="E171" s="4">
        <v>18</v>
      </c>
      <c r="F171" s="4">
        <v>60</v>
      </c>
      <c r="G171" s="4">
        <v>61</v>
      </c>
      <c r="H171" s="4">
        <v>56</v>
      </c>
      <c r="I171" s="4">
        <v>31</v>
      </c>
      <c r="J171" s="4">
        <v>29</v>
      </c>
      <c r="K171" s="4">
        <v>29</v>
      </c>
      <c r="L171" s="4">
        <v>63</v>
      </c>
      <c r="M171" s="4">
        <v>36</v>
      </c>
      <c r="N171" s="4">
        <v>47</v>
      </c>
      <c r="O171" s="5">
        <f>SUM(Tabela32391011[[#This Row],[jan/23]:[dez/23]])</f>
        <v>463</v>
      </c>
    </row>
    <row r="172" spans="1:15" x14ac:dyDescent="0.25">
      <c r="A172" s="4" t="s">
        <v>343</v>
      </c>
      <c r="B172" s="4" t="s">
        <v>234</v>
      </c>
      <c r="C172" s="4">
        <v>40</v>
      </c>
      <c r="D172" s="4">
        <v>38</v>
      </c>
      <c r="E172" s="4">
        <v>27</v>
      </c>
      <c r="F172" s="4">
        <v>47</v>
      </c>
      <c r="G172" s="4">
        <v>38</v>
      </c>
      <c r="H172" s="4">
        <v>18</v>
      </c>
      <c r="I172" s="4">
        <v>37</v>
      </c>
      <c r="J172" s="4">
        <v>39</v>
      </c>
      <c r="K172" s="4">
        <v>38</v>
      </c>
      <c r="L172" s="4">
        <v>42</v>
      </c>
      <c r="M172" s="4">
        <v>27</v>
      </c>
      <c r="N172" s="4">
        <v>45</v>
      </c>
      <c r="O172" s="5">
        <f>SUM(Tabela32391011[[#This Row],[jan/23]:[dez/23]])</f>
        <v>436</v>
      </c>
    </row>
    <row r="173" spans="1:15" x14ac:dyDescent="0.25">
      <c r="A173" s="4" t="s">
        <v>345</v>
      </c>
      <c r="B173" s="4" t="s">
        <v>212</v>
      </c>
      <c r="C173" s="4">
        <v>22</v>
      </c>
      <c r="D173" s="4">
        <v>15</v>
      </c>
      <c r="E173" s="4">
        <v>31</v>
      </c>
      <c r="F173" s="4">
        <v>24</v>
      </c>
      <c r="G173" s="4">
        <v>15</v>
      </c>
      <c r="H173" s="4">
        <v>21</v>
      </c>
      <c r="I173" s="4">
        <v>7</v>
      </c>
      <c r="J173" s="4">
        <v>44</v>
      </c>
      <c r="K173" s="4">
        <v>45</v>
      </c>
      <c r="L173" s="4">
        <v>57</v>
      </c>
      <c r="M173" s="4">
        <v>72</v>
      </c>
      <c r="N173" s="4">
        <v>72</v>
      </c>
      <c r="O173" s="5">
        <f>SUM(Tabela32391011[[#This Row],[jan/23]:[dez/23]])</f>
        <v>425</v>
      </c>
    </row>
    <row r="174" spans="1:15" x14ac:dyDescent="0.25">
      <c r="A174" s="4" t="s">
        <v>347</v>
      </c>
      <c r="B174" s="4" t="s">
        <v>654</v>
      </c>
      <c r="C174" s="4">
        <v>32</v>
      </c>
      <c r="D174" s="4">
        <v>36</v>
      </c>
      <c r="E174" s="4">
        <v>29</v>
      </c>
      <c r="F174" s="4">
        <v>31</v>
      </c>
      <c r="G174" s="4">
        <v>40</v>
      </c>
      <c r="H174" s="4">
        <v>39</v>
      </c>
      <c r="I174" s="4">
        <v>44</v>
      </c>
      <c r="J174" s="4">
        <v>35</v>
      </c>
      <c r="K174" s="4">
        <v>29</v>
      </c>
      <c r="L174" s="4">
        <v>44</v>
      </c>
      <c r="M174" s="4">
        <v>35</v>
      </c>
      <c r="N174" s="4">
        <v>28</v>
      </c>
      <c r="O174" s="5">
        <f>SUM(Tabela32391011[[#This Row],[jan/23]:[dez/23]])</f>
        <v>422</v>
      </c>
    </row>
    <row r="175" spans="1:15" x14ac:dyDescent="0.25">
      <c r="A175" s="4" t="s">
        <v>353</v>
      </c>
      <c r="B175" s="4" t="s">
        <v>839</v>
      </c>
      <c r="C175" s="4">
        <v>289</v>
      </c>
      <c r="D175" s="4">
        <v>81</v>
      </c>
      <c r="E175" s="4">
        <v>10</v>
      </c>
      <c r="F175" s="4">
        <v>10</v>
      </c>
      <c r="G175" s="4">
        <v>3</v>
      </c>
      <c r="H175" s="4">
        <v>4</v>
      </c>
      <c r="I175" s="4">
        <v>4</v>
      </c>
      <c r="J175" s="4">
        <v>4</v>
      </c>
      <c r="K175" s="4">
        <v>2</v>
      </c>
      <c r="L175" s="4">
        <v>8</v>
      </c>
      <c r="M175" s="4">
        <v>4</v>
      </c>
      <c r="N175" s="4">
        <v>2</v>
      </c>
      <c r="O175" s="5">
        <f>SUM(Tabela32391011[[#This Row],[jan/23]:[dez/23]])</f>
        <v>421</v>
      </c>
    </row>
    <row r="176" spans="1:15" x14ac:dyDescent="0.25">
      <c r="A176" s="4" t="s">
        <v>351</v>
      </c>
      <c r="B176" s="4" t="s">
        <v>636</v>
      </c>
      <c r="C176" s="4">
        <v>53</v>
      </c>
      <c r="D176" s="4">
        <v>45</v>
      </c>
      <c r="E176" s="4">
        <v>26</v>
      </c>
      <c r="F176" s="4">
        <v>70</v>
      </c>
      <c r="G176" s="4">
        <v>45</v>
      </c>
      <c r="H176" s="4">
        <v>40</v>
      </c>
      <c r="I176" s="4">
        <v>37</v>
      </c>
      <c r="J176" s="4">
        <v>15</v>
      </c>
      <c r="K176" s="4">
        <v>16</v>
      </c>
      <c r="L176" s="4">
        <v>30</v>
      </c>
      <c r="M176" s="4">
        <v>18</v>
      </c>
      <c r="N176" s="4">
        <v>26</v>
      </c>
      <c r="O176" s="5">
        <f>SUM(Tabela32391011[[#This Row],[jan/23]:[dez/23]])</f>
        <v>421</v>
      </c>
    </row>
    <row r="177" spans="1:15" x14ac:dyDescent="0.25">
      <c r="A177" s="4" t="s">
        <v>349</v>
      </c>
      <c r="B177" s="4" t="s">
        <v>218</v>
      </c>
      <c r="C177" s="4">
        <v>35</v>
      </c>
      <c r="D177" s="4">
        <v>43</v>
      </c>
      <c r="E177" s="4">
        <v>39</v>
      </c>
      <c r="F177" s="4">
        <v>41</v>
      </c>
      <c r="G177" s="4">
        <v>45</v>
      </c>
      <c r="H177" s="4">
        <v>40</v>
      </c>
      <c r="I177" s="4">
        <v>29</v>
      </c>
      <c r="J177" s="4">
        <v>18</v>
      </c>
      <c r="K177" s="4">
        <v>27</v>
      </c>
      <c r="L177" s="4">
        <v>26</v>
      </c>
      <c r="M177" s="4">
        <v>18</v>
      </c>
      <c r="N177" s="4">
        <v>44</v>
      </c>
      <c r="O177" s="5">
        <f>SUM(Tabela32391011[[#This Row],[jan/23]:[dez/23]])</f>
        <v>405</v>
      </c>
    </row>
    <row r="178" spans="1:15" x14ac:dyDescent="0.25">
      <c r="A178" s="4" t="s">
        <v>355</v>
      </c>
      <c r="B178" s="4" t="s">
        <v>818</v>
      </c>
      <c r="C178" s="4">
        <v>38</v>
      </c>
      <c r="D178" s="4">
        <v>41</v>
      </c>
      <c r="E178" s="4">
        <v>40</v>
      </c>
      <c r="F178" s="4">
        <v>64</v>
      </c>
      <c r="G178" s="4">
        <v>79</v>
      </c>
      <c r="H178" s="4">
        <v>40</v>
      </c>
      <c r="I178" s="4">
        <v>34</v>
      </c>
      <c r="J178" s="4">
        <v>19</v>
      </c>
      <c r="K178" s="4">
        <v>18</v>
      </c>
      <c r="L178" s="4">
        <v>12</v>
      </c>
      <c r="M178" s="4">
        <v>7</v>
      </c>
      <c r="N178" s="4">
        <v>5</v>
      </c>
      <c r="O178" s="5">
        <f>SUM(Tabela32391011[[#This Row],[jan/23]:[dez/23]])</f>
        <v>397</v>
      </c>
    </row>
    <row r="179" spans="1:15" x14ac:dyDescent="0.25">
      <c r="A179" s="4" t="s">
        <v>357</v>
      </c>
      <c r="B179" s="4" t="s">
        <v>815</v>
      </c>
      <c r="C179" s="4">
        <v>36</v>
      </c>
      <c r="D179" s="4">
        <v>36</v>
      </c>
      <c r="E179" s="4">
        <v>29</v>
      </c>
      <c r="F179" s="4">
        <v>32</v>
      </c>
      <c r="G179" s="4">
        <v>42</v>
      </c>
      <c r="H179" s="4">
        <v>27</v>
      </c>
      <c r="I179" s="4">
        <v>40</v>
      </c>
      <c r="J179" s="4">
        <v>30</v>
      </c>
      <c r="K179" s="4">
        <v>32</v>
      </c>
      <c r="L179" s="4">
        <v>38</v>
      </c>
      <c r="M179" s="4">
        <v>31</v>
      </c>
      <c r="N179" s="4">
        <v>17</v>
      </c>
      <c r="O179" s="5">
        <f>SUM(Tabela32391011[[#This Row],[jan/23]:[dez/23]])</f>
        <v>390</v>
      </c>
    </row>
    <row r="180" spans="1:15" x14ac:dyDescent="0.25">
      <c r="A180" s="4" t="s">
        <v>361</v>
      </c>
      <c r="B180" s="4" t="s">
        <v>721</v>
      </c>
      <c r="C180" s="4">
        <v>36</v>
      </c>
      <c r="D180" s="4">
        <v>38</v>
      </c>
      <c r="E180" s="4">
        <v>43</v>
      </c>
      <c r="F180" s="4">
        <v>37</v>
      </c>
      <c r="G180" s="4">
        <v>36</v>
      </c>
      <c r="H180" s="4">
        <v>34</v>
      </c>
      <c r="I180" s="4">
        <v>44</v>
      </c>
      <c r="J180" s="4">
        <v>29</v>
      </c>
      <c r="K180" s="4">
        <v>25</v>
      </c>
      <c r="L180" s="4">
        <v>15</v>
      </c>
      <c r="M180" s="4">
        <v>26</v>
      </c>
      <c r="N180" s="4">
        <v>24</v>
      </c>
      <c r="O180" s="5">
        <f>SUM(Tabela32391011[[#This Row],[jan/23]:[dez/23]])</f>
        <v>387</v>
      </c>
    </row>
    <row r="181" spans="1:15" x14ac:dyDescent="0.25">
      <c r="A181" s="4" t="s">
        <v>359</v>
      </c>
      <c r="B181" s="4" t="s">
        <v>496</v>
      </c>
      <c r="C181" s="4">
        <v>41</v>
      </c>
      <c r="D181" s="4">
        <v>30</v>
      </c>
      <c r="E181" s="4">
        <v>30</v>
      </c>
      <c r="F181" s="4">
        <v>33</v>
      </c>
      <c r="G181" s="4">
        <v>33</v>
      </c>
      <c r="H181" s="4">
        <v>20</v>
      </c>
      <c r="I181" s="4">
        <v>27</v>
      </c>
      <c r="J181" s="4">
        <v>21</v>
      </c>
      <c r="K181" s="4">
        <v>40</v>
      </c>
      <c r="L181" s="4">
        <v>29</v>
      </c>
      <c r="M181" s="4">
        <v>45</v>
      </c>
      <c r="N181" s="4">
        <v>37</v>
      </c>
      <c r="O181" s="5">
        <f>SUM(Tabela32391011[[#This Row],[jan/23]:[dez/23]])</f>
        <v>386</v>
      </c>
    </row>
    <row r="182" spans="1:15" x14ac:dyDescent="0.25">
      <c r="A182" s="4" t="s">
        <v>365</v>
      </c>
      <c r="B182" s="4" t="s">
        <v>222</v>
      </c>
      <c r="C182" s="4">
        <v>71</v>
      </c>
      <c r="D182" s="4">
        <v>27</v>
      </c>
      <c r="E182" s="4">
        <v>11</v>
      </c>
      <c r="F182" s="4">
        <v>30</v>
      </c>
      <c r="G182" s="4">
        <v>43</v>
      </c>
      <c r="H182" s="4">
        <v>32</v>
      </c>
      <c r="I182" s="4">
        <v>31</v>
      </c>
      <c r="J182" s="4">
        <v>12</v>
      </c>
      <c r="K182" s="4">
        <v>37</v>
      </c>
      <c r="L182" s="4">
        <v>21</v>
      </c>
      <c r="M182" s="4">
        <v>26</v>
      </c>
      <c r="N182" s="4">
        <v>34</v>
      </c>
      <c r="O182" s="5">
        <f>SUM(Tabela32391011[[#This Row],[jan/23]:[dez/23]])</f>
        <v>375</v>
      </c>
    </row>
    <row r="183" spans="1:15" x14ac:dyDescent="0.25">
      <c r="A183" s="4" t="s">
        <v>363</v>
      </c>
      <c r="B183" s="4" t="s">
        <v>811</v>
      </c>
      <c r="C183" s="4">
        <v>20</v>
      </c>
      <c r="D183" s="4">
        <v>17</v>
      </c>
      <c r="E183" s="4">
        <v>28</v>
      </c>
      <c r="F183" s="4">
        <v>42</v>
      </c>
      <c r="G183" s="4">
        <v>25</v>
      </c>
      <c r="H183" s="4">
        <v>35</v>
      </c>
      <c r="I183" s="4">
        <v>27</v>
      </c>
      <c r="J183" s="4">
        <v>46</v>
      </c>
      <c r="K183" s="4">
        <v>44</v>
      </c>
      <c r="L183" s="4">
        <v>36</v>
      </c>
      <c r="M183" s="4">
        <v>16</v>
      </c>
      <c r="N183" s="4">
        <v>35</v>
      </c>
      <c r="O183" s="5">
        <f>SUM(Tabela32391011[[#This Row],[jan/23]:[dez/23]])</f>
        <v>371</v>
      </c>
    </row>
    <row r="184" spans="1:15" x14ac:dyDescent="0.25">
      <c r="A184" s="4" t="s">
        <v>369</v>
      </c>
      <c r="B184" s="4" t="s">
        <v>194</v>
      </c>
      <c r="C184" s="4">
        <v>25</v>
      </c>
      <c r="D184" s="4">
        <v>23</v>
      </c>
      <c r="E184" s="4">
        <v>40</v>
      </c>
      <c r="F184" s="4">
        <v>20</v>
      </c>
      <c r="G184" s="4">
        <v>30</v>
      </c>
      <c r="H184" s="4">
        <v>36</v>
      </c>
      <c r="I184" s="4">
        <v>60</v>
      </c>
      <c r="J184" s="4">
        <v>30</v>
      </c>
      <c r="K184" s="4">
        <v>31</v>
      </c>
      <c r="L184" s="4">
        <v>28</v>
      </c>
      <c r="M184" s="4">
        <v>20</v>
      </c>
      <c r="N184" s="4">
        <v>20</v>
      </c>
      <c r="O184" s="5">
        <f>SUM(Tabela32391011[[#This Row],[jan/23]:[dez/23]])</f>
        <v>363</v>
      </c>
    </row>
    <row r="185" spans="1:15" x14ac:dyDescent="0.25">
      <c r="A185" s="4" t="s">
        <v>367</v>
      </c>
      <c r="B185" s="4" t="s">
        <v>682</v>
      </c>
      <c r="C185" s="4">
        <v>25</v>
      </c>
      <c r="D185" s="4">
        <v>49</v>
      </c>
      <c r="E185" s="4">
        <v>49</v>
      </c>
      <c r="F185" s="4">
        <v>53</v>
      </c>
      <c r="G185" s="4">
        <v>35</v>
      </c>
      <c r="H185" s="4">
        <v>33</v>
      </c>
      <c r="I185" s="4">
        <v>29</v>
      </c>
      <c r="J185" s="4">
        <v>22</v>
      </c>
      <c r="K185" s="4">
        <v>25</v>
      </c>
      <c r="L185" s="4">
        <v>20</v>
      </c>
      <c r="M185" s="4">
        <v>12</v>
      </c>
      <c r="N185" s="4">
        <v>10</v>
      </c>
      <c r="O185" s="5">
        <f>SUM(Tabela32391011[[#This Row],[jan/23]:[dez/23]])</f>
        <v>362</v>
      </c>
    </row>
    <row r="186" spans="1:15" x14ac:dyDescent="0.25">
      <c r="A186" s="4" t="s">
        <v>371</v>
      </c>
      <c r="B186" s="4" t="s">
        <v>663</v>
      </c>
      <c r="C186" s="4">
        <v>21</v>
      </c>
      <c r="D186" s="4">
        <v>8</v>
      </c>
      <c r="E186" s="4">
        <v>4</v>
      </c>
      <c r="F186" s="4">
        <v>276</v>
      </c>
      <c r="G186" s="4">
        <v>15</v>
      </c>
      <c r="H186" s="4">
        <v>8</v>
      </c>
      <c r="I186" s="4">
        <v>9</v>
      </c>
      <c r="J186" s="4">
        <v>6</v>
      </c>
      <c r="K186" s="4">
        <v>1</v>
      </c>
      <c r="L186" s="4">
        <v>3</v>
      </c>
      <c r="M186" s="4">
        <v>2</v>
      </c>
      <c r="N186" s="4">
        <v>9</v>
      </c>
      <c r="O186" s="5">
        <f>SUM(Tabela32391011[[#This Row],[jan/23]:[dez/23]])</f>
        <v>362</v>
      </c>
    </row>
    <row r="187" spans="1:15" x14ac:dyDescent="0.25">
      <c r="A187" s="4" t="s">
        <v>373</v>
      </c>
      <c r="B187" s="4" t="s">
        <v>861</v>
      </c>
      <c r="C187" s="4">
        <v>76</v>
      </c>
      <c r="D187" s="4">
        <v>50</v>
      </c>
      <c r="E187" s="4">
        <v>69</v>
      </c>
      <c r="F187" s="4">
        <v>40</v>
      </c>
      <c r="G187" s="4">
        <v>36</v>
      </c>
      <c r="H187" s="4">
        <v>23</v>
      </c>
      <c r="I187" s="4">
        <v>23</v>
      </c>
      <c r="J187" s="4">
        <v>22</v>
      </c>
      <c r="K187" s="4">
        <v>6</v>
      </c>
      <c r="L187" s="4">
        <v>5</v>
      </c>
      <c r="M187" s="4">
        <v>3</v>
      </c>
      <c r="N187" s="4">
        <v>1</v>
      </c>
      <c r="O187" s="5">
        <f>SUM(Tabela32391011[[#This Row],[jan/23]:[dez/23]])</f>
        <v>354</v>
      </c>
    </row>
    <row r="188" spans="1:15" x14ac:dyDescent="0.25">
      <c r="A188" s="4" t="s">
        <v>375</v>
      </c>
      <c r="B188" s="4" t="s">
        <v>517</v>
      </c>
      <c r="C188" s="4">
        <v>50</v>
      </c>
      <c r="D188" s="4">
        <v>35</v>
      </c>
      <c r="E188" s="4">
        <v>11</v>
      </c>
      <c r="F188" s="4">
        <v>29</v>
      </c>
      <c r="G188" s="4">
        <v>38</v>
      </c>
      <c r="H188" s="4">
        <v>39</v>
      </c>
      <c r="I188" s="4">
        <v>30</v>
      </c>
      <c r="J188" s="4">
        <v>28</v>
      </c>
      <c r="K188" s="4">
        <v>28</v>
      </c>
      <c r="L188" s="4">
        <v>29</v>
      </c>
      <c r="M188" s="4">
        <v>24</v>
      </c>
      <c r="N188" s="4">
        <v>9</v>
      </c>
      <c r="O188" s="5">
        <f>SUM(Tabela32391011[[#This Row],[jan/23]:[dez/23]])</f>
        <v>350</v>
      </c>
    </row>
    <row r="189" spans="1:15" x14ac:dyDescent="0.25">
      <c r="A189" s="4" t="s">
        <v>377</v>
      </c>
      <c r="B189" s="4" t="s">
        <v>332</v>
      </c>
      <c r="C189" s="4">
        <v>4</v>
      </c>
      <c r="D189" s="4">
        <v>3</v>
      </c>
      <c r="E189" s="4">
        <v>2</v>
      </c>
      <c r="F189" s="4">
        <v>21</v>
      </c>
      <c r="G189" s="4">
        <v>53</v>
      </c>
      <c r="H189" s="4">
        <v>36</v>
      </c>
      <c r="I189" s="4">
        <v>26</v>
      </c>
      <c r="J189" s="4">
        <v>45</v>
      </c>
      <c r="K189" s="4">
        <v>40</v>
      </c>
      <c r="L189" s="4">
        <v>27</v>
      </c>
      <c r="M189" s="4">
        <v>31</v>
      </c>
      <c r="N189" s="4">
        <v>48</v>
      </c>
      <c r="O189" s="5">
        <f>SUM(Tabela32391011[[#This Row],[jan/23]:[dez/23]])</f>
        <v>336</v>
      </c>
    </row>
    <row r="190" spans="1:15" x14ac:dyDescent="0.25">
      <c r="A190" s="4" t="s">
        <v>379</v>
      </c>
      <c r="B190" s="4" t="s">
        <v>837</v>
      </c>
      <c r="C190" s="4">
        <v>19</v>
      </c>
      <c r="D190" s="4">
        <v>17</v>
      </c>
      <c r="E190" s="4">
        <v>34</v>
      </c>
      <c r="F190" s="4">
        <v>43</v>
      </c>
      <c r="G190" s="4">
        <v>34</v>
      </c>
      <c r="H190" s="4">
        <v>32</v>
      </c>
      <c r="I190" s="4">
        <v>34</v>
      </c>
      <c r="J190" s="4">
        <v>23</v>
      </c>
      <c r="K190" s="4">
        <v>22</v>
      </c>
      <c r="L190" s="4">
        <v>26</v>
      </c>
      <c r="M190" s="4">
        <v>8</v>
      </c>
      <c r="N190" s="4">
        <v>11</v>
      </c>
      <c r="O190" s="5">
        <f>SUM(Tabela32391011[[#This Row],[jan/23]:[dez/23]])</f>
        <v>303</v>
      </c>
    </row>
    <row r="191" spans="1:15" x14ac:dyDescent="0.25">
      <c r="A191" s="4" t="s">
        <v>383</v>
      </c>
      <c r="B191" s="4" t="s">
        <v>798</v>
      </c>
      <c r="C191" s="4">
        <v>74</v>
      </c>
      <c r="D191" s="4">
        <v>58</v>
      </c>
      <c r="E191" s="4">
        <v>56</v>
      </c>
      <c r="F191" s="4">
        <v>30</v>
      </c>
      <c r="G191" s="4">
        <v>22</v>
      </c>
      <c r="H191" s="4">
        <v>14</v>
      </c>
      <c r="I191" s="4">
        <v>10</v>
      </c>
      <c r="J191" s="4">
        <v>6</v>
      </c>
      <c r="K191" s="4">
        <v>11</v>
      </c>
      <c r="L191" s="4">
        <v>4</v>
      </c>
      <c r="M191" s="4">
        <v>6</v>
      </c>
      <c r="N191" s="4">
        <v>6</v>
      </c>
      <c r="O191" s="5">
        <f>SUM(Tabela32391011[[#This Row],[jan/23]:[dez/23]])</f>
        <v>297</v>
      </c>
    </row>
    <row r="192" spans="1:15" x14ac:dyDescent="0.25">
      <c r="A192" s="4" t="s">
        <v>381</v>
      </c>
      <c r="B192" s="4" t="s">
        <v>670</v>
      </c>
      <c r="C192" s="4">
        <v>29</v>
      </c>
      <c r="D192" s="4">
        <v>16</v>
      </c>
      <c r="E192" s="4">
        <v>13</v>
      </c>
      <c r="F192" s="4">
        <v>25</v>
      </c>
      <c r="G192" s="4">
        <v>22</v>
      </c>
      <c r="H192" s="4">
        <v>26</v>
      </c>
      <c r="I192" s="4">
        <v>31</v>
      </c>
      <c r="J192" s="4">
        <v>18</v>
      </c>
      <c r="K192" s="4">
        <v>36</v>
      </c>
      <c r="L192" s="4">
        <v>31</v>
      </c>
      <c r="M192" s="4">
        <v>24</v>
      </c>
      <c r="N192" s="4">
        <v>25</v>
      </c>
      <c r="O192" s="5">
        <f>SUM(Tabela32391011[[#This Row],[jan/23]:[dez/23]])</f>
        <v>296</v>
      </c>
    </row>
    <row r="193" spans="1:15" x14ac:dyDescent="0.25">
      <c r="A193" s="4" t="s">
        <v>385</v>
      </c>
      <c r="B193" s="4" t="s">
        <v>704</v>
      </c>
      <c r="C193" s="4">
        <v>48</v>
      </c>
      <c r="D193" s="4">
        <v>37</v>
      </c>
      <c r="E193" s="4">
        <v>41</v>
      </c>
      <c r="F193" s="4">
        <v>37</v>
      </c>
      <c r="G193" s="4">
        <v>41</v>
      </c>
      <c r="H193" s="4">
        <v>15</v>
      </c>
      <c r="I193" s="4">
        <v>14</v>
      </c>
      <c r="J193" s="4">
        <v>7</v>
      </c>
      <c r="K193" s="4">
        <v>21</v>
      </c>
      <c r="L193" s="4">
        <v>13</v>
      </c>
      <c r="M193" s="4">
        <v>6</v>
      </c>
      <c r="N193" s="4">
        <v>8</v>
      </c>
      <c r="O193" s="5">
        <f>SUM(Tabela32391011[[#This Row],[jan/23]:[dez/23]])</f>
        <v>288</v>
      </c>
    </row>
    <row r="194" spans="1:15" x14ac:dyDescent="0.25">
      <c r="A194" s="4" t="s">
        <v>389</v>
      </c>
      <c r="B194" s="4" t="s">
        <v>172</v>
      </c>
      <c r="C194" s="4"/>
      <c r="D194" s="4"/>
      <c r="E194" s="4"/>
      <c r="F194" s="4"/>
      <c r="G194" s="4">
        <v>7</v>
      </c>
      <c r="H194" s="4">
        <v>15</v>
      </c>
      <c r="I194" s="4">
        <v>55</v>
      </c>
      <c r="J194" s="4">
        <v>55</v>
      </c>
      <c r="K194" s="4">
        <v>48</v>
      </c>
      <c r="L194" s="4">
        <v>24</v>
      </c>
      <c r="M194" s="4">
        <v>38</v>
      </c>
      <c r="N194" s="4">
        <v>45</v>
      </c>
      <c r="O194" s="5">
        <f>SUM(Tabela32391011[[#This Row],[jan/23]:[dez/23]])</f>
        <v>287</v>
      </c>
    </row>
    <row r="195" spans="1:15" x14ac:dyDescent="0.25">
      <c r="A195" s="4" t="s">
        <v>387</v>
      </c>
      <c r="B195" s="4" t="s">
        <v>170</v>
      </c>
      <c r="C195" s="4">
        <v>71</v>
      </c>
      <c r="D195" s="4">
        <v>83</v>
      </c>
      <c r="E195" s="4">
        <v>68</v>
      </c>
      <c r="F195" s="4">
        <v>42</v>
      </c>
      <c r="G195" s="4">
        <v>10</v>
      </c>
      <c r="H195" s="4">
        <v>3</v>
      </c>
      <c r="I195" s="4">
        <v>1</v>
      </c>
      <c r="J195" s="4">
        <v>2</v>
      </c>
      <c r="K195" s="4">
        <v>1</v>
      </c>
      <c r="L195" s="4">
        <v>1</v>
      </c>
      <c r="M195" s="4"/>
      <c r="N195" s="4"/>
      <c r="O195" s="5">
        <f>SUM(Tabela32391011[[#This Row],[jan/23]:[dez/23]])</f>
        <v>282</v>
      </c>
    </row>
    <row r="196" spans="1:15" x14ac:dyDescent="0.25">
      <c r="A196" s="4" t="s">
        <v>391</v>
      </c>
      <c r="B196" s="4" t="s">
        <v>835</v>
      </c>
      <c r="C196" s="4">
        <v>19</v>
      </c>
      <c r="D196" s="4">
        <v>20</v>
      </c>
      <c r="E196" s="4">
        <v>21</v>
      </c>
      <c r="F196" s="4">
        <v>23</v>
      </c>
      <c r="G196" s="4">
        <v>42</v>
      </c>
      <c r="H196" s="4">
        <v>17</v>
      </c>
      <c r="I196" s="4">
        <v>43</v>
      </c>
      <c r="J196" s="4">
        <v>23</v>
      </c>
      <c r="K196" s="4">
        <v>21</v>
      </c>
      <c r="L196" s="4">
        <v>13</v>
      </c>
      <c r="M196" s="4">
        <v>23</v>
      </c>
      <c r="N196" s="4">
        <v>15</v>
      </c>
      <c r="O196" s="5">
        <f>SUM(Tabela32391011[[#This Row],[jan/23]:[dez/23]])</f>
        <v>280</v>
      </c>
    </row>
    <row r="197" spans="1:15" x14ac:dyDescent="0.25">
      <c r="A197" s="4" t="s">
        <v>393</v>
      </c>
      <c r="B197" s="4" t="s">
        <v>450</v>
      </c>
      <c r="C197" s="4">
        <v>16</v>
      </c>
      <c r="D197" s="4">
        <v>21</v>
      </c>
      <c r="E197" s="4">
        <v>41</v>
      </c>
      <c r="F197" s="4">
        <v>39</v>
      </c>
      <c r="G197" s="4">
        <v>26</v>
      </c>
      <c r="H197" s="4">
        <v>21</v>
      </c>
      <c r="I197" s="4">
        <v>18</v>
      </c>
      <c r="J197" s="4">
        <v>32</v>
      </c>
      <c r="K197" s="4">
        <v>15</v>
      </c>
      <c r="L197" s="4">
        <v>16</v>
      </c>
      <c r="M197" s="4">
        <v>18</v>
      </c>
      <c r="N197" s="4">
        <v>14</v>
      </c>
      <c r="O197" s="5">
        <f>SUM(Tabela32391011[[#This Row],[jan/23]:[dez/23]])</f>
        <v>277</v>
      </c>
    </row>
    <row r="198" spans="1:15" x14ac:dyDescent="0.25">
      <c r="A198" s="4" t="s">
        <v>397</v>
      </c>
      <c r="B198" s="4" t="s">
        <v>817</v>
      </c>
      <c r="C198" s="4">
        <v>17</v>
      </c>
      <c r="D198" s="4">
        <v>32</v>
      </c>
      <c r="E198" s="4">
        <v>20</v>
      </c>
      <c r="F198" s="4">
        <v>19</v>
      </c>
      <c r="G198" s="4">
        <v>26</v>
      </c>
      <c r="H198" s="4">
        <v>17</v>
      </c>
      <c r="I198" s="4">
        <v>26</v>
      </c>
      <c r="J198" s="4">
        <v>24</v>
      </c>
      <c r="K198" s="4">
        <v>25</v>
      </c>
      <c r="L198" s="4">
        <v>35</v>
      </c>
      <c r="M198" s="4">
        <v>21</v>
      </c>
      <c r="N198" s="4">
        <v>12</v>
      </c>
      <c r="O198" s="5">
        <f>SUM(Tabela32391011[[#This Row],[jan/23]:[dez/23]])</f>
        <v>274</v>
      </c>
    </row>
    <row r="199" spans="1:15" x14ac:dyDescent="0.25">
      <c r="A199" s="4" t="s">
        <v>395</v>
      </c>
      <c r="B199" s="4" t="s">
        <v>822</v>
      </c>
      <c r="C199" s="4">
        <v>24</v>
      </c>
      <c r="D199" s="4">
        <v>33</v>
      </c>
      <c r="E199" s="4">
        <v>16</v>
      </c>
      <c r="F199" s="4">
        <v>25</v>
      </c>
      <c r="G199" s="4">
        <v>34</v>
      </c>
      <c r="H199" s="4">
        <v>34</v>
      </c>
      <c r="I199" s="4">
        <v>43</v>
      </c>
      <c r="J199" s="4">
        <v>33</v>
      </c>
      <c r="K199" s="4">
        <v>12</v>
      </c>
      <c r="L199" s="4">
        <v>11</v>
      </c>
      <c r="M199" s="4">
        <v>2</v>
      </c>
      <c r="N199" s="4"/>
      <c r="O199" s="5">
        <f>SUM(Tabela32391011[[#This Row],[jan/23]:[dez/23]])</f>
        <v>267</v>
      </c>
    </row>
    <row r="200" spans="1:15" x14ac:dyDescent="0.25">
      <c r="A200" s="4" t="s">
        <v>399</v>
      </c>
      <c r="B200" s="4" t="s">
        <v>605</v>
      </c>
      <c r="C200" s="4">
        <v>10</v>
      </c>
      <c r="D200" s="4">
        <v>20</v>
      </c>
      <c r="E200" s="4">
        <v>25</v>
      </c>
      <c r="F200" s="4">
        <v>25</v>
      </c>
      <c r="G200" s="4">
        <v>35</v>
      </c>
      <c r="H200" s="4">
        <v>18</v>
      </c>
      <c r="I200" s="4">
        <v>23</v>
      </c>
      <c r="J200" s="4">
        <v>14</v>
      </c>
      <c r="K200" s="4">
        <v>18</v>
      </c>
      <c r="L200" s="4">
        <v>25</v>
      </c>
      <c r="M200" s="4">
        <v>22</v>
      </c>
      <c r="N200" s="4">
        <v>21</v>
      </c>
      <c r="O200" s="5">
        <f>SUM(Tabela32391011[[#This Row],[jan/23]:[dez/23]])</f>
        <v>256</v>
      </c>
    </row>
    <row r="201" spans="1:15" x14ac:dyDescent="0.25">
      <c r="A201" s="4" t="s">
        <v>401</v>
      </c>
      <c r="B201" s="4" t="s">
        <v>615</v>
      </c>
      <c r="C201" s="4">
        <v>14</v>
      </c>
      <c r="D201" s="4">
        <v>20</v>
      </c>
      <c r="E201" s="4">
        <v>12</v>
      </c>
      <c r="F201" s="4">
        <v>11</v>
      </c>
      <c r="G201" s="4">
        <v>6</v>
      </c>
      <c r="H201" s="4">
        <v>11</v>
      </c>
      <c r="I201" s="4">
        <v>32</v>
      </c>
      <c r="J201" s="4">
        <v>35</v>
      </c>
      <c r="K201" s="4">
        <v>31</v>
      </c>
      <c r="L201" s="4">
        <v>19</v>
      </c>
      <c r="M201" s="4">
        <v>27</v>
      </c>
      <c r="N201" s="4">
        <v>34</v>
      </c>
      <c r="O201" s="5">
        <f>SUM(Tabela32391011[[#This Row],[jan/23]:[dez/23]])</f>
        <v>252</v>
      </c>
    </row>
    <row r="202" spans="1:15" x14ac:dyDescent="0.25">
      <c r="A202" s="4" t="s">
        <v>409</v>
      </c>
      <c r="B202" s="4" t="s">
        <v>288</v>
      </c>
      <c r="C202" s="4">
        <v>18</v>
      </c>
      <c r="D202" s="4">
        <v>16</v>
      </c>
      <c r="E202" s="4">
        <v>25</v>
      </c>
      <c r="F202" s="4">
        <v>23</v>
      </c>
      <c r="G202" s="4">
        <v>17</v>
      </c>
      <c r="H202" s="4">
        <v>11</v>
      </c>
      <c r="I202" s="4">
        <v>23</v>
      </c>
      <c r="J202" s="4">
        <v>30</v>
      </c>
      <c r="K202" s="4">
        <v>15</v>
      </c>
      <c r="L202" s="4">
        <v>14</v>
      </c>
      <c r="M202" s="4">
        <v>30</v>
      </c>
      <c r="N202" s="4">
        <v>20</v>
      </c>
      <c r="O202" s="5">
        <f>SUM(Tabela32391011[[#This Row],[jan/23]:[dez/23]])</f>
        <v>242</v>
      </c>
    </row>
    <row r="203" spans="1:15" x14ac:dyDescent="0.25">
      <c r="A203" s="4" t="s">
        <v>407</v>
      </c>
      <c r="B203" s="4" t="s">
        <v>565</v>
      </c>
      <c r="C203" s="4"/>
      <c r="D203" s="4"/>
      <c r="E203" s="4"/>
      <c r="F203" s="4"/>
      <c r="G203" s="4"/>
      <c r="H203" s="4"/>
      <c r="I203" s="4"/>
      <c r="J203" s="4"/>
      <c r="K203" s="4"/>
      <c r="L203" s="4">
        <v>22</v>
      </c>
      <c r="M203" s="4">
        <v>92</v>
      </c>
      <c r="N203" s="4">
        <v>106</v>
      </c>
      <c r="O203" s="5">
        <f>SUM(Tabela32391011[[#This Row],[jan/23]:[dez/23]])</f>
        <v>220</v>
      </c>
    </row>
    <row r="204" spans="1:15" x14ac:dyDescent="0.25">
      <c r="A204" s="4" t="s">
        <v>405</v>
      </c>
      <c r="B204" s="4" t="s">
        <v>809</v>
      </c>
      <c r="C204" s="4">
        <v>14</v>
      </c>
      <c r="D204" s="4">
        <v>20</v>
      </c>
      <c r="E204" s="4">
        <v>17</v>
      </c>
      <c r="F204" s="4">
        <v>18</v>
      </c>
      <c r="G204" s="4">
        <v>25</v>
      </c>
      <c r="H204" s="4">
        <v>14</v>
      </c>
      <c r="I204" s="4">
        <v>13</v>
      </c>
      <c r="J204" s="4">
        <v>19</v>
      </c>
      <c r="K204" s="4">
        <v>15</v>
      </c>
      <c r="L204" s="4">
        <v>15</v>
      </c>
      <c r="M204" s="4">
        <v>18</v>
      </c>
      <c r="N204" s="4">
        <v>12</v>
      </c>
      <c r="O204" s="5">
        <f>SUM(Tabela32391011[[#This Row],[jan/23]:[dez/23]])</f>
        <v>200</v>
      </c>
    </row>
    <row r="205" spans="1:15" x14ac:dyDescent="0.25">
      <c r="A205" s="4" t="s">
        <v>403</v>
      </c>
      <c r="B205" s="4" t="s">
        <v>745</v>
      </c>
      <c r="C205" s="4">
        <v>23</v>
      </c>
      <c r="D205" s="4"/>
      <c r="E205" s="4">
        <v>13</v>
      </c>
      <c r="F205" s="4">
        <v>6</v>
      </c>
      <c r="G205" s="4">
        <v>9</v>
      </c>
      <c r="H205" s="4">
        <v>9</v>
      </c>
      <c r="I205" s="4">
        <v>11</v>
      </c>
      <c r="J205" s="4">
        <v>17</v>
      </c>
      <c r="K205" s="4">
        <v>14</v>
      </c>
      <c r="L205" s="4">
        <v>21</v>
      </c>
      <c r="M205" s="4">
        <v>13</v>
      </c>
      <c r="N205" s="4">
        <v>54</v>
      </c>
      <c r="O205" s="5">
        <f>SUM(Tabela32391011[[#This Row],[jan/23]:[dez/23]])</f>
        <v>190</v>
      </c>
    </row>
    <row r="206" spans="1:15" x14ac:dyDescent="0.25">
      <c r="A206" s="4" t="s">
        <v>413</v>
      </c>
      <c r="B206" s="4" t="s">
        <v>748</v>
      </c>
      <c r="C206" s="4">
        <v>45</v>
      </c>
      <c r="D206" s="4">
        <v>36</v>
      </c>
      <c r="E206" s="4">
        <v>25</v>
      </c>
      <c r="F206" s="4">
        <v>27</v>
      </c>
      <c r="G206" s="4">
        <v>10</v>
      </c>
      <c r="H206" s="4">
        <v>12</v>
      </c>
      <c r="I206" s="4">
        <v>2</v>
      </c>
      <c r="J206" s="4">
        <v>7</v>
      </c>
      <c r="K206" s="4">
        <v>5</v>
      </c>
      <c r="L206" s="4">
        <v>5</v>
      </c>
      <c r="M206" s="4">
        <v>5</v>
      </c>
      <c r="N206" s="4">
        <v>10</v>
      </c>
      <c r="O206" s="5">
        <f>SUM(Tabela32391011[[#This Row],[jan/23]:[dez/23]])</f>
        <v>189</v>
      </c>
    </row>
    <row r="207" spans="1:15" x14ac:dyDescent="0.25">
      <c r="A207" s="4" t="s">
        <v>411</v>
      </c>
      <c r="B207" s="4" t="s">
        <v>807</v>
      </c>
      <c r="C207" s="4">
        <v>14</v>
      </c>
      <c r="D207" s="4">
        <v>13</v>
      </c>
      <c r="E207" s="4">
        <v>15</v>
      </c>
      <c r="F207" s="4">
        <v>24</v>
      </c>
      <c r="G207" s="4">
        <v>15</v>
      </c>
      <c r="H207" s="4">
        <v>25</v>
      </c>
      <c r="I207" s="4">
        <v>18</v>
      </c>
      <c r="J207" s="4">
        <v>14</v>
      </c>
      <c r="K207" s="4">
        <v>6</v>
      </c>
      <c r="L207" s="4">
        <v>12</v>
      </c>
      <c r="M207" s="4">
        <v>11</v>
      </c>
      <c r="N207" s="4">
        <v>15</v>
      </c>
      <c r="O207" s="5">
        <f>SUM(Tabela32391011[[#This Row],[jan/23]:[dez/23]])</f>
        <v>182</v>
      </c>
    </row>
    <row r="208" spans="1:15" x14ac:dyDescent="0.25">
      <c r="A208" s="4" t="s">
        <v>417</v>
      </c>
      <c r="B208" s="4" t="s">
        <v>746</v>
      </c>
      <c r="C208" s="4">
        <v>16</v>
      </c>
      <c r="D208" s="4">
        <v>55</v>
      </c>
      <c r="E208" s="4">
        <v>40</v>
      </c>
      <c r="F208" s="4">
        <v>22</v>
      </c>
      <c r="G208" s="4">
        <v>14</v>
      </c>
      <c r="H208" s="4"/>
      <c r="I208" s="4">
        <v>31</v>
      </c>
      <c r="J208" s="4"/>
      <c r="K208" s="4"/>
      <c r="L208" s="4"/>
      <c r="M208" s="4"/>
      <c r="N208" s="4"/>
      <c r="O208" s="5">
        <f>SUM(Tabela32391011[[#This Row],[jan/23]:[dez/23]])</f>
        <v>178</v>
      </c>
    </row>
    <row r="209" spans="1:15" x14ac:dyDescent="0.25">
      <c r="A209" s="4" t="s">
        <v>415</v>
      </c>
      <c r="B209" s="4" t="s">
        <v>708</v>
      </c>
      <c r="C209" s="4">
        <v>14</v>
      </c>
      <c r="D209" s="4">
        <v>18</v>
      </c>
      <c r="E209" s="4">
        <v>16</v>
      </c>
      <c r="F209" s="4">
        <v>17</v>
      </c>
      <c r="G209" s="4">
        <v>15</v>
      </c>
      <c r="H209" s="4">
        <v>12</v>
      </c>
      <c r="I209" s="4">
        <v>18</v>
      </c>
      <c r="J209" s="4">
        <v>9</v>
      </c>
      <c r="K209" s="4">
        <v>22</v>
      </c>
      <c r="L209" s="4">
        <v>12</v>
      </c>
      <c r="M209" s="4">
        <v>15</v>
      </c>
      <c r="N209" s="4">
        <v>8</v>
      </c>
      <c r="O209" s="5">
        <f>SUM(Tabela32391011[[#This Row],[jan/23]:[dez/23]])</f>
        <v>176</v>
      </c>
    </row>
    <row r="210" spans="1:15" x14ac:dyDescent="0.25">
      <c r="A210" s="4" t="s">
        <v>421</v>
      </c>
      <c r="B210" s="4" t="s">
        <v>801</v>
      </c>
      <c r="C210" s="4">
        <v>5</v>
      </c>
      <c r="D210" s="4">
        <v>4</v>
      </c>
      <c r="E210" s="4">
        <v>6</v>
      </c>
      <c r="F210" s="4">
        <v>8</v>
      </c>
      <c r="G210" s="4">
        <v>8</v>
      </c>
      <c r="H210" s="4">
        <v>4</v>
      </c>
      <c r="I210" s="4">
        <v>25</v>
      </c>
      <c r="J210" s="4">
        <v>11</v>
      </c>
      <c r="K210" s="4">
        <v>15</v>
      </c>
      <c r="L210" s="4">
        <v>27</v>
      </c>
      <c r="M210" s="4">
        <v>20</v>
      </c>
      <c r="N210" s="4">
        <v>37</v>
      </c>
      <c r="O210" s="5">
        <f>SUM(Tabela32391011[[#This Row],[jan/23]:[dez/23]])</f>
        <v>170</v>
      </c>
    </row>
    <row r="211" spans="1:15" x14ac:dyDescent="0.25">
      <c r="A211" s="4" t="s">
        <v>419</v>
      </c>
      <c r="B211" s="4" t="s">
        <v>806</v>
      </c>
      <c r="C211" s="4">
        <v>30</v>
      </c>
      <c r="D211" s="4">
        <v>25</v>
      </c>
      <c r="E211" s="4">
        <v>18</v>
      </c>
      <c r="F211" s="4">
        <v>18</v>
      </c>
      <c r="G211" s="4">
        <v>14</v>
      </c>
      <c r="H211" s="4"/>
      <c r="I211" s="4">
        <v>10</v>
      </c>
      <c r="J211" s="4">
        <v>4</v>
      </c>
      <c r="K211" s="4"/>
      <c r="L211" s="4">
        <v>2</v>
      </c>
      <c r="M211" s="4">
        <v>2</v>
      </c>
      <c r="N211" s="4">
        <v>44</v>
      </c>
      <c r="O211" s="5">
        <f>SUM(Tabela32391011[[#This Row],[jan/23]:[dez/23]])</f>
        <v>167</v>
      </c>
    </row>
    <row r="212" spans="1:15" x14ac:dyDescent="0.25">
      <c r="A212" s="4" t="s">
        <v>423</v>
      </c>
      <c r="B212" s="4" t="s">
        <v>808</v>
      </c>
      <c r="C212" s="4">
        <v>22</v>
      </c>
      <c r="D212" s="4">
        <v>11</v>
      </c>
      <c r="E212" s="4">
        <v>6</v>
      </c>
      <c r="F212" s="4">
        <v>11</v>
      </c>
      <c r="G212" s="4">
        <v>21</v>
      </c>
      <c r="H212" s="4">
        <v>1</v>
      </c>
      <c r="I212" s="4">
        <v>23</v>
      </c>
      <c r="J212" s="4">
        <v>16</v>
      </c>
      <c r="K212" s="4">
        <v>12</v>
      </c>
      <c r="L212" s="4">
        <v>17</v>
      </c>
      <c r="M212" s="4">
        <v>8</v>
      </c>
      <c r="N212" s="4">
        <v>14</v>
      </c>
      <c r="O212" s="5">
        <f>SUM(Tabela32391011[[#This Row],[jan/23]:[dez/23]])</f>
        <v>162</v>
      </c>
    </row>
    <row r="213" spans="1:15" x14ac:dyDescent="0.25">
      <c r="A213" s="4" t="s">
        <v>427</v>
      </c>
      <c r="B213" s="4" t="s">
        <v>186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>
        <v>42</v>
      </c>
      <c r="N213" s="4">
        <v>116</v>
      </c>
      <c r="O213" s="5">
        <f>SUM(Tabela32391011[[#This Row],[jan/23]:[dez/23]])</f>
        <v>158</v>
      </c>
    </row>
    <row r="214" spans="1:15" x14ac:dyDescent="0.25">
      <c r="A214" s="4" t="s">
        <v>425</v>
      </c>
      <c r="B214" s="4" t="s">
        <v>144</v>
      </c>
      <c r="C214" s="4">
        <v>25</v>
      </c>
      <c r="D214" s="4">
        <v>37</v>
      </c>
      <c r="E214" s="4">
        <v>30</v>
      </c>
      <c r="F214" s="4">
        <v>18</v>
      </c>
      <c r="G214" s="4">
        <v>15</v>
      </c>
      <c r="H214" s="4">
        <v>5</v>
      </c>
      <c r="I214" s="4">
        <v>6</v>
      </c>
      <c r="J214" s="4">
        <v>4</v>
      </c>
      <c r="K214" s="4">
        <v>1</v>
      </c>
      <c r="L214" s="4">
        <v>1</v>
      </c>
      <c r="M214" s="4">
        <v>6</v>
      </c>
      <c r="N214" s="4">
        <v>2</v>
      </c>
      <c r="O214" s="5">
        <f>SUM(Tabela32391011[[#This Row],[jan/23]:[dez/23]])</f>
        <v>150</v>
      </c>
    </row>
    <row r="215" spans="1:15" x14ac:dyDescent="0.25">
      <c r="A215" s="4" t="s">
        <v>445</v>
      </c>
      <c r="B215" s="4" t="s">
        <v>286</v>
      </c>
      <c r="C215" s="4">
        <v>2</v>
      </c>
      <c r="D215" s="4">
        <v>15</v>
      </c>
      <c r="E215" s="4">
        <v>15</v>
      </c>
      <c r="F215" s="4">
        <v>7</v>
      </c>
      <c r="G215" s="4">
        <v>18</v>
      </c>
      <c r="H215" s="4">
        <v>14</v>
      </c>
      <c r="I215" s="4">
        <v>10</v>
      </c>
      <c r="J215" s="4">
        <v>13</v>
      </c>
      <c r="K215" s="4">
        <v>10</v>
      </c>
      <c r="L215" s="4">
        <v>15</v>
      </c>
      <c r="M215" s="4">
        <v>15</v>
      </c>
      <c r="N215" s="4">
        <v>14</v>
      </c>
      <c r="O215" s="5">
        <f>SUM(Tabela32391011[[#This Row],[jan/23]:[dez/23]])</f>
        <v>148</v>
      </c>
    </row>
    <row r="216" spans="1:15" x14ac:dyDescent="0.25">
      <c r="A216" s="4" t="s">
        <v>443</v>
      </c>
      <c r="B216" s="4" t="s">
        <v>757</v>
      </c>
      <c r="C216" s="4"/>
      <c r="D216" s="4">
        <v>12</v>
      </c>
      <c r="E216" s="4">
        <v>6</v>
      </c>
      <c r="F216" s="4">
        <v>12</v>
      </c>
      <c r="G216" s="4">
        <v>12</v>
      </c>
      <c r="H216" s="4">
        <v>8</v>
      </c>
      <c r="I216" s="4">
        <v>9</v>
      </c>
      <c r="J216" s="4">
        <v>19</v>
      </c>
      <c r="K216" s="4">
        <v>22</v>
      </c>
      <c r="L216" s="4">
        <v>16</v>
      </c>
      <c r="M216" s="4">
        <v>9</v>
      </c>
      <c r="N216" s="4">
        <v>13</v>
      </c>
      <c r="O216" s="5">
        <f>SUM(Tabela32391011[[#This Row],[jan/23]:[dez/23]])</f>
        <v>138</v>
      </c>
    </row>
    <row r="217" spans="1:15" x14ac:dyDescent="0.25">
      <c r="A217" s="4" t="s">
        <v>441</v>
      </c>
      <c r="B217" s="4" t="s">
        <v>358</v>
      </c>
      <c r="C217" s="4">
        <v>14</v>
      </c>
      <c r="D217" s="4">
        <v>15</v>
      </c>
      <c r="E217" s="4">
        <v>15</v>
      </c>
      <c r="F217" s="4">
        <v>5</v>
      </c>
      <c r="G217" s="4">
        <v>14</v>
      </c>
      <c r="H217" s="4">
        <v>14</v>
      </c>
      <c r="I217" s="4">
        <v>12</v>
      </c>
      <c r="J217" s="4">
        <v>13</v>
      </c>
      <c r="K217" s="4">
        <v>4</v>
      </c>
      <c r="L217" s="4">
        <v>7</v>
      </c>
      <c r="M217" s="4">
        <v>6</v>
      </c>
      <c r="N217" s="4">
        <v>8</v>
      </c>
      <c r="O217" s="5">
        <f>SUM(Tabela32391011[[#This Row],[jan/23]:[dez/23]])</f>
        <v>127</v>
      </c>
    </row>
    <row r="218" spans="1:15" x14ac:dyDescent="0.25">
      <c r="A218" s="4" t="s">
        <v>439</v>
      </c>
      <c r="B218" s="4" t="s">
        <v>676</v>
      </c>
      <c r="C218" s="4">
        <v>5</v>
      </c>
      <c r="D218" s="4">
        <v>15</v>
      </c>
      <c r="E218" s="4">
        <v>9</v>
      </c>
      <c r="F218" s="4">
        <v>11</v>
      </c>
      <c r="G218" s="4">
        <v>25</v>
      </c>
      <c r="H218" s="4">
        <v>10</v>
      </c>
      <c r="I218" s="4">
        <v>6</v>
      </c>
      <c r="J218" s="4">
        <v>11</v>
      </c>
      <c r="K218" s="4">
        <v>6</v>
      </c>
      <c r="L218" s="4">
        <v>9</v>
      </c>
      <c r="M218" s="4">
        <v>8</v>
      </c>
      <c r="N218" s="4">
        <v>8</v>
      </c>
      <c r="O218" s="5">
        <f>SUM(Tabela32391011[[#This Row],[jan/23]:[dez/23]])</f>
        <v>123</v>
      </c>
    </row>
    <row r="219" spans="1:15" x14ac:dyDescent="0.25">
      <c r="A219" s="4" t="s">
        <v>437</v>
      </c>
      <c r="B219" s="4" t="s">
        <v>540</v>
      </c>
      <c r="C219" s="4">
        <v>6</v>
      </c>
      <c r="D219" s="4">
        <v>8</v>
      </c>
      <c r="E219" s="4">
        <v>11</v>
      </c>
      <c r="F219" s="4">
        <v>11</v>
      </c>
      <c r="G219" s="4">
        <v>7</v>
      </c>
      <c r="H219" s="4">
        <v>8</v>
      </c>
      <c r="I219" s="4">
        <v>10</v>
      </c>
      <c r="J219" s="4">
        <v>11</v>
      </c>
      <c r="K219" s="4">
        <v>10</v>
      </c>
      <c r="L219" s="4">
        <v>15</v>
      </c>
      <c r="M219" s="4">
        <v>12</v>
      </c>
      <c r="N219" s="4">
        <v>12</v>
      </c>
      <c r="O219" s="5">
        <f>SUM(Tabela32391011[[#This Row],[jan/23]:[dez/23]])</f>
        <v>121</v>
      </c>
    </row>
    <row r="220" spans="1:15" x14ac:dyDescent="0.25">
      <c r="A220" s="4" t="s">
        <v>435</v>
      </c>
      <c r="B220" s="4" t="s">
        <v>583</v>
      </c>
      <c r="C220" s="4"/>
      <c r="D220" s="4"/>
      <c r="E220" s="4">
        <v>14</v>
      </c>
      <c r="F220" s="4">
        <v>21</v>
      </c>
      <c r="G220" s="4"/>
      <c r="H220" s="4"/>
      <c r="I220" s="4"/>
      <c r="J220" s="4"/>
      <c r="K220" s="4"/>
      <c r="L220" s="4">
        <v>49</v>
      </c>
      <c r="M220" s="4"/>
      <c r="N220" s="4">
        <v>35</v>
      </c>
      <c r="O220" s="5">
        <f>SUM(Tabela32391011[[#This Row],[jan/23]:[dez/23]])</f>
        <v>119</v>
      </c>
    </row>
    <row r="221" spans="1:15" x14ac:dyDescent="0.25">
      <c r="A221" s="4" t="s">
        <v>433</v>
      </c>
      <c r="B221" s="4" t="s">
        <v>664</v>
      </c>
      <c r="C221" s="4">
        <v>8</v>
      </c>
      <c r="D221" s="4">
        <v>4</v>
      </c>
      <c r="E221" s="4">
        <v>6</v>
      </c>
      <c r="F221" s="4">
        <v>16</v>
      </c>
      <c r="G221" s="4">
        <v>10</v>
      </c>
      <c r="H221" s="4">
        <v>7</v>
      </c>
      <c r="I221" s="4">
        <v>12</v>
      </c>
      <c r="J221" s="4">
        <v>7</v>
      </c>
      <c r="K221" s="4">
        <v>6</v>
      </c>
      <c r="L221" s="4">
        <v>6</v>
      </c>
      <c r="M221" s="4">
        <v>15</v>
      </c>
      <c r="N221" s="4">
        <v>16</v>
      </c>
      <c r="O221" s="5">
        <f>SUM(Tabela32391011[[#This Row],[jan/23]:[dez/23]])</f>
        <v>113</v>
      </c>
    </row>
    <row r="222" spans="1:15" x14ac:dyDescent="0.25">
      <c r="A222" s="4" t="s">
        <v>431</v>
      </c>
      <c r="B222" s="4" t="s">
        <v>844</v>
      </c>
      <c r="C222" s="4">
        <v>27</v>
      </c>
      <c r="D222" s="4">
        <v>12</v>
      </c>
      <c r="E222" s="4">
        <v>6</v>
      </c>
      <c r="F222" s="4">
        <v>16</v>
      </c>
      <c r="G222" s="4">
        <v>7</v>
      </c>
      <c r="H222" s="4">
        <v>6</v>
      </c>
      <c r="I222" s="4">
        <v>7</v>
      </c>
      <c r="J222" s="4">
        <v>10</v>
      </c>
      <c r="K222" s="4">
        <v>6</v>
      </c>
      <c r="L222" s="4">
        <v>6</v>
      </c>
      <c r="M222" s="4">
        <v>2</v>
      </c>
      <c r="N222" s="4"/>
      <c r="O222" s="5">
        <f>SUM(Tabela32391011[[#This Row],[jan/23]:[dez/23]])</f>
        <v>105</v>
      </c>
    </row>
    <row r="223" spans="1:15" x14ac:dyDescent="0.25">
      <c r="A223" s="4" t="s">
        <v>429</v>
      </c>
      <c r="B223" s="4" t="s">
        <v>705</v>
      </c>
      <c r="C223" s="4">
        <v>19</v>
      </c>
      <c r="D223" s="4">
        <v>19</v>
      </c>
      <c r="E223" s="4">
        <v>13</v>
      </c>
      <c r="F223" s="4">
        <v>11</v>
      </c>
      <c r="G223" s="4">
        <v>10</v>
      </c>
      <c r="H223" s="4">
        <v>8</v>
      </c>
      <c r="I223" s="4">
        <v>6</v>
      </c>
      <c r="J223" s="4">
        <v>6</v>
      </c>
      <c r="K223" s="4">
        <v>4</v>
      </c>
      <c r="L223" s="4">
        <v>3</v>
      </c>
      <c r="M223" s="4">
        <v>1</v>
      </c>
      <c r="N223" s="4">
        <v>1</v>
      </c>
      <c r="O223" s="5">
        <f>SUM(Tabela32391011[[#This Row],[jan/23]:[dez/23]])</f>
        <v>101</v>
      </c>
    </row>
    <row r="224" spans="1:15" x14ac:dyDescent="0.25">
      <c r="A224" s="4" t="s">
        <v>473</v>
      </c>
      <c r="B224" s="4" t="s">
        <v>308</v>
      </c>
      <c r="C224" s="4">
        <v>3</v>
      </c>
      <c r="D224" s="4">
        <v>6</v>
      </c>
      <c r="E224" s="4">
        <v>6</v>
      </c>
      <c r="F224" s="4">
        <v>7</v>
      </c>
      <c r="G224" s="4">
        <v>10</v>
      </c>
      <c r="H224" s="4">
        <v>8</v>
      </c>
      <c r="I224" s="4">
        <v>7</v>
      </c>
      <c r="J224" s="4">
        <v>13</v>
      </c>
      <c r="K224" s="4">
        <v>4</v>
      </c>
      <c r="L224" s="4">
        <v>12</v>
      </c>
      <c r="M224" s="4">
        <v>8</v>
      </c>
      <c r="N224" s="4">
        <v>16</v>
      </c>
      <c r="O224" s="5">
        <f>SUM(Tabela32391011[[#This Row],[jan/23]:[dez/23]])</f>
        <v>100</v>
      </c>
    </row>
    <row r="225" spans="1:15" x14ac:dyDescent="0.25">
      <c r="A225" s="4" t="s">
        <v>471</v>
      </c>
      <c r="B225" s="4" t="s">
        <v>668</v>
      </c>
      <c r="C225" s="4">
        <v>9</v>
      </c>
      <c r="D225" s="4">
        <v>3</v>
      </c>
      <c r="E225" s="4">
        <v>10</v>
      </c>
      <c r="F225" s="4">
        <v>7</v>
      </c>
      <c r="G225" s="4">
        <v>16</v>
      </c>
      <c r="H225" s="4">
        <v>6</v>
      </c>
      <c r="I225" s="4">
        <v>8</v>
      </c>
      <c r="J225" s="4">
        <v>9</v>
      </c>
      <c r="K225" s="4">
        <v>9</v>
      </c>
      <c r="L225" s="4">
        <v>5</v>
      </c>
      <c r="M225" s="4">
        <v>9</v>
      </c>
      <c r="N225" s="4">
        <v>5</v>
      </c>
      <c r="O225" s="5">
        <f>SUM(Tabela32391011[[#This Row],[jan/23]:[dez/23]])</f>
        <v>96</v>
      </c>
    </row>
    <row r="226" spans="1:15" x14ac:dyDescent="0.25">
      <c r="A226" s="4" t="s">
        <v>469</v>
      </c>
      <c r="B226" s="4" t="s">
        <v>718</v>
      </c>
      <c r="C226" s="4">
        <v>11</v>
      </c>
      <c r="D226" s="4">
        <v>10</v>
      </c>
      <c r="E226" s="4">
        <v>10</v>
      </c>
      <c r="F226" s="4">
        <v>8</v>
      </c>
      <c r="G226" s="4">
        <v>13</v>
      </c>
      <c r="H226" s="4">
        <v>7</v>
      </c>
      <c r="I226" s="4">
        <v>6</v>
      </c>
      <c r="J226" s="4">
        <v>7</v>
      </c>
      <c r="K226" s="4">
        <v>1</v>
      </c>
      <c r="L226" s="4">
        <v>9</v>
      </c>
      <c r="M226" s="4">
        <v>4</v>
      </c>
      <c r="N226" s="4">
        <v>9</v>
      </c>
      <c r="O226" s="5">
        <f>SUM(Tabela32391011[[#This Row],[jan/23]:[dez/23]])</f>
        <v>95</v>
      </c>
    </row>
    <row r="227" spans="1:15" x14ac:dyDescent="0.25">
      <c r="A227" s="4" t="s">
        <v>467</v>
      </c>
      <c r="B227" s="4" t="s">
        <v>781</v>
      </c>
      <c r="C227" s="4">
        <v>5</v>
      </c>
      <c r="D227" s="4">
        <v>11</v>
      </c>
      <c r="E227" s="4">
        <v>2</v>
      </c>
      <c r="F227" s="4">
        <v>12</v>
      </c>
      <c r="G227" s="4">
        <v>6</v>
      </c>
      <c r="H227" s="4">
        <v>7</v>
      </c>
      <c r="I227" s="4">
        <v>7</v>
      </c>
      <c r="J227" s="4">
        <v>20</v>
      </c>
      <c r="K227" s="4">
        <v>11</v>
      </c>
      <c r="L227" s="4">
        <v>4</v>
      </c>
      <c r="M227" s="4">
        <v>3</v>
      </c>
      <c r="N227" s="4">
        <v>5</v>
      </c>
      <c r="O227" s="5">
        <f>SUM(Tabela32391011[[#This Row],[jan/23]:[dez/23]])</f>
        <v>93</v>
      </c>
    </row>
    <row r="228" spans="1:15" x14ac:dyDescent="0.25">
      <c r="A228" s="4" t="s">
        <v>465</v>
      </c>
      <c r="B228" s="4" t="s">
        <v>689</v>
      </c>
      <c r="C228" s="4"/>
      <c r="D228" s="4"/>
      <c r="E228" s="4">
        <v>7</v>
      </c>
      <c r="F228" s="4">
        <v>10</v>
      </c>
      <c r="G228" s="4">
        <v>4</v>
      </c>
      <c r="H228" s="4">
        <v>1</v>
      </c>
      <c r="I228" s="4">
        <v>8</v>
      </c>
      <c r="J228" s="4">
        <v>2</v>
      </c>
      <c r="K228" s="4">
        <v>5</v>
      </c>
      <c r="L228" s="4">
        <v>9</v>
      </c>
      <c r="M228" s="4">
        <v>21</v>
      </c>
      <c r="N228" s="4">
        <v>22</v>
      </c>
      <c r="O228" s="5">
        <f>SUM(Tabela32391011[[#This Row],[jan/23]:[dez/23]])</f>
        <v>89</v>
      </c>
    </row>
    <row r="229" spans="1:15" x14ac:dyDescent="0.25">
      <c r="A229" s="4" t="s">
        <v>463</v>
      </c>
      <c r="B229" s="4" t="s">
        <v>204</v>
      </c>
      <c r="C229" s="4">
        <v>9</v>
      </c>
      <c r="D229" s="4">
        <v>3</v>
      </c>
      <c r="E229" s="4">
        <v>14</v>
      </c>
      <c r="F229" s="4">
        <v>5</v>
      </c>
      <c r="G229" s="4">
        <v>9</v>
      </c>
      <c r="H229" s="4">
        <v>3</v>
      </c>
      <c r="I229" s="4">
        <v>4</v>
      </c>
      <c r="J229" s="4">
        <v>7</v>
      </c>
      <c r="K229" s="4">
        <v>8</v>
      </c>
      <c r="L229" s="4">
        <v>7</v>
      </c>
      <c r="M229" s="4">
        <v>12</v>
      </c>
      <c r="N229" s="4">
        <v>2</v>
      </c>
      <c r="O229" s="5">
        <f>SUM(Tabela32391011[[#This Row],[jan/23]:[dez/23]])</f>
        <v>83</v>
      </c>
    </row>
    <row r="230" spans="1:15" x14ac:dyDescent="0.25">
      <c r="A230" s="4" t="s">
        <v>461</v>
      </c>
      <c r="B230" s="4" t="s">
        <v>610</v>
      </c>
      <c r="C230" s="4">
        <v>5</v>
      </c>
      <c r="D230" s="4">
        <v>7</v>
      </c>
      <c r="E230" s="4">
        <v>20</v>
      </c>
      <c r="F230" s="4">
        <v>12</v>
      </c>
      <c r="G230" s="4">
        <v>8</v>
      </c>
      <c r="H230" s="4">
        <v>3</v>
      </c>
      <c r="I230" s="4">
        <v>6</v>
      </c>
      <c r="J230" s="4">
        <v>1</v>
      </c>
      <c r="K230" s="4"/>
      <c r="L230" s="4">
        <v>7</v>
      </c>
      <c r="M230" s="4">
        <v>4</v>
      </c>
      <c r="N230" s="4">
        <v>3</v>
      </c>
      <c r="O230" s="5">
        <f>SUM(Tabela32391011[[#This Row],[jan/23]:[dez/23]])</f>
        <v>76</v>
      </c>
    </row>
    <row r="231" spans="1:15" x14ac:dyDescent="0.25">
      <c r="A231" s="4" t="s">
        <v>459</v>
      </c>
      <c r="B231" s="4" t="s">
        <v>758</v>
      </c>
      <c r="C231" s="4">
        <v>10</v>
      </c>
      <c r="D231" s="4"/>
      <c r="E231" s="4"/>
      <c r="F231" s="4">
        <v>3</v>
      </c>
      <c r="G231" s="4"/>
      <c r="H231" s="4"/>
      <c r="I231" s="4"/>
      <c r="J231" s="4"/>
      <c r="K231" s="4">
        <v>14</v>
      </c>
      <c r="L231" s="4">
        <v>22</v>
      </c>
      <c r="M231" s="4">
        <v>13</v>
      </c>
      <c r="N231" s="4">
        <v>14</v>
      </c>
      <c r="O231" s="5">
        <f>SUM(Tabela32391011[[#This Row],[jan/23]:[dez/23]])</f>
        <v>76</v>
      </c>
    </row>
    <row r="232" spans="1:15" x14ac:dyDescent="0.25">
      <c r="A232" s="4" t="s">
        <v>457</v>
      </c>
      <c r="B232" s="4" t="s">
        <v>820</v>
      </c>
      <c r="C232" s="4">
        <v>17</v>
      </c>
      <c r="D232" s="4">
        <v>13</v>
      </c>
      <c r="E232" s="4">
        <v>6</v>
      </c>
      <c r="F232" s="4">
        <v>20</v>
      </c>
      <c r="G232" s="4"/>
      <c r="H232" s="4"/>
      <c r="I232" s="4"/>
      <c r="J232" s="4"/>
      <c r="K232" s="4"/>
      <c r="L232" s="4">
        <v>19</v>
      </c>
      <c r="M232" s="4"/>
      <c r="N232" s="4"/>
      <c r="O232" s="5">
        <f>SUM(Tabela32391011[[#This Row],[jan/23]:[dez/23]])</f>
        <v>75</v>
      </c>
    </row>
    <row r="233" spans="1:15" x14ac:dyDescent="0.25">
      <c r="A233" s="4" t="s">
        <v>455</v>
      </c>
      <c r="B233" s="4" t="s">
        <v>340</v>
      </c>
      <c r="C233" s="4">
        <v>5</v>
      </c>
      <c r="D233" s="4">
        <v>6</v>
      </c>
      <c r="E233" s="4">
        <v>4</v>
      </c>
      <c r="F233" s="4">
        <v>3</v>
      </c>
      <c r="G233" s="4">
        <v>2</v>
      </c>
      <c r="H233" s="4">
        <v>11</v>
      </c>
      <c r="I233" s="4">
        <v>3</v>
      </c>
      <c r="J233" s="4">
        <v>5</v>
      </c>
      <c r="K233" s="4">
        <v>9</v>
      </c>
      <c r="L233" s="4">
        <v>6</v>
      </c>
      <c r="M233" s="4">
        <v>11</v>
      </c>
      <c r="N233" s="4">
        <v>8</v>
      </c>
      <c r="O233" s="5">
        <f>SUM(Tabela32391011[[#This Row],[jan/23]:[dez/23]])</f>
        <v>73</v>
      </c>
    </row>
    <row r="234" spans="1:15" x14ac:dyDescent="0.25">
      <c r="A234" s="4" t="s">
        <v>453</v>
      </c>
      <c r="B234" s="4" t="s">
        <v>525</v>
      </c>
      <c r="C234" s="4">
        <v>10</v>
      </c>
      <c r="D234" s="4">
        <v>5</v>
      </c>
      <c r="E234" s="4">
        <v>5</v>
      </c>
      <c r="F234" s="4">
        <v>6</v>
      </c>
      <c r="G234" s="4">
        <v>5</v>
      </c>
      <c r="H234" s="4">
        <v>3</v>
      </c>
      <c r="I234" s="4">
        <v>14</v>
      </c>
      <c r="J234" s="4">
        <v>6</v>
      </c>
      <c r="K234" s="4">
        <v>3</v>
      </c>
      <c r="L234" s="4">
        <v>5</v>
      </c>
      <c r="M234" s="4">
        <v>4</v>
      </c>
      <c r="N234" s="4">
        <v>6</v>
      </c>
      <c r="O234" s="5">
        <f>SUM(Tabela32391011[[#This Row],[jan/23]:[dez/23]])</f>
        <v>72</v>
      </c>
    </row>
    <row r="235" spans="1:15" x14ac:dyDescent="0.25">
      <c r="A235" s="4" t="s">
        <v>451</v>
      </c>
      <c r="B235" s="4" t="s">
        <v>714</v>
      </c>
      <c r="C235" s="4">
        <v>25</v>
      </c>
      <c r="D235" s="4">
        <v>19</v>
      </c>
      <c r="E235" s="4">
        <v>10</v>
      </c>
      <c r="F235" s="4">
        <v>13</v>
      </c>
      <c r="G235" s="4"/>
      <c r="H235" s="4"/>
      <c r="I235" s="4"/>
      <c r="J235" s="4"/>
      <c r="K235" s="4"/>
      <c r="L235" s="4">
        <v>1</v>
      </c>
      <c r="M235" s="4"/>
      <c r="N235" s="4"/>
      <c r="O235" s="5">
        <f>SUM(Tabela32391011[[#This Row],[jan/23]:[dez/23]])</f>
        <v>68</v>
      </c>
    </row>
    <row r="236" spans="1:15" x14ac:dyDescent="0.25">
      <c r="A236" s="4" t="s">
        <v>449</v>
      </c>
      <c r="B236" s="4" t="s">
        <v>800</v>
      </c>
      <c r="C236" s="4"/>
      <c r="D236" s="4"/>
      <c r="E236" s="4"/>
      <c r="F236" s="4"/>
      <c r="G236" s="4"/>
      <c r="H236" s="4"/>
      <c r="I236" s="4"/>
      <c r="J236" s="4"/>
      <c r="K236" s="4"/>
      <c r="L236" s="4">
        <v>22</v>
      </c>
      <c r="M236" s="4">
        <v>20</v>
      </c>
      <c r="N236" s="4">
        <v>25</v>
      </c>
      <c r="O236" s="5">
        <f>SUM(Tabela32391011[[#This Row],[jan/23]:[dez/23]])</f>
        <v>67</v>
      </c>
    </row>
    <row r="237" spans="1:15" x14ac:dyDescent="0.25">
      <c r="A237" s="4" t="s">
        <v>447</v>
      </c>
      <c r="B237" s="4" t="s">
        <v>304</v>
      </c>
      <c r="C237" s="4">
        <v>5</v>
      </c>
      <c r="D237" s="4">
        <v>5</v>
      </c>
      <c r="E237" s="4">
        <v>8</v>
      </c>
      <c r="F237" s="4">
        <v>5</v>
      </c>
      <c r="G237" s="4">
        <v>2</v>
      </c>
      <c r="H237" s="4">
        <v>3</v>
      </c>
      <c r="I237" s="4">
        <v>1</v>
      </c>
      <c r="J237" s="4">
        <v>5</v>
      </c>
      <c r="K237" s="4">
        <v>7</v>
      </c>
      <c r="L237" s="4">
        <v>10</v>
      </c>
      <c r="M237" s="4">
        <v>8</v>
      </c>
      <c r="N237" s="4">
        <v>6</v>
      </c>
      <c r="O237" s="5">
        <f>SUM(Tabela32391011[[#This Row],[jan/23]:[dez/23]])</f>
        <v>65</v>
      </c>
    </row>
    <row r="238" spans="1:15" x14ac:dyDescent="0.25">
      <c r="A238" s="4" t="s">
        <v>515</v>
      </c>
      <c r="B238" s="4" t="s">
        <v>862</v>
      </c>
      <c r="C238" s="4">
        <v>8</v>
      </c>
      <c r="D238" s="4">
        <v>7</v>
      </c>
      <c r="E238" s="4">
        <v>8</v>
      </c>
      <c r="F238" s="4">
        <v>19</v>
      </c>
      <c r="G238" s="4">
        <v>19</v>
      </c>
      <c r="H238" s="4">
        <v>2</v>
      </c>
      <c r="I238" s="4">
        <v>1</v>
      </c>
      <c r="J238" s="4">
        <v>1</v>
      </c>
      <c r="K238" s="4"/>
      <c r="L238" s="4"/>
      <c r="M238" s="4"/>
      <c r="N238" s="4"/>
      <c r="O238" s="5">
        <f>SUM(Tabela32391011[[#This Row],[jan/23]:[dez/23]])</f>
        <v>65</v>
      </c>
    </row>
    <row r="239" spans="1:15" x14ac:dyDescent="0.25">
      <c r="A239" s="4" t="s">
        <v>513</v>
      </c>
      <c r="B239" s="4" t="s">
        <v>611</v>
      </c>
      <c r="C239" s="4">
        <v>6</v>
      </c>
      <c r="D239" s="4">
        <v>4</v>
      </c>
      <c r="E239" s="4">
        <v>3</v>
      </c>
      <c r="F239" s="4">
        <v>7</v>
      </c>
      <c r="G239" s="4">
        <v>5</v>
      </c>
      <c r="H239" s="4">
        <v>7</v>
      </c>
      <c r="I239" s="4">
        <v>6</v>
      </c>
      <c r="J239" s="4">
        <v>8</v>
      </c>
      <c r="K239" s="4">
        <v>3</v>
      </c>
      <c r="L239" s="4">
        <v>5</v>
      </c>
      <c r="M239" s="4">
        <v>11</v>
      </c>
      <c r="N239" s="4"/>
      <c r="O239" s="5">
        <f>SUM(Tabela32391011[[#This Row],[jan/23]:[dez/23]])</f>
        <v>65</v>
      </c>
    </row>
    <row r="240" spans="1:15" x14ac:dyDescent="0.25">
      <c r="A240" s="4" t="s">
        <v>511</v>
      </c>
      <c r="B240" s="4" t="s">
        <v>474</v>
      </c>
      <c r="C240" s="4">
        <v>5</v>
      </c>
      <c r="D240" s="4">
        <v>1</v>
      </c>
      <c r="E240" s="4">
        <v>3</v>
      </c>
      <c r="F240" s="4">
        <v>9</v>
      </c>
      <c r="G240" s="4">
        <v>9</v>
      </c>
      <c r="H240" s="4">
        <v>2</v>
      </c>
      <c r="I240" s="4">
        <v>4</v>
      </c>
      <c r="J240" s="4">
        <v>6</v>
      </c>
      <c r="K240" s="4">
        <v>15</v>
      </c>
      <c r="L240" s="4">
        <v>6</v>
      </c>
      <c r="M240" s="4">
        <v>3</v>
      </c>
      <c r="N240" s="4">
        <v>2</v>
      </c>
      <c r="O240" s="5">
        <f>SUM(Tabela32391011[[#This Row],[jan/23]:[dez/23]])</f>
        <v>65</v>
      </c>
    </row>
    <row r="241" spans="1:15" x14ac:dyDescent="0.25">
      <c r="A241" s="4" t="s">
        <v>509</v>
      </c>
      <c r="B241" s="4" t="s">
        <v>813</v>
      </c>
      <c r="C241" s="4">
        <v>9</v>
      </c>
      <c r="D241" s="4">
        <v>3</v>
      </c>
      <c r="E241" s="4">
        <v>2</v>
      </c>
      <c r="F241" s="4">
        <v>4</v>
      </c>
      <c r="G241" s="4">
        <v>12</v>
      </c>
      <c r="H241" s="4">
        <v>8</v>
      </c>
      <c r="I241" s="4">
        <v>5</v>
      </c>
      <c r="J241" s="4">
        <v>5</v>
      </c>
      <c r="K241" s="4">
        <v>6</v>
      </c>
      <c r="L241" s="4">
        <v>6</v>
      </c>
      <c r="M241" s="4">
        <v>2</v>
      </c>
      <c r="N241" s="4">
        <v>2</v>
      </c>
      <c r="O241" s="5">
        <f>SUM(Tabela32391011[[#This Row],[jan/23]:[dez/23]])</f>
        <v>64</v>
      </c>
    </row>
    <row r="242" spans="1:15" x14ac:dyDescent="0.25">
      <c r="A242" s="4" t="s">
        <v>507</v>
      </c>
      <c r="B242" s="4" t="s">
        <v>698</v>
      </c>
      <c r="C242" s="4">
        <v>5</v>
      </c>
      <c r="D242" s="4">
        <v>5</v>
      </c>
      <c r="E242" s="4">
        <v>5</v>
      </c>
      <c r="F242" s="4">
        <v>1</v>
      </c>
      <c r="G242" s="4">
        <v>3</v>
      </c>
      <c r="H242" s="4">
        <v>3</v>
      </c>
      <c r="I242" s="4">
        <v>6</v>
      </c>
      <c r="J242" s="4">
        <v>3</v>
      </c>
      <c r="K242" s="4">
        <v>8</v>
      </c>
      <c r="L242" s="4">
        <v>9</v>
      </c>
      <c r="M242" s="4">
        <v>8</v>
      </c>
      <c r="N242" s="4">
        <v>6</v>
      </c>
      <c r="O242" s="5">
        <f>SUM(Tabela32391011[[#This Row],[jan/23]:[dez/23]])</f>
        <v>62</v>
      </c>
    </row>
    <row r="243" spans="1:15" x14ac:dyDescent="0.25">
      <c r="A243" s="4" t="s">
        <v>505</v>
      </c>
      <c r="B243" s="4" t="s">
        <v>586</v>
      </c>
      <c r="C243" s="4">
        <v>13</v>
      </c>
      <c r="D243" s="4">
        <v>12</v>
      </c>
      <c r="E243" s="4">
        <v>11</v>
      </c>
      <c r="F243" s="4">
        <v>13</v>
      </c>
      <c r="G243" s="4"/>
      <c r="H243" s="4"/>
      <c r="I243" s="4"/>
      <c r="J243" s="4"/>
      <c r="K243" s="4"/>
      <c r="L243" s="4">
        <v>13</v>
      </c>
      <c r="M243" s="4"/>
      <c r="N243" s="4"/>
      <c r="O243" s="5">
        <f>SUM(Tabela32391011[[#This Row],[jan/23]:[dez/23]])</f>
        <v>62</v>
      </c>
    </row>
    <row r="244" spans="1:15" x14ac:dyDescent="0.25">
      <c r="A244" s="4" t="s">
        <v>503</v>
      </c>
      <c r="B244" s="4" t="s">
        <v>823</v>
      </c>
      <c r="C244" s="4"/>
      <c r="D244" s="4"/>
      <c r="E244" s="4"/>
      <c r="F244" s="4"/>
      <c r="G244" s="4"/>
      <c r="H244" s="4">
        <v>14</v>
      </c>
      <c r="I244" s="4">
        <v>6</v>
      </c>
      <c r="J244" s="4">
        <v>6</v>
      </c>
      <c r="K244" s="4">
        <v>13</v>
      </c>
      <c r="L244" s="4">
        <v>6</v>
      </c>
      <c r="M244" s="4">
        <v>10</v>
      </c>
      <c r="N244" s="4">
        <v>3</v>
      </c>
      <c r="O244" s="5">
        <f>SUM(Tabela32391011[[#This Row],[jan/23]:[dez/23]])</f>
        <v>58</v>
      </c>
    </row>
    <row r="245" spans="1:15" x14ac:dyDescent="0.25">
      <c r="A245" s="4" t="s">
        <v>501</v>
      </c>
      <c r="B245" s="4" t="s">
        <v>853</v>
      </c>
      <c r="C245" s="4">
        <v>8</v>
      </c>
      <c r="D245" s="4">
        <v>13</v>
      </c>
      <c r="E245" s="4">
        <v>5</v>
      </c>
      <c r="F245" s="4">
        <v>2</v>
      </c>
      <c r="G245" s="4">
        <v>2</v>
      </c>
      <c r="H245" s="4">
        <v>2</v>
      </c>
      <c r="I245" s="4">
        <v>4</v>
      </c>
      <c r="J245" s="4">
        <v>6</v>
      </c>
      <c r="K245" s="4">
        <v>1</v>
      </c>
      <c r="L245" s="4">
        <v>4</v>
      </c>
      <c r="M245" s="4">
        <v>4</v>
      </c>
      <c r="N245" s="4">
        <v>1</v>
      </c>
      <c r="O245" s="5">
        <f>SUM(Tabela32391011[[#This Row],[jan/23]:[dez/23]])</f>
        <v>52</v>
      </c>
    </row>
    <row r="246" spans="1:15" x14ac:dyDescent="0.25">
      <c r="A246" s="4" t="s">
        <v>499</v>
      </c>
      <c r="B246" s="4" t="s">
        <v>728</v>
      </c>
      <c r="C246" s="4">
        <v>8</v>
      </c>
      <c r="D246" s="4">
        <v>2</v>
      </c>
      <c r="E246" s="4">
        <v>2</v>
      </c>
      <c r="F246" s="4">
        <v>7</v>
      </c>
      <c r="G246" s="4">
        <v>3</v>
      </c>
      <c r="H246" s="4">
        <v>3</v>
      </c>
      <c r="I246" s="4">
        <v>5</v>
      </c>
      <c r="J246" s="4">
        <v>4</v>
      </c>
      <c r="K246" s="4">
        <v>6</v>
      </c>
      <c r="L246" s="4">
        <v>1</v>
      </c>
      <c r="M246" s="4">
        <v>2</v>
      </c>
      <c r="N246" s="4">
        <v>9</v>
      </c>
      <c r="O246" s="5">
        <f>SUM(Tabela32391011[[#This Row],[jan/23]:[dez/23]])</f>
        <v>52</v>
      </c>
    </row>
    <row r="247" spans="1:15" x14ac:dyDescent="0.25">
      <c r="A247" s="4" t="s">
        <v>497</v>
      </c>
      <c r="B247" s="4" t="s">
        <v>526</v>
      </c>
      <c r="C247" s="4"/>
      <c r="D247" s="4"/>
      <c r="E247" s="4"/>
      <c r="F247" s="4"/>
      <c r="G247" s="4"/>
      <c r="H247" s="4">
        <v>10</v>
      </c>
      <c r="I247" s="4">
        <v>5</v>
      </c>
      <c r="J247" s="4">
        <v>6</v>
      </c>
      <c r="K247" s="4">
        <v>10</v>
      </c>
      <c r="L247" s="4">
        <v>7</v>
      </c>
      <c r="M247" s="4">
        <v>5</v>
      </c>
      <c r="N247" s="4">
        <v>7</v>
      </c>
      <c r="O247" s="5">
        <f>SUM(Tabela32391011[[#This Row],[jan/23]:[dez/23]])</f>
        <v>50</v>
      </c>
    </row>
    <row r="248" spans="1:15" x14ac:dyDescent="0.25">
      <c r="A248" s="4" t="s">
        <v>495</v>
      </c>
      <c r="B248" s="4" t="s">
        <v>634</v>
      </c>
      <c r="C248" s="4"/>
      <c r="D248" s="4"/>
      <c r="E248" s="4"/>
      <c r="F248" s="4"/>
      <c r="G248" s="4">
        <v>12</v>
      </c>
      <c r="H248" s="4">
        <v>7</v>
      </c>
      <c r="I248" s="4">
        <v>4</v>
      </c>
      <c r="J248" s="4"/>
      <c r="K248" s="4">
        <v>4</v>
      </c>
      <c r="L248" s="4">
        <v>8</v>
      </c>
      <c r="M248" s="4">
        <v>9</v>
      </c>
      <c r="N248" s="4">
        <v>6</v>
      </c>
      <c r="O248" s="5">
        <f>SUM(Tabela32391011[[#This Row],[jan/23]:[dez/23]])</f>
        <v>50</v>
      </c>
    </row>
    <row r="249" spans="1:15" x14ac:dyDescent="0.25">
      <c r="A249" s="4" t="s">
        <v>493</v>
      </c>
      <c r="B249" s="4" t="s">
        <v>684</v>
      </c>
      <c r="C249" s="4">
        <v>19</v>
      </c>
      <c r="D249" s="4">
        <v>23</v>
      </c>
      <c r="E249" s="4">
        <v>1</v>
      </c>
      <c r="F249" s="4"/>
      <c r="G249" s="4"/>
      <c r="H249" s="4"/>
      <c r="I249" s="4"/>
      <c r="J249" s="4"/>
      <c r="K249" s="4"/>
      <c r="L249" s="4"/>
      <c r="M249" s="4"/>
      <c r="N249" s="4">
        <v>1</v>
      </c>
      <c r="O249" s="5">
        <f>SUM(Tabela32391011[[#This Row],[jan/23]:[dez/23]])</f>
        <v>44</v>
      </c>
    </row>
    <row r="250" spans="1:15" x14ac:dyDescent="0.25">
      <c r="A250" s="4" t="s">
        <v>491</v>
      </c>
      <c r="B250" s="4" t="s">
        <v>846</v>
      </c>
      <c r="C250" s="4">
        <v>11</v>
      </c>
      <c r="D250" s="4">
        <v>6</v>
      </c>
      <c r="E250" s="4">
        <v>6</v>
      </c>
      <c r="F250" s="4">
        <v>4</v>
      </c>
      <c r="G250" s="4"/>
      <c r="H250" s="4"/>
      <c r="I250" s="4"/>
      <c r="J250" s="4"/>
      <c r="K250" s="4"/>
      <c r="L250" s="4">
        <v>16</v>
      </c>
      <c r="M250" s="4"/>
      <c r="N250" s="4"/>
      <c r="O250" s="5">
        <f>SUM(Tabela32391011[[#This Row],[jan/23]:[dez/23]])</f>
        <v>43</v>
      </c>
    </row>
    <row r="251" spans="1:15" x14ac:dyDescent="0.25">
      <c r="A251" s="4" t="s">
        <v>489</v>
      </c>
      <c r="B251" s="4" t="s">
        <v>418</v>
      </c>
      <c r="C251" s="4">
        <v>3</v>
      </c>
      <c r="D251" s="4">
        <v>5</v>
      </c>
      <c r="E251" s="4">
        <v>2</v>
      </c>
      <c r="F251" s="4">
        <v>3</v>
      </c>
      <c r="G251" s="4">
        <v>1</v>
      </c>
      <c r="H251" s="4">
        <v>5</v>
      </c>
      <c r="I251" s="4">
        <v>1</v>
      </c>
      <c r="J251" s="4">
        <v>5</v>
      </c>
      <c r="K251" s="4">
        <v>5</v>
      </c>
      <c r="L251" s="4">
        <v>6</v>
      </c>
      <c r="M251" s="4">
        <v>4</v>
      </c>
      <c r="N251" s="4">
        <v>3</v>
      </c>
      <c r="O251" s="5">
        <f>SUM(Tabela32391011[[#This Row],[jan/23]:[dez/23]])</f>
        <v>43</v>
      </c>
    </row>
    <row r="252" spans="1:15" x14ac:dyDescent="0.25">
      <c r="A252" s="4" t="s">
        <v>487</v>
      </c>
      <c r="B252" s="4" t="s">
        <v>863</v>
      </c>
      <c r="C252" s="4">
        <v>3</v>
      </c>
      <c r="D252" s="4">
        <v>10</v>
      </c>
      <c r="E252" s="4">
        <v>7</v>
      </c>
      <c r="F252" s="4">
        <v>9</v>
      </c>
      <c r="G252" s="4">
        <v>5</v>
      </c>
      <c r="H252" s="4">
        <v>1</v>
      </c>
      <c r="I252" s="4">
        <v>1</v>
      </c>
      <c r="J252" s="4">
        <v>2</v>
      </c>
      <c r="K252" s="4">
        <v>2</v>
      </c>
      <c r="L252" s="4"/>
      <c r="M252" s="4"/>
      <c r="N252" s="4">
        <v>1</v>
      </c>
      <c r="O252" s="5">
        <f>SUM(Tabela32391011[[#This Row],[jan/23]:[dez/23]])</f>
        <v>41</v>
      </c>
    </row>
    <row r="253" spans="1:15" x14ac:dyDescent="0.25">
      <c r="A253" s="4" t="s">
        <v>485</v>
      </c>
      <c r="B253" s="4" t="s">
        <v>864</v>
      </c>
      <c r="C253" s="4">
        <v>13</v>
      </c>
      <c r="D253" s="4">
        <v>8</v>
      </c>
      <c r="E253" s="4">
        <v>8</v>
      </c>
      <c r="F253" s="4">
        <v>1</v>
      </c>
      <c r="G253" s="4">
        <v>1</v>
      </c>
      <c r="H253" s="4">
        <v>1</v>
      </c>
      <c r="I253" s="4">
        <v>1</v>
      </c>
      <c r="J253" s="4"/>
      <c r="K253" s="4"/>
      <c r="L253" s="4"/>
      <c r="M253" s="4"/>
      <c r="N253" s="4"/>
      <c r="O253" s="5">
        <f>SUM(Tabela32391011[[#This Row],[jan/23]:[dez/23]])</f>
        <v>33</v>
      </c>
    </row>
    <row r="254" spans="1:15" x14ac:dyDescent="0.25">
      <c r="A254" s="4" t="s">
        <v>483</v>
      </c>
      <c r="B254" s="4" t="s">
        <v>582</v>
      </c>
      <c r="C254" s="4"/>
      <c r="D254" s="4"/>
      <c r="E254" s="4"/>
      <c r="F254" s="4"/>
      <c r="G254" s="4"/>
      <c r="H254" s="4"/>
      <c r="I254" s="4"/>
      <c r="J254" s="4"/>
      <c r="K254" s="4"/>
      <c r="L254" s="4">
        <v>15</v>
      </c>
      <c r="M254" s="4">
        <v>9</v>
      </c>
      <c r="N254" s="4">
        <v>9</v>
      </c>
      <c r="O254" s="5">
        <f>SUM(Tabela32391011[[#This Row],[jan/23]:[dez/23]])</f>
        <v>33</v>
      </c>
    </row>
    <row r="255" spans="1:15" x14ac:dyDescent="0.25">
      <c r="A255" s="4" t="s">
        <v>481</v>
      </c>
      <c r="B255" s="4" t="s">
        <v>716</v>
      </c>
      <c r="C255" s="4"/>
      <c r="D255" s="4"/>
      <c r="E255" s="4"/>
      <c r="F255" s="4"/>
      <c r="G255" s="4"/>
      <c r="H255" s="4"/>
      <c r="I255" s="4"/>
      <c r="J255" s="4"/>
      <c r="K255" s="4"/>
      <c r="L255" s="4">
        <v>18</v>
      </c>
      <c r="M255" s="4"/>
      <c r="N255" s="4">
        <v>15</v>
      </c>
      <c r="O255" s="5">
        <f>SUM(Tabela32391011[[#This Row],[jan/23]:[dez/23]])</f>
        <v>33</v>
      </c>
    </row>
    <row r="256" spans="1:15" x14ac:dyDescent="0.25">
      <c r="A256" s="4" t="s">
        <v>479</v>
      </c>
      <c r="B256" s="4" t="s">
        <v>406</v>
      </c>
      <c r="C256" s="4">
        <v>4</v>
      </c>
      <c r="D256" s="4">
        <v>13</v>
      </c>
      <c r="E256" s="4">
        <v>1</v>
      </c>
      <c r="F256" s="4">
        <v>2</v>
      </c>
      <c r="G256" s="4"/>
      <c r="H256" s="4">
        <v>1</v>
      </c>
      <c r="I256" s="4">
        <v>2</v>
      </c>
      <c r="J256" s="4">
        <v>3</v>
      </c>
      <c r="K256" s="4">
        <v>5</v>
      </c>
      <c r="L256" s="4">
        <v>1</v>
      </c>
      <c r="M256" s="4"/>
      <c r="N256" s="4"/>
      <c r="O256" s="5">
        <f>SUM(Tabela32391011[[#This Row],[jan/23]:[dez/23]])</f>
        <v>32</v>
      </c>
    </row>
    <row r="257" spans="1:15" x14ac:dyDescent="0.25">
      <c r="A257" s="4" t="s">
        <v>477</v>
      </c>
      <c r="B257" s="4" t="s">
        <v>262</v>
      </c>
      <c r="C257" s="4">
        <v>7</v>
      </c>
      <c r="D257" s="4">
        <v>4</v>
      </c>
      <c r="E257" s="4">
        <v>2</v>
      </c>
      <c r="F257" s="4">
        <v>3</v>
      </c>
      <c r="G257" s="4">
        <v>5</v>
      </c>
      <c r="H257" s="4">
        <v>1</v>
      </c>
      <c r="I257" s="4">
        <v>2</v>
      </c>
      <c r="J257" s="4">
        <v>4</v>
      </c>
      <c r="K257" s="4">
        <v>1</v>
      </c>
      <c r="L257" s="4">
        <v>1</v>
      </c>
      <c r="M257" s="4">
        <v>2</v>
      </c>
      <c r="N257" s="4"/>
      <c r="O257" s="5">
        <f>SUM(Tabela32391011[[#This Row],[jan/23]:[dez/23]])</f>
        <v>32</v>
      </c>
    </row>
    <row r="258" spans="1:15" x14ac:dyDescent="0.25">
      <c r="A258" s="4" t="s">
        <v>475</v>
      </c>
      <c r="B258" s="4" t="s">
        <v>865</v>
      </c>
      <c r="C258" s="4">
        <v>6</v>
      </c>
      <c r="D258" s="4">
        <v>7</v>
      </c>
      <c r="E258" s="4">
        <v>2</v>
      </c>
      <c r="F258" s="4">
        <v>6</v>
      </c>
      <c r="G258" s="4"/>
      <c r="H258" s="4"/>
      <c r="I258" s="4"/>
      <c r="J258" s="4"/>
      <c r="K258" s="4"/>
      <c r="L258" s="4">
        <v>11</v>
      </c>
      <c r="M258" s="4"/>
      <c r="N258" s="4"/>
      <c r="O258" s="5">
        <f>SUM(Tabela32391011[[#This Row],[jan/23]:[dez/23]])</f>
        <v>32</v>
      </c>
    </row>
    <row r="259" spans="1:15" x14ac:dyDescent="0.25">
      <c r="A259" s="4" t="s">
        <v>555</v>
      </c>
      <c r="B259" s="4" t="s">
        <v>795</v>
      </c>
      <c r="C259" s="4"/>
      <c r="D259" s="4"/>
      <c r="E259" s="4"/>
      <c r="F259" s="4"/>
      <c r="G259" s="4"/>
      <c r="H259" s="4"/>
      <c r="I259" s="4"/>
      <c r="J259" s="4"/>
      <c r="K259" s="4"/>
      <c r="L259" s="4">
        <v>31</v>
      </c>
      <c r="M259" s="4"/>
      <c r="N259" s="4"/>
      <c r="O259" s="5">
        <f>SUM(Tabela32391011[[#This Row],[jan/23]:[dez/23]])</f>
        <v>31</v>
      </c>
    </row>
    <row r="260" spans="1:15" x14ac:dyDescent="0.25">
      <c r="A260" s="4" t="s">
        <v>556</v>
      </c>
      <c r="B260" s="4" t="s">
        <v>770</v>
      </c>
      <c r="C260" s="4">
        <v>2</v>
      </c>
      <c r="D260" s="4"/>
      <c r="E260" s="4">
        <v>5</v>
      </c>
      <c r="F260" s="4"/>
      <c r="G260" s="4">
        <v>6</v>
      </c>
      <c r="H260" s="4">
        <v>3</v>
      </c>
      <c r="I260" s="4">
        <v>1</v>
      </c>
      <c r="J260" s="4">
        <v>5</v>
      </c>
      <c r="K260" s="4">
        <v>3</v>
      </c>
      <c r="L260" s="4">
        <v>2</v>
      </c>
      <c r="M260" s="4">
        <v>4</v>
      </c>
      <c r="N260" s="4"/>
      <c r="O260" s="5">
        <f>SUM(Tabela32391011[[#This Row],[jan/23]:[dez/23]])</f>
        <v>31</v>
      </c>
    </row>
    <row r="261" spans="1:15" x14ac:dyDescent="0.25">
      <c r="A261" s="4" t="s">
        <v>557</v>
      </c>
      <c r="B261" s="4" t="s">
        <v>866</v>
      </c>
      <c r="C261" s="4">
        <v>2</v>
      </c>
      <c r="D261" s="4">
        <v>5</v>
      </c>
      <c r="E261" s="4">
        <v>1</v>
      </c>
      <c r="F261" s="4">
        <v>8</v>
      </c>
      <c r="G261" s="4">
        <v>4</v>
      </c>
      <c r="H261" s="4">
        <v>1</v>
      </c>
      <c r="I261" s="4"/>
      <c r="J261" s="4">
        <v>4</v>
      </c>
      <c r="K261" s="4">
        <v>1</v>
      </c>
      <c r="L261" s="4">
        <v>2</v>
      </c>
      <c r="M261" s="4">
        <v>1</v>
      </c>
      <c r="N261" s="4"/>
      <c r="O261" s="5">
        <f>SUM(Tabela32391011[[#This Row],[jan/23]:[dez/23]])</f>
        <v>29</v>
      </c>
    </row>
    <row r="262" spans="1:15" x14ac:dyDescent="0.25">
      <c r="A262" s="4" t="s">
        <v>558</v>
      </c>
      <c r="B262" s="4" t="s">
        <v>819</v>
      </c>
      <c r="C262" s="4">
        <v>1</v>
      </c>
      <c r="D262" s="4"/>
      <c r="E262" s="4"/>
      <c r="F262" s="4">
        <v>23</v>
      </c>
      <c r="G262" s="4">
        <v>3</v>
      </c>
      <c r="H262" s="4">
        <v>1</v>
      </c>
      <c r="I262" s="4"/>
      <c r="J262" s="4"/>
      <c r="K262" s="4"/>
      <c r="L262" s="4"/>
      <c r="M262" s="4"/>
      <c r="N262" s="4"/>
      <c r="O262" s="5">
        <f>SUM(Tabela32391011[[#This Row],[jan/23]:[dez/23]])</f>
        <v>28</v>
      </c>
    </row>
    <row r="263" spans="1:15" x14ac:dyDescent="0.25">
      <c r="A263" s="4" t="s">
        <v>559</v>
      </c>
      <c r="B263" s="4" t="s">
        <v>549</v>
      </c>
      <c r="C263" s="4">
        <v>4</v>
      </c>
      <c r="D263" s="4">
        <v>3</v>
      </c>
      <c r="E263" s="4">
        <v>1</v>
      </c>
      <c r="F263" s="4">
        <v>2</v>
      </c>
      <c r="G263" s="4"/>
      <c r="H263" s="4">
        <v>1</v>
      </c>
      <c r="I263" s="4">
        <v>2</v>
      </c>
      <c r="J263" s="4">
        <v>4</v>
      </c>
      <c r="K263" s="4">
        <v>3</v>
      </c>
      <c r="L263" s="4">
        <v>3</v>
      </c>
      <c r="M263" s="4">
        <v>2</v>
      </c>
      <c r="N263" s="4">
        <v>1</v>
      </c>
      <c r="O263" s="5">
        <f>SUM(Tabela32391011[[#This Row],[jan/23]:[dez/23]])</f>
        <v>26</v>
      </c>
    </row>
    <row r="264" spans="1:15" x14ac:dyDescent="0.25">
      <c r="A264" s="4" t="s">
        <v>561</v>
      </c>
      <c r="B264" s="4" t="s">
        <v>674</v>
      </c>
      <c r="C264" s="4">
        <v>3</v>
      </c>
      <c r="D264" s="4">
        <v>2</v>
      </c>
      <c r="E264" s="4"/>
      <c r="F264" s="4">
        <v>2</v>
      </c>
      <c r="G264" s="4">
        <v>4</v>
      </c>
      <c r="H264" s="4">
        <v>1</v>
      </c>
      <c r="I264" s="4">
        <v>7</v>
      </c>
      <c r="J264" s="4">
        <v>1</v>
      </c>
      <c r="K264" s="4">
        <v>2</v>
      </c>
      <c r="L264" s="4">
        <v>1</v>
      </c>
      <c r="M264" s="4">
        <v>1</v>
      </c>
      <c r="N264" s="4">
        <v>1</v>
      </c>
      <c r="O264" s="5">
        <f>SUM(Tabela32391011[[#This Row],[jan/23]:[dez/23]])</f>
        <v>25</v>
      </c>
    </row>
    <row r="265" spans="1:15" x14ac:dyDescent="0.25">
      <c r="A265" s="4" t="s">
        <v>563</v>
      </c>
      <c r="B265" s="4" t="s">
        <v>548</v>
      </c>
      <c r="C265" s="4"/>
      <c r="D265" s="4">
        <v>3</v>
      </c>
      <c r="E265" s="4">
        <v>4</v>
      </c>
      <c r="F265" s="4"/>
      <c r="G265" s="4">
        <v>3</v>
      </c>
      <c r="H265" s="4">
        <v>2</v>
      </c>
      <c r="I265" s="4">
        <v>3</v>
      </c>
      <c r="J265" s="4">
        <v>5</v>
      </c>
      <c r="K265" s="4"/>
      <c r="L265" s="4"/>
      <c r="M265" s="4">
        <v>1</v>
      </c>
      <c r="N265" s="4">
        <v>4</v>
      </c>
      <c r="O265" s="5">
        <f>SUM(Tabela32391011[[#This Row],[jan/23]:[dez/23]])</f>
        <v>25</v>
      </c>
    </row>
    <row r="266" spans="1:15" x14ac:dyDescent="0.25">
      <c r="A266" s="4" t="s">
        <v>564</v>
      </c>
      <c r="B266" s="4" t="s">
        <v>765</v>
      </c>
      <c r="C266" s="4">
        <v>1</v>
      </c>
      <c r="D266" s="4">
        <v>1</v>
      </c>
      <c r="E266" s="4">
        <v>2</v>
      </c>
      <c r="F266" s="4">
        <v>1</v>
      </c>
      <c r="G266" s="4"/>
      <c r="H266" s="4">
        <v>2</v>
      </c>
      <c r="I266" s="4">
        <v>2</v>
      </c>
      <c r="J266" s="4">
        <v>3</v>
      </c>
      <c r="K266" s="4">
        <v>3</v>
      </c>
      <c r="L266" s="4">
        <v>1</v>
      </c>
      <c r="M266" s="4">
        <v>5</v>
      </c>
      <c r="N266" s="4">
        <v>3</v>
      </c>
      <c r="O266" s="5">
        <f>SUM(Tabela32391011[[#This Row],[jan/23]:[dez/23]])</f>
        <v>24</v>
      </c>
    </row>
    <row r="267" spans="1:15" x14ac:dyDescent="0.25">
      <c r="A267" s="4" t="s">
        <v>566</v>
      </c>
      <c r="B267" s="4" t="s">
        <v>665</v>
      </c>
      <c r="C267" s="4">
        <v>1</v>
      </c>
      <c r="D267" s="4"/>
      <c r="E267" s="4"/>
      <c r="F267" s="4"/>
      <c r="G267" s="4"/>
      <c r="H267" s="4"/>
      <c r="I267" s="4"/>
      <c r="J267" s="4"/>
      <c r="K267" s="4"/>
      <c r="L267" s="4">
        <v>1</v>
      </c>
      <c r="M267" s="4">
        <v>7</v>
      </c>
      <c r="N267" s="4">
        <v>14</v>
      </c>
      <c r="O267" s="5">
        <f>SUM(Tabela32391011[[#This Row],[jan/23]:[dez/23]])</f>
        <v>23</v>
      </c>
    </row>
    <row r="268" spans="1:15" x14ac:dyDescent="0.25">
      <c r="A268" s="4" t="s">
        <v>567</v>
      </c>
      <c r="B268" s="4" t="s">
        <v>719</v>
      </c>
      <c r="C268" s="4">
        <v>2</v>
      </c>
      <c r="D268" s="4">
        <v>4</v>
      </c>
      <c r="E268" s="4">
        <v>2</v>
      </c>
      <c r="F268" s="4">
        <v>10</v>
      </c>
      <c r="G268" s="4">
        <v>1</v>
      </c>
      <c r="H268" s="4">
        <v>1</v>
      </c>
      <c r="I268" s="4"/>
      <c r="J268" s="4">
        <v>2</v>
      </c>
      <c r="K268" s="4"/>
      <c r="L268" s="4">
        <v>1</v>
      </c>
      <c r="M268" s="4"/>
      <c r="N268" s="4"/>
      <c r="O268" s="5">
        <f>SUM(Tabela32391011[[#This Row],[jan/23]:[dez/23]])</f>
        <v>23</v>
      </c>
    </row>
    <row r="269" spans="1:15" x14ac:dyDescent="0.25">
      <c r="A269" s="4" t="s">
        <v>569</v>
      </c>
      <c r="B269" s="4" t="s">
        <v>867</v>
      </c>
      <c r="C269" s="4">
        <v>2</v>
      </c>
      <c r="D269" s="4">
        <v>3</v>
      </c>
      <c r="E269" s="4">
        <v>1</v>
      </c>
      <c r="F269" s="4">
        <v>4</v>
      </c>
      <c r="G269" s="4"/>
      <c r="H269" s="4"/>
      <c r="I269" s="4">
        <v>3</v>
      </c>
      <c r="J269" s="4"/>
      <c r="K269" s="4">
        <v>4</v>
      </c>
      <c r="L269" s="4">
        <v>1</v>
      </c>
      <c r="M269" s="4">
        <v>4</v>
      </c>
      <c r="N269" s="4">
        <v>1</v>
      </c>
      <c r="O269" s="5">
        <f>SUM(Tabela32391011[[#This Row],[jan/23]:[dez/23]])</f>
        <v>23</v>
      </c>
    </row>
    <row r="270" spans="1:15" x14ac:dyDescent="0.25">
      <c r="A270" s="4" t="s">
        <v>571</v>
      </c>
      <c r="B270" s="4" t="s">
        <v>543</v>
      </c>
      <c r="C270" s="4">
        <v>3</v>
      </c>
      <c r="D270" s="4">
        <v>2</v>
      </c>
      <c r="E270" s="4">
        <v>2</v>
      </c>
      <c r="F270" s="4">
        <v>3</v>
      </c>
      <c r="G270" s="4">
        <v>1</v>
      </c>
      <c r="H270" s="4">
        <v>1</v>
      </c>
      <c r="I270" s="4">
        <v>3</v>
      </c>
      <c r="J270" s="4">
        <v>2</v>
      </c>
      <c r="K270" s="4">
        <v>2</v>
      </c>
      <c r="L270" s="4">
        <v>2</v>
      </c>
      <c r="M270" s="4">
        <v>1</v>
      </c>
      <c r="N270" s="4"/>
      <c r="O270" s="5">
        <f>SUM(Tabela32391011[[#This Row],[jan/23]:[dez/23]])</f>
        <v>22</v>
      </c>
    </row>
    <row r="271" spans="1:15" x14ac:dyDescent="0.25">
      <c r="A271" s="4" t="s">
        <v>572</v>
      </c>
      <c r="B271" s="4" t="s">
        <v>342</v>
      </c>
      <c r="C271" s="4"/>
      <c r="D271" s="4"/>
      <c r="E271" s="4">
        <v>1</v>
      </c>
      <c r="F271" s="4">
        <v>3</v>
      </c>
      <c r="G271" s="4"/>
      <c r="H271" s="4"/>
      <c r="I271" s="4"/>
      <c r="J271" s="4"/>
      <c r="K271" s="4"/>
      <c r="L271" s="4">
        <v>5</v>
      </c>
      <c r="M271" s="4"/>
      <c r="N271" s="4">
        <v>11</v>
      </c>
      <c r="O271" s="5">
        <f>SUM(Tabela32391011[[#This Row],[jan/23]:[dez/23]])</f>
        <v>20</v>
      </c>
    </row>
    <row r="272" spans="1:15" x14ac:dyDescent="0.25">
      <c r="A272" s="4" t="s">
        <v>617</v>
      </c>
      <c r="B272" s="4" t="s">
        <v>842</v>
      </c>
      <c r="C272" s="4"/>
      <c r="D272" s="4">
        <v>5</v>
      </c>
      <c r="E272" s="4"/>
      <c r="F272" s="4"/>
      <c r="G272" s="4">
        <v>4</v>
      </c>
      <c r="H272" s="4">
        <v>2</v>
      </c>
      <c r="I272" s="4">
        <v>2</v>
      </c>
      <c r="J272" s="4">
        <v>1</v>
      </c>
      <c r="K272" s="4">
        <v>1</v>
      </c>
      <c r="L272" s="4">
        <v>3</v>
      </c>
      <c r="M272" s="4">
        <v>1</v>
      </c>
      <c r="N272" s="4"/>
      <c r="O272" s="5">
        <f>SUM(Tabela32391011[[#This Row],[jan/23]:[dez/23]])</f>
        <v>19</v>
      </c>
    </row>
    <row r="273" spans="1:15" x14ac:dyDescent="0.25">
      <c r="A273" s="4" t="s">
        <v>618</v>
      </c>
      <c r="B273" s="4" t="s">
        <v>805</v>
      </c>
      <c r="C273" s="4">
        <v>7</v>
      </c>
      <c r="D273" s="4">
        <v>3</v>
      </c>
      <c r="E273" s="4">
        <v>2</v>
      </c>
      <c r="F273" s="4">
        <v>1</v>
      </c>
      <c r="G273" s="4"/>
      <c r="H273" s="4"/>
      <c r="I273" s="4"/>
      <c r="J273" s="4"/>
      <c r="K273" s="4"/>
      <c r="L273" s="4">
        <v>2</v>
      </c>
      <c r="M273" s="4"/>
      <c r="N273" s="4">
        <v>2</v>
      </c>
      <c r="O273" s="5">
        <f>SUM(Tabela32391011[[#This Row],[jan/23]:[dez/23]])</f>
        <v>17</v>
      </c>
    </row>
    <row r="274" spans="1:15" x14ac:dyDescent="0.25">
      <c r="A274" s="4" t="s">
        <v>619</v>
      </c>
      <c r="B274" s="4" t="s">
        <v>858</v>
      </c>
      <c r="C274" s="4">
        <v>2</v>
      </c>
      <c r="D274" s="4">
        <v>4</v>
      </c>
      <c r="E274" s="4"/>
      <c r="F274" s="4">
        <v>1</v>
      </c>
      <c r="G274" s="4"/>
      <c r="H274" s="4"/>
      <c r="I274" s="4">
        <v>8</v>
      </c>
      <c r="J274" s="4"/>
      <c r="K274" s="4"/>
      <c r="L274" s="4"/>
      <c r="M274" s="4">
        <v>1</v>
      </c>
      <c r="N274" s="4"/>
      <c r="O274" s="5">
        <f>SUM(Tabela32391011[[#This Row],[jan/23]:[dez/23]])</f>
        <v>16</v>
      </c>
    </row>
    <row r="275" spans="1:15" x14ac:dyDescent="0.25">
      <c r="A275" s="4" t="s">
        <v>620</v>
      </c>
      <c r="B275" s="4" t="s">
        <v>603</v>
      </c>
      <c r="C275" s="4">
        <v>1</v>
      </c>
      <c r="D275" s="4">
        <v>3</v>
      </c>
      <c r="E275" s="4">
        <v>2</v>
      </c>
      <c r="F275" s="4">
        <v>1</v>
      </c>
      <c r="G275" s="4">
        <v>1</v>
      </c>
      <c r="H275" s="4"/>
      <c r="I275" s="4">
        <v>1</v>
      </c>
      <c r="J275" s="4">
        <v>1</v>
      </c>
      <c r="K275" s="4">
        <v>2</v>
      </c>
      <c r="L275" s="4">
        <v>2</v>
      </c>
      <c r="M275" s="4">
        <v>1</v>
      </c>
      <c r="N275" s="4"/>
      <c r="O275" s="5">
        <f>SUM(Tabela32391011[[#This Row],[jan/23]:[dez/23]])</f>
        <v>15</v>
      </c>
    </row>
    <row r="276" spans="1:15" x14ac:dyDescent="0.25">
      <c r="A276" s="4" t="s">
        <v>621</v>
      </c>
      <c r="B276" s="4" t="s">
        <v>547</v>
      </c>
      <c r="C276" s="4">
        <v>1</v>
      </c>
      <c r="D276" s="4">
        <v>1</v>
      </c>
      <c r="E276" s="4">
        <v>2</v>
      </c>
      <c r="F276" s="4">
        <v>1</v>
      </c>
      <c r="G276" s="4">
        <v>2</v>
      </c>
      <c r="H276" s="4">
        <v>1</v>
      </c>
      <c r="I276" s="4"/>
      <c r="J276" s="4">
        <v>1</v>
      </c>
      <c r="K276" s="4">
        <v>1</v>
      </c>
      <c r="L276" s="4">
        <v>4</v>
      </c>
      <c r="M276" s="4">
        <v>1</v>
      </c>
      <c r="N276" s="4"/>
      <c r="O276" s="5">
        <f>SUM(Tabela32391011[[#This Row],[jan/23]:[dez/23]])</f>
        <v>15</v>
      </c>
    </row>
    <row r="277" spans="1:15" x14ac:dyDescent="0.25">
      <c r="A277" s="4" t="s">
        <v>623</v>
      </c>
      <c r="B277" s="4" t="s">
        <v>627</v>
      </c>
      <c r="C277" s="4"/>
      <c r="D277" s="4"/>
      <c r="E277" s="4"/>
      <c r="F277" s="4"/>
      <c r="G277" s="4"/>
      <c r="H277" s="4"/>
      <c r="I277" s="4"/>
      <c r="J277" s="4"/>
      <c r="K277" s="4"/>
      <c r="L277" s="4">
        <v>4</v>
      </c>
      <c r="M277" s="4">
        <v>4</v>
      </c>
      <c r="N277" s="4">
        <v>7</v>
      </c>
      <c r="O277" s="5">
        <f>SUM(Tabela32391011[[#This Row],[jan/23]:[dez/23]])</f>
        <v>15</v>
      </c>
    </row>
    <row r="278" spans="1:15" x14ac:dyDescent="0.25">
      <c r="A278" s="4" t="s">
        <v>624</v>
      </c>
      <c r="B278" s="4" t="s">
        <v>678</v>
      </c>
      <c r="C278" s="4"/>
      <c r="D278" s="4"/>
      <c r="E278" s="4"/>
      <c r="F278" s="4"/>
      <c r="G278" s="4"/>
      <c r="H278" s="4"/>
      <c r="I278" s="4"/>
      <c r="J278" s="4"/>
      <c r="K278" s="4"/>
      <c r="L278" s="4">
        <v>7</v>
      </c>
      <c r="M278" s="4">
        <v>1</v>
      </c>
      <c r="N278" s="4">
        <v>6</v>
      </c>
      <c r="O278" s="5">
        <f>SUM(Tabela32391011[[#This Row],[jan/23]:[dez/23]])</f>
        <v>14</v>
      </c>
    </row>
    <row r="279" spans="1:15" x14ac:dyDescent="0.25">
      <c r="A279" s="4" t="s">
        <v>626</v>
      </c>
      <c r="B279" s="4" t="s">
        <v>847</v>
      </c>
      <c r="C279" s="4"/>
      <c r="D279" s="4"/>
      <c r="E279" s="4"/>
      <c r="F279" s="4"/>
      <c r="G279" s="4"/>
      <c r="H279" s="4">
        <v>12</v>
      </c>
      <c r="I279" s="4"/>
      <c r="J279" s="4"/>
      <c r="K279" s="4"/>
      <c r="L279" s="4"/>
      <c r="M279" s="4"/>
      <c r="N279" s="4"/>
      <c r="O279" s="5">
        <f>SUM(Tabela32391011[[#This Row],[jan/23]:[dez/23]])</f>
        <v>12</v>
      </c>
    </row>
    <row r="280" spans="1:15" x14ac:dyDescent="0.25">
      <c r="A280" s="4" t="s">
        <v>628</v>
      </c>
      <c r="B280" s="4" t="s">
        <v>840</v>
      </c>
      <c r="C280" s="4">
        <v>3</v>
      </c>
      <c r="D280" s="4"/>
      <c r="E280" s="4">
        <v>2</v>
      </c>
      <c r="F280" s="4"/>
      <c r="G280" s="4"/>
      <c r="H280" s="4"/>
      <c r="I280" s="4">
        <v>2</v>
      </c>
      <c r="J280" s="4">
        <v>1</v>
      </c>
      <c r="K280" s="4">
        <v>1</v>
      </c>
      <c r="L280" s="4">
        <v>1</v>
      </c>
      <c r="M280" s="4">
        <v>1</v>
      </c>
      <c r="N280" s="4"/>
      <c r="O280" s="5">
        <f>SUM(Tabela32391011[[#This Row],[jan/23]:[dez/23]])</f>
        <v>11</v>
      </c>
    </row>
    <row r="281" spans="1:15" x14ac:dyDescent="0.25">
      <c r="A281" s="4" t="s">
        <v>630</v>
      </c>
      <c r="B281" s="4" t="s">
        <v>851</v>
      </c>
      <c r="C281" s="4">
        <v>4</v>
      </c>
      <c r="D281" s="4"/>
      <c r="E281" s="4">
        <v>1</v>
      </c>
      <c r="F281" s="4">
        <v>1</v>
      </c>
      <c r="G281" s="4"/>
      <c r="H281" s="4"/>
      <c r="I281" s="4">
        <v>2</v>
      </c>
      <c r="J281" s="4"/>
      <c r="K281" s="4"/>
      <c r="L281" s="4"/>
      <c r="M281" s="4"/>
      <c r="N281" s="4">
        <v>3</v>
      </c>
      <c r="O281" s="5">
        <f>SUM(Tabela32391011[[#This Row],[jan/23]:[dez/23]])</f>
        <v>11</v>
      </c>
    </row>
    <row r="282" spans="1:15" x14ac:dyDescent="0.25">
      <c r="A282" s="4" t="s">
        <v>631</v>
      </c>
      <c r="B282" s="4" t="s">
        <v>868</v>
      </c>
      <c r="C282" s="4">
        <v>1</v>
      </c>
      <c r="D282" s="4">
        <v>1</v>
      </c>
      <c r="E282" s="4">
        <v>2</v>
      </c>
      <c r="F282" s="4">
        <v>1</v>
      </c>
      <c r="G282" s="4">
        <v>1</v>
      </c>
      <c r="H282" s="4"/>
      <c r="I282" s="4"/>
      <c r="J282" s="4">
        <v>1</v>
      </c>
      <c r="K282" s="4"/>
      <c r="L282" s="4">
        <v>2</v>
      </c>
      <c r="M282" s="4"/>
      <c r="N282" s="4">
        <v>2</v>
      </c>
      <c r="O282" s="5">
        <f>SUM(Tabela32391011[[#This Row],[jan/23]:[dez/23]])</f>
        <v>11</v>
      </c>
    </row>
    <row r="283" spans="1:15" x14ac:dyDescent="0.25">
      <c r="A283" s="4" t="s">
        <v>633</v>
      </c>
      <c r="B283" s="4" t="s">
        <v>869</v>
      </c>
      <c r="C283" s="4">
        <v>3</v>
      </c>
      <c r="D283" s="4">
        <v>2</v>
      </c>
      <c r="E283" s="4">
        <v>1</v>
      </c>
      <c r="F283" s="4">
        <v>2</v>
      </c>
      <c r="G283" s="4"/>
      <c r="H283" s="4"/>
      <c r="I283" s="4"/>
      <c r="J283" s="4">
        <v>2</v>
      </c>
      <c r="K283" s="4"/>
      <c r="L283" s="4">
        <v>1</v>
      </c>
      <c r="M283" s="4"/>
      <c r="N283" s="4"/>
      <c r="O283" s="5">
        <f>SUM(Tabela32391011[[#This Row],[jan/23]:[dez/23]])</f>
        <v>11</v>
      </c>
    </row>
    <row r="284" spans="1:15" x14ac:dyDescent="0.25">
      <c r="A284" s="4" t="s">
        <v>635</v>
      </c>
      <c r="B284" s="4" t="s">
        <v>706</v>
      </c>
      <c r="C284" s="4"/>
      <c r="D284" s="4"/>
      <c r="E284" s="4"/>
      <c r="F284" s="4">
        <v>1</v>
      </c>
      <c r="G284" s="4">
        <v>2</v>
      </c>
      <c r="H284" s="4">
        <v>2</v>
      </c>
      <c r="I284" s="4">
        <v>1</v>
      </c>
      <c r="J284" s="4">
        <v>1</v>
      </c>
      <c r="K284" s="4"/>
      <c r="L284" s="4"/>
      <c r="M284" s="4">
        <v>1</v>
      </c>
      <c r="N284" s="4">
        <v>1</v>
      </c>
      <c r="O284" s="5">
        <f>SUM(Tabela32391011[[#This Row],[jan/23]:[dez/23]])</f>
        <v>9</v>
      </c>
    </row>
    <row r="285" spans="1:15" x14ac:dyDescent="0.25">
      <c r="A285" s="4" t="s">
        <v>637</v>
      </c>
      <c r="B285" s="4" t="s">
        <v>710</v>
      </c>
      <c r="C285" s="4">
        <v>1</v>
      </c>
      <c r="D285" s="4">
        <v>3</v>
      </c>
      <c r="E285" s="4">
        <v>2</v>
      </c>
      <c r="F285" s="4"/>
      <c r="G285" s="4">
        <v>1</v>
      </c>
      <c r="H285" s="4"/>
      <c r="I285" s="4"/>
      <c r="J285" s="4"/>
      <c r="K285" s="4"/>
      <c r="L285" s="4"/>
      <c r="M285" s="4"/>
      <c r="N285" s="4">
        <v>2</v>
      </c>
      <c r="O285" s="5">
        <f>SUM(Tabela32391011[[#This Row],[jan/23]:[dez/23]])</f>
        <v>9</v>
      </c>
    </row>
    <row r="286" spans="1:15" x14ac:dyDescent="0.25">
      <c r="A286" s="4" t="s">
        <v>638</v>
      </c>
      <c r="B286" s="4" t="s">
        <v>182</v>
      </c>
      <c r="C286" s="4">
        <v>2</v>
      </c>
      <c r="D286" s="4"/>
      <c r="E286" s="4"/>
      <c r="F286" s="4"/>
      <c r="G286" s="4"/>
      <c r="H286" s="4">
        <v>4</v>
      </c>
      <c r="I286" s="4">
        <v>1</v>
      </c>
      <c r="J286" s="4"/>
      <c r="K286" s="4">
        <v>1</v>
      </c>
      <c r="L286" s="4"/>
      <c r="M286" s="4"/>
      <c r="N286" s="4">
        <v>1</v>
      </c>
      <c r="O286" s="5">
        <f>SUM(Tabela32391011[[#This Row],[jan/23]:[dez/23]])</f>
        <v>9</v>
      </c>
    </row>
    <row r="287" spans="1:15" x14ac:dyDescent="0.25">
      <c r="A287" s="4" t="s">
        <v>639</v>
      </c>
      <c r="B287" s="4" t="s">
        <v>841</v>
      </c>
      <c r="C287" s="4"/>
      <c r="D287" s="4"/>
      <c r="E287" s="4"/>
      <c r="F287" s="4"/>
      <c r="G287" s="4">
        <v>3</v>
      </c>
      <c r="H287" s="4"/>
      <c r="I287" s="4">
        <v>1</v>
      </c>
      <c r="J287" s="4">
        <v>2</v>
      </c>
      <c r="K287" s="4">
        <v>2</v>
      </c>
      <c r="L287" s="4"/>
      <c r="M287" s="4"/>
      <c r="N287" s="4"/>
      <c r="O287" s="5">
        <f>SUM(Tabela32391011[[#This Row],[jan/23]:[dez/23]])</f>
        <v>8</v>
      </c>
    </row>
    <row r="288" spans="1:15" x14ac:dyDescent="0.25">
      <c r="A288" s="4" t="s">
        <v>641</v>
      </c>
      <c r="B288" s="4" t="s">
        <v>870</v>
      </c>
      <c r="C288" s="4">
        <v>1</v>
      </c>
      <c r="D288" s="4"/>
      <c r="E288" s="4">
        <v>2</v>
      </c>
      <c r="F288" s="4"/>
      <c r="G288" s="4"/>
      <c r="H288" s="4"/>
      <c r="I288" s="4"/>
      <c r="J288" s="4"/>
      <c r="K288" s="4">
        <v>1</v>
      </c>
      <c r="L288" s="4">
        <v>1</v>
      </c>
      <c r="M288" s="4">
        <v>1</v>
      </c>
      <c r="N288" s="4">
        <v>1</v>
      </c>
      <c r="O288" s="5">
        <f>SUM(Tabela32391011[[#This Row],[jan/23]:[dez/23]])</f>
        <v>7</v>
      </c>
    </row>
    <row r="289" spans="1:15" x14ac:dyDescent="0.25">
      <c r="A289" s="4" t="s">
        <v>642</v>
      </c>
      <c r="B289" s="4" t="s">
        <v>850</v>
      </c>
      <c r="C289" s="4"/>
      <c r="D289" s="4">
        <v>4</v>
      </c>
      <c r="E289" s="4"/>
      <c r="F289" s="4"/>
      <c r="G289" s="4"/>
      <c r="H289" s="4"/>
      <c r="I289" s="4">
        <v>1</v>
      </c>
      <c r="J289" s="4"/>
      <c r="K289" s="4"/>
      <c r="L289" s="4">
        <v>2</v>
      </c>
      <c r="M289" s="4"/>
      <c r="N289" s="4"/>
      <c r="O289" s="5">
        <f>SUM(Tabela32391011[[#This Row],[jan/23]:[dez/23]])</f>
        <v>7</v>
      </c>
    </row>
    <row r="290" spans="1:15" x14ac:dyDescent="0.25">
      <c r="A290" s="4" t="s">
        <v>644</v>
      </c>
      <c r="B290" s="4" t="s">
        <v>763</v>
      </c>
      <c r="C290" s="4"/>
      <c r="D290" s="4"/>
      <c r="E290" s="4"/>
      <c r="F290" s="4"/>
      <c r="G290" s="4">
        <v>1</v>
      </c>
      <c r="H290" s="4">
        <v>1</v>
      </c>
      <c r="I290" s="4">
        <v>1</v>
      </c>
      <c r="J290" s="4">
        <v>1</v>
      </c>
      <c r="K290" s="4"/>
      <c r="L290" s="4">
        <v>1</v>
      </c>
      <c r="M290" s="4">
        <v>1</v>
      </c>
      <c r="N290" s="4"/>
      <c r="O290" s="5">
        <f>SUM(Tabela32391011[[#This Row],[jan/23]:[dez/23]])</f>
        <v>6</v>
      </c>
    </row>
    <row r="291" spans="1:15" x14ac:dyDescent="0.25">
      <c r="A291" s="4" t="s">
        <v>646</v>
      </c>
      <c r="B291" s="4" t="s">
        <v>176</v>
      </c>
      <c r="C291" s="4"/>
      <c r="D291" s="4">
        <v>1</v>
      </c>
      <c r="E291" s="4"/>
      <c r="F291" s="4"/>
      <c r="G291" s="4">
        <v>1</v>
      </c>
      <c r="H291" s="4">
        <v>1</v>
      </c>
      <c r="I291" s="4">
        <v>1</v>
      </c>
      <c r="J291" s="4"/>
      <c r="K291" s="4"/>
      <c r="L291" s="4"/>
      <c r="M291" s="4"/>
      <c r="N291" s="4">
        <v>1</v>
      </c>
      <c r="O291" s="5">
        <f>SUM(Tabela32391011[[#This Row],[jan/23]:[dez/23]])</f>
        <v>5</v>
      </c>
    </row>
    <row r="292" spans="1:15" x14ac:dyDescent="0.25">
      <c r="A292" s="4" t="s">
        <v>648</v>
      </c>
      <c r="B292" s="4" t="s">
        <v>717</v>
      </c>
      <c r="C292" s="4"/>
      <c r="D292" s="4"/>
      <c r="E292" s="4"/>
      <c r="F292" s="4"/>
      <c r="G292" s="4">
        <v>1</v>
      </c>
      <c r="H292" s="4">
        <v>1</v>
      </c>
      <c r="I292" s="4"/>
      <c r="J292" s="4"/>
      <c r="K292" s="4"/>
      <c r="L292" s="4">
        <v>2</v>
      </c>
      <c r="M292" s="4">
        <v>1</v>
      </c>
      <c r="N292" s="4"/>
      <c r="O292" s="5">
        <f>SUM(Tabela32391011[[#This Row],[jan/23]:[dez/23]])</f>
        <v>5</v>
      </c>
    </row>
    <row r="293" spans="1:15" x14ac:dyDescent="0.25">
      <c r="A293" s="4" t="s">
        <v>650</v>
      </c>
      <c r="B293" s="4" t="s">
        <v>680</v>
      </c>
      <c r="C293" s="4">
        <v>1</v>
      </c>
      <c r="D293" s="4">
        <v>2</v>
      </c>
      <c r="E293" s="4"/>
      <c r="F293" s="4">
        <v>1</v>
      </c>
      <c r="G293" s="4"/>
      <c r="H293" s="4"/>
      <c r="I293" s="4"/>
      <c r="J293" s="4"/>
      <c r="K293" s="4"/>
      <c r="L293" s="4">
        <v>1</v>
      </c>
      <c r="M293" s="4"/>
      <c r="N293" s="4"/>
      <c r="O293" s="5">
        <f>SUM(Tabela32391011[[#This Row],[jan/23]:[dez/23]])</f>
        <v>5</v>
      </c>
    </row>
    <row r="294" spans="1:15" x14ac:dyDescent="0.25">
      <c r="A294" s="4" t="s">
        <v>651</v>
      </c>
      <c r="B294" s="4" t="s">
        <v>686</v>
      </c>
      <c r="C294" s="4"/>
      <c r="D294" s="4"/>
      <c r="E294" s="4"/>
      <c r="F294" s="4"/>
      <c r="G294" s="4"/>
      <c r="H294" s="4"/>
      <c r="I294" s="4">
        <v>5</v>
      </c>
      <c r="J294" s="4"/>
      <c r="K294" s="4"/>
      <c r="L294" s="4"/>
      <c r="M294" s="4"/>
      <c r="N294" s="4"/>
      <c r="O294" s="5">
        <f>SUM(Tabela32391011[[#This Row],[jan/23]:[dez/23]])</f>
        <v>5</v>
      </c>
    </row>
    <row r="295" spans="1:15" x14ac:dyDescent="0.25">
      <c r="A295" s="4" t="s">
        <v>653</v>
      </c>
      <c r="B295" s="4" t="s">
        <v>760</v>
      </c>
      <c r="C295" s="4"/>
      <c r="D295" s="4"/>
      <c r="E295" s="4">
        <v>1</v>
      </c>
      <c r="F295" s="4"/>
      <c r="G295" s="4"/>
      <c r="H295" s="4">
        <v>1</v>
      </c>
      <c r="I295" s="4"/>
      <c r="J295" s="4"/>
      <c r="K295" s="4">
        <v>2</v>
      </c>
      <c r="L295" s="4"/>
      <c r="M295" s="4"/>
      <c r="N295" s="4"/>
      <c r="O295" s="5">
        <f>SUM(Tabela32391011[[#This Row],[jan/23]:[dez/23]])</f>
        <v>4</v>
      </c>
    </row>
    <row r="296" spans="1:15" x14ac:dyDescent="0.25">
      <c r="A296" s="4" t="s">
        <v>655</v>
      </c>
      <c r="B296" s="4" t="s">
        <v>614</v>
      </c>
      <c r="C296" s="4"/>
      <c r="D296" s="4"/>
      <c r="E296" s="4"/>
      <c r="F296" s="4">
        <v>1</v>
      </c>
      <c r="G296" s="4"/>
      <c r="H296" s="4"/>
      <c r="I296" s="4"/>
      <c r="J296" s="4"/>
      <c r="K296" s="4"/>
      <c r="L296" s="4">
        <v>2</v>
      </c>
      <c r="M296" s="4"/>
      <c r="N296" s="4">
        <v>1</v>
      </c>
      <c r="O296" s="5">
        <f>SUM(Tabela32391011[[#This Row],[jan/23]:[dez/23]])</f>
        <v>4</v>
      </c>
    </row>
    <row r="297" spans="1:15" x14ac:dyDescent="0.25">
      <c r="A297" s="4" t="s">
        <v>657</v>
      </c>
      <c r="B297" s="4" t="s">
        <v>824</v>
      </c>
      <c r="C297" s="4">
        <v>1</v>
      </c>
      <c r="D297" s="4">
        <v>1</v>
      </c>
      <c r="E297" s="4"/>
      <c r="F297" s="4"/>
      <c r="G297" s="4"/>
      <c r="H297" s="4">
        <v>1</v>
      </c>
      <c r="I297" s="4">
        <v>1</v>
      </c>
      <c r="J297" s="4"/>
      <c r="K297" s="4"/>
      <c r="L297" s="4"/>
      <c r="M297" s="4"/>
      <c r="N297" s="4"/>
      <c r="O297" s="5">
        <f>SUM(Tabela32391011[[#This Row],[jan/23]:[dez/23]])</f>
        <v>4</v>
      </c>
    </row>
    <row r="298" spans="1:15" x14ac:dyDescent="0.25">
      <c r="A298" s="4" t="s">
        <v>658</v>
      </c>
      <c r="B298" s="4" t="s">
        <v>752</v>
      </c>
      <c r="C298" s="4"/>
      <c r="D298" s="4"/>
      <c r="E298" s="4"/>
      <c r="F298" s="4"/>
      <c r="G298" s="4"/>
      <c r="H298" s="4">
        <v>2</v>
      </c>
      <c r="I298" s="4">
        <v>1</v>
      </c>
      <c r="J298" s="4"/>
      <c r="K298" s="4"/>
      <c r="L298" s="4"/>
      <c r="M298" s="4">
        <v>1</v>
      </c>
      <c r="N298" s="4"/>
      <c r="O298" s="5">
        <f>SUM(Tabela32391011[[#This Row],[jan/23]:[dez/23]])</f>
        <v>4</v>
      </c>
    </row>
    <row r="299" spans="1:15" x14ac:dyDescent="0.25">
      <c r="A299" s="4" t="s">
        <v>660</v>
      </c>
      <c r="B299" s="4" t="s">
        <v>783</v>
      </c>
      <c r="C299" s="4">
        <v>1</v>
      </c>
      <c r="D299" s="4"/>
      <c r="E299" s="4"/>
      <c r="F299" s="4"/>
      <c r="G299" s="4"/>
      <c r="H299" s="4">
        <v>1</v>
      </c>
      <c r="I299" s="4"/>
      <c r="J299" s="4"/>
      <c r="K299" s="4">
        <v>1</v>
      </c>
      <c r="L299" s="4"/>
      <c r="M299" s="4"/>
      <c r="N299" s="4"/>
      <c r="O299" s="5">
        <f>SUM(Tabela32391011[[#This Row],[jan/23]:[dez/23]])</f>
        <v>3</v>
      </c>
    </row>
    <row r="300" spans="1:15" x14ac:dyDescent="0.25">
      <c r="A300" s="4" t="s">
        <v>693</v>
      </c>
      <c r="B300" s="4" t="s">
        <v>394</v>
      </c>
      <c r="C300" s="4"/>
      <c r="D300" s="4"/>
      <c r="E300" s="4"/>
      <c r="F300" s="4"/>
      <c r="G300" s="4"/>
      <c r="H300" s="4"/>
      <c r="I300" s="4"/>
      <c r="J300" s="4"/>
      <c r="K300" s="4"/>
      <c r="L300" s="4">
        <v>3</v>
      </c>
      <c r="M300" s="4"/>
      <c r="N300" s="4"/>
      <c r="O300" s="5">
        <f>SUM(Tabela32391011[[#This Row],[jan/23]:[dez/23]])</f>
        <v>3</v>
      </c>
    </row>
    <row r="301" spans="1:15" x14ac:dyDescent="0.25">
      <c r="A301" s="4" t="s">
        <v>720</v>
      </c>
      <c r="B301" s="4" t="s">
        <v>854</v>
      </c>
      <c r="C301" s="4"/>
      <c r="D301" s="4"/>
      <c r="E301" s="4"/>
      <c r="F301" s="4"/>
      <c r="G301" s="4"/>
      <c r="H301" s="4"/>
      <c r="I301" s="4">
        <v>1</v>
      </c>
      <c r="J301" s="4"/>
      <c r="K301" s="4"/>
      <c r="L301" s="4">
        <v>1</v>
      </c>
      <c r="M301" s="4"/>
      <c r="N301" s="4">
        <v>1</v>
      </c>
      <c r="O301" s="5">
        <f>SUM(Tabela32391011[[#This Row],[jan/23]:[dez/23]])</f>
        <v>3</v>
      </c>
    </row>
    <row r="302" spans="1:15" s="9" customFormat="1" x14ac:dyDescent="0.25">
      <c r="A302" s="10" t="s">
        <v>722</v>
      </c>
      <c r="B302" s="10" t="s">
        <v>687</v>
      </c>
      <c r="C302" s="10"/>
      <c r="D302" s="10"/>
      <c r="E302" s="10"/>
      <c r="F302" s="10">
        <v>1</v>
      </c>
      <c r="G302" s="10"/>
      <c r="H302" s="10"/>
      <c r="I302" s="10"/>
      <c r="J302" s="10"/>
      <c r="K302" s="10"/>
      <c r="L302" s="10">
        <v>1</v>
      </c>
      <c r="M302" s="10"/>
      <c r="N302" s="10"/>
      <c r="O302" s="5">
        <f>SUM(Tabela32391011[[#This Row],[jan/23]:[dez/23]])</f>
        <v>2</v>
      </c>
    </row>
    <row r="303" spans="1:15" s="9" customFormat="1" x14ac:dyDescent="0.25">
      <c r="A303" s="10" t="s">
        <v>723</v>
      </c>
      <c r="B303" s="10" t="s">
        <v>492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>
        <v>2</v>
      </c>
      <c r="M303" s="10"/>
      <c r="N303" s="10"/>
      <c r="O303" s="5">
        <f>SUM(Tabela32391011[[#This Row],[jan/23]:[dez/23]])</f>
        <v>2</v>
      </c>
    </row>
    <row r="304" spans="1:15" s="9" customFormat="1" x14ac:dyDescent="0.25">
      <c r="A304" s="10" t="s">
        <v>725</v>
      </c>
      <c r="B304" s="10" t="s">
        <v>871</v>
      </c>
      <c r="C304" s="10"/>
      <c r="D304" s="10"/>
      <c r="E304" s="10"/>
      <c r="F304" s="10"/>
      <c r="G304" s="10"/>
      <c r="H304" s="10"/>
      <c r="I304" s="10"/>
      <c r="J304" s="10"/>
      <c r="K304" s="10">
        <v>1</v>
      </c>
      <c r="L304" s="10">
        <v>1</v>
      </c>
      <c r="M304" s="10"/>
      <c r="N304" s="10"/>
      <c r="O304" s="5">
        <f>SUM(Tabela32391011[[#This Row],[jan/23]:[dez/23]])</f>
        <v>2</v>
      </c>
    </row>
    <row r="305" spans="1:15" s="9" customFormat="1" x14ac:dyDescent="0.25">
      <c r="A305" s="10" t="s">
        <v>726</v>
      </c>
      <c r="B305" s="10" t="s">
        <v>872</v>
      </c>
      <c r="C305" s="10"/>
      <c r="D305" s="10"/>
      <c r="E305" s="10"/>
      <c r="F305" s="10">
        <v>1</v>
      </c>
      <c r="G305" s="10"/>
      <c r="H305" s="10"/>
      <c r="I305" s="10"/>
      <c r="J305" s="10"/>
      <c r="K305" s="10"/>
      <c r="L305" s="10"/>
      <c r="M305" s="10"/>
      <c r="N305" s="10">
        <v>1</v>
      </c>
      <c r="O305" s="5">
        <f>SUM(Tabela32391011[[#This Row],[jan/23]:[dez/23]])</f>
        <v>2</v>
      </c>
    </row>
    <row r="306" spans="1:15" s="9" customFormat="1" x14ac:dyDescent="0.25">
      <c r="A306" s="10" t="s">
        <v>727</v>
      </c>
      <c r="B306" s="10" t="s">
        <v>755</v>
      </c>
      <c r="C306" s="10"/>
      <c r="D306" s="10">
        <v>1</v>
      </c>
      <c r="E306" s="10">
        <v>1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5">
        <f>SUM(Tabela32391011[[#This Row],[jan/23]:[dez/23]])</f>
        <v>2</v>
      </c>
    </row>
    <row r="307" spans="1:15" s="9" customFormat="1" x14ac:dyDescent="0.25">
      <c r="A307" s="10" t="s">
        <v>768</v>
      </c>
      <c r="B307" s="10" t="s">
        <v>845</v>
      </c>
      <c r="C307" s="10"/>
      <c r="D307" s="10">
        <v>2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5">
        <f>SUM(Tabela32391011[[#This Row],[jan/23]:[dez/23]])</f>
        <v>2</v>
      </c>
    </row>
    <row r="308" spans="1:15" s="9" customFormat="1" x14ac:dyDescent="0.25">
      <c r="A308" s="10" t="s">
        <v>769</v>
      </c>
      <c r="B308" s="10" t="s">
        <v>852</v>
      </c>
      <c r="C308" s="10"/>
      <c r="D308" s="10"/>
      <c r="E308" s="10"/>
      <c r="F308" s="10"/>
      <c r="G308" s="10"/>
      <c r="H308" s="10"/>
      <c r="I308" s="10"/>
      <c r="J308" s="10"/>
      <c r="K308" s="10">
        <v>1</v>
      </c>
      <c r="L308" s="10"/>
      <c r="M308" s="10"/>
      <c r="N308" s="10"/>
      <c r="O308" s="5">
        <f>SUM(Tabela32391011[[#This Row],[jan/23]:[dez/23]])</f>
        <v>1</v>
      </c>
    </row>
    <row r="309" spans="1:15" s="9" customFormat="1" x14ac:dyDescent="0.25">
      <c r="A309" s="10" t="s">
        <v>771</v>
      </c>
      <c r="B309" s="10" t="s">
        <v>873</v>
      </c>
      <c r="C309" s="10"/>
      <c r="D309" s="10"/>
      <c r="E309" s="10">
        <v>1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5">
        <f>SUM(Tabela32391011[[#This Row],[jan/23]:[dez/23]])</f>
        <v>1</v>
      </c>
    </row>
    <row r="310" spans="1:15" s="9" customFormat="1" x14ac:dyDescent="0.25">
      <c r="A310" s="10" t="s">
        <v>773</v>
      </c>
      <c r="B310" s="10" t="s">
        <v>326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>
        <v>1</v>
      </c>
      <c r="M310" s="10"/>
      <c r="N310" s="10"/>
      <c r="O310" s="5">
        <f>SUM(Tabela32391011[[#This Row],[jan/23]:[dez/23]])</f>
        <v>1</v>
      </c>
    </row>
    <row r="311" spans="1:15" s="9" customFormat="1" x14ac:dyDescent="0.25">
      <c r="A311" s="10" t="s">
        <v>775</v>
      </c>
      <c r="B311" s="10" t="s">
        <v>786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>
        <v>1</v>
      </c>
      <c r="O311" s="5">
        <f>SUM(Tabela32391011[[#This Row],[jan/23]:[dez/23]])</f>
        <v>1</v>
      </c>
    </row>
    <row r="312" spans="1:15" s="8" customForma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7"/>
    </row>
    <row r="313" spans="1:15" s="8" customForma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7"/>
    </row>
    <row r="314" spans="1:15" s="8" customForma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7"/>
    </row>
    <row r="315" spans="1:15" s="8" customForma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7"/>
    </row>
    <row r="316" spans="1:15" s="8" customForma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7"/>
    </row>
    <row r="317" spans="1:15" s="8" customForma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7"/>
    </row>
    <row r="318" spans="1:15" s="8" customForma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7"/>
    </row>
    <row r="319" spans="1:15" s="8" customForma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7"/>
    </row>
    <row r="320" spans="1:15" s="8" customForma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7"/>
    </row>
    <row r="321" spans="1:15" s="8" customForma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7"/>
    </row>
    <row r="322" spans="1:15" s="8" customForma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7"/>
    </row>
    <row r="323" spans="1:15" s="8" customForma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7"/>
    </row>
    <row r="324" spans="1:15" s="8" customForma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7"/>
    </row>
    <row r="325" spans="1:15" s="8" customForma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7"/>
    </row>
    <row r="326" spans="1:15" s="8" customForma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7"/>
    </row>
    <row r="327" spans="1:15" s="8" customForma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77B0-5775-4086-BDA0-5CA8932D0474}">
  <dimension ref="A1:O327"/>
  <sheetViews>
    <sheetView workbookViewId="0">
      <selection activeCell="O3" sqref="O2:O323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8.85546875" bestFit="1" customWidth="1"/>
    <col min="4" max="4" width="9" bestFit="1" customWidth="1"/>
    <col min="5" max="5" width="9.5703125" bestFit="1" customWidth="1"/>
    <col min="6" max="6" width="9" bestFit="1" customWidth="1"/>
    <col min="7" max="7" width="9.42578125" bestFit="1" customWidth="1"/>
    <col min="8" max="8" width="9" bestFit="1" customWidth="1"/>
    <col min="9" max="9" width="8.42578125" bestFit="1" customWidth="1"/>
    <col min="10" max="10" width="9.28515625" bestFit="1" customWidth="1"/>
    <col min="11" max="11" width="8.85546875" bestFit="1" customWidth="1"/>
    <col min="13" max="13" width="9.42578125" bestFit="1" customWidth="1"/>
    <col min="14" max="14" width="9.28515625" bestFit="1" customWidth="1"/>
    <col min="15" max="15" width="8.85546875" bestFit="1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3</v>
      </c>
      <c r="C2" s="5">
        <v>13462</v>
      </c>
      <c r="D2" s="5">
        <v>6885</v>
      </c>
      <c r="E2" s="5">
        <v>9548</v>
      </c>
      <c r="F2" s="5">
        <v>8783</v>
      </c>
      <c r="G2" s="5">
        <v>8212</v>
      </c>
      <c r="H2" s="5">
        <v>8871</v>
      </c>
      <c r="I2" s="5">
        <v>10726</v>
      </c>
      <c r="J2" s="5">
        <v>10998</v>
      </c>
      <c r="K2" s="5">
        <v>10212</v>
      </c>
      <c r="L2" s="5">
        <v>11131</v>
      </c>
      <c r="M2" s="5">
        <v>11991</v>
      </c>
      <c r="N2" s="5">
        <v>14215</v>
      </c>
      <c r="O2" s="5">
        <f>SUM(Tabela323910[[#This Row],[jan/23]:[dez/23]])</f>
        <v>125034</v>
      </c>
    </row>
    <row r="3" spans="1:15" x14ac:dyDescent="0.25">
      <c r="A3" s="4" t="s">
        <v>2</v>
      </c>
      <c r="B3" s="4" t="s">
        <v>599</v>
      </c>
      <c r="C3" s="5">
        <v>14432</v>
      </c>
      <c r="D3" s="5">
        <v>9181</v>
      </c>
      <c r="E3" s="5">
        <v>9232</v>
      </c>
      <c r="F3" s="5">
        <v>8841</v>
      </c>
      <c r="G3" s="5">
        <v>10469</v>
      </c>
      <c r="H3" s="5">
        <v>10582</v>
      </c>
      <c r="I3" s="5">
        <v>11312</v>
      </c>
      <c r="J3" s="5">
        <v>9259</v>
      </c>
      <c r="K3" s="5">
        <v>8761</v>
      </c>
      <c r="L3" s="5">
        <v>8128</v>
      </c>
      <c r="M3" s="5">
        <v>9240</v>
      </c>
      <c r="N3" s="5">
        <v>12085</v>
      </c>
      <c r="O3" s="5">
        <f>SUM(Tabela323910[[#This Row],[jan/23]:[dez/23]])</f>
        <v>121522</v>
      </c>
    </row>
    <row r="4" spans="1:15" x14ac:dyDescent="0.25">
      <c r="A4" s="4" t="s">
        <v>4</v>
      </c>
      <c r="B4" s="4" t="s">
        <v>7</v>
      </c>
      <c r="C4" s="5">
        <v>8962</v>
      </c>
      <c r="D4" s="5">
        <v>6492</v>
      </c>
      <c r="E4" s="5">
        <v>9100</v>
      </c>
      <c r="F4" s="5">
        <v>8753</v>
      </c>
      <c r="G4" s="5">
        <v>8848</v>
      </c>
      <c r="H4" s="5">
        <v>9165</v>
      </c>
      <c r="I4" s="5">
        <v>9462</v>
      </c>
      <c r="J4" s="5">
        <v>9168</v>
      </c>
      <c r="K4" s="5">
        <v>8889</v>
      </c>
      <c r="L4" s="5">
        <v>9748</v>
      </c>
      <c r="M4" s="5">
        <v>10583</v>
      </c>
      <c r="N4" s="5">
        <v>10680</v>
      </c>
      <c r="O4" s="5">
        <f>SUM(Tabela323910[[#This Row],[jan/23]:[dez/23]])</f>
        <v>109850</v>
      </c>
    </row>
    <row r="5" spans="1:15" x14ac:dyDescent="0.25">
      <c r="A5" s="4" t="s">
        <v>6</v>
      </c>
      <c r="B5" s="4" t="s">
        <v>1</v>
      </c>
      <c r="C5" s="5">
        <v>11202</v>
      </c>
      <c r="D5" s="5">
        <v>8715</v>
      </c>
      <c r="E5" s="5">
        <v>9946</v>
      </c>
      <c r="F5" s="5">
        <v>8598</v>
      </c>
      <c r="G5" s="5">
        <v>7354</v>
      </c>
      <c r="H5" s="5">
        <v>8679</v>
      </c>
      <c r="I5" s="5">
        <v>8958</v>
      </c>
      <c r="J5" s="5">
        <v>8870</v>
      </c>
      <c r="K5" s="5">
        <v>7116</v>
      </c>
      <c r="L5" s="5">
        <v>6052</v>
      </c>
      <c r="M5" s="5">
        <v>6259</v>
      </c>
      <c r="N5" s="5">
        <v>6492</v>
      </c>
      <c r="O5" s="5">
        <f>SUM(Tabela323910[[#This Row],[jan/23]:[dez/23]])</f>
        <v>98241</v>
      </c>
    </row>
    <row r="6" spans="1:15" x14ac:dyDescent="0.25">
      <c r="A6" s="4" t="s">
        <v>8</v>
      </c>
      <c r="B6" s="4" t="s">
        <v>404</v>
      </c>
      <c r="C6" s="5">
        <v>8229</v>
      </c>
      <c r="D6" s="5">
        <v>6419</v>
      </c>
      <c r="E6" s="5">
        <v>8151</v>
      </c>
      <c r="F6" s="5">
        <v>7845</v>
      </c>
      <c r="G6" s="5">
        <v>8348</v>
      </c>
      <c r="H6" s="5">
        <v>6977</v>
      </c>
      <c r="I6" s="5">
        <v>9281</v>
      </c>
      <c r="J6" s="5">
        <v>6810</v>
      </c>
      <c r="K6" s="5">
        <v>7486</v>
      </c>
      <c r="L6" s="5">
        <v>5880</v>
      </c>
      <c r="M6" s="5">
        <v>7977</v>
      </c>
      <c r="N6" s="5">
        <v>6346</v>
      </c>
      <c r="O6" s="5">
        <f>SUM(Tabela323910[[#This Row],[jan/23]:[dez/23]])</f>
        <v>89749</v>
      </c>
    </row>
    <row r="7" spans="1:15" x14ac:dyDescent="0.25">
      <c r="A7" s="4" t="s">
        <v>10</v>
      </c>
      <c r="B7" s="4" t="s">
        <v>92</v>
      </c>
      <c r="C7" s="5">
        <v>7866</v>
      </c>
      <c r="D7" s="5">
        <v>5864</v>
      </c>
      <c r="E7" s="5">
        <v>8351</v>
      </c>
      <c r="F7" s="5">
        <v>7524</v>
      </c>
      <c r="G7" s="5">
        <v>7988</v>
      </c>
      <c r="H7" s="5">
        <v>7292</v>
      </c>
      <c r="I7" s="5">
        <v>7233</v>
      </c>
      <c r="J7" s="5">
        <v>5854</v>
      </c>
      <c r="K7" s="5">
        <v>5254</v>
      </c>
      <c r="L7" s="5">
        <v>6581</v>
      </c>
      <c r="M7" s="5">
        <v>6427</v>
      </c>
      <c r="N7" s="5">
        <v>6138</v>
      </c>
      <c r="O7" s="5">
        <f>SUM(Tabela323910[[#This Row],[jan/23]:[dez/23]])</f>
        <v>82372</v>
      </c>
    </row>
    <row r="8" spans="1:15" x14ac:dyDescent="0.25">
      <c r="A8" s="4" t="s">
        <v>14</v>
      </c>
      <c r="B8" s="4" t="s">
        <v>372</v>
      </c>
      <c r="C8" s="5">
        <v>8618</v>
      </c>
      <c r="D8" s="5">
        <v>5967</v>
      </c>
      <c r="E8" s="5">
        <v>8687</v>
      </c>
      <c r="F8" s="5">
        <v>8024</v>
      </c>
      <c r="G8" s="5">
        <v>6860</v>
      </c>
      <c r="H8" s="5">
        <v>5722</v>
      </c>
      <c r="I8" s="5">
        <v>6189</v>
      </c>
      <c r="J8" s="5">
        <v>6973</v>
      </c>
      <c r="K8" s="5">
        <v>5775</v>
      </c>
      <c r="L8" s="5">
        <v>5492</v>
      </c>
      <c r="M8" s="5">
        <v>5173</v>
      </c>
      <c r="N8" s="5">
        <v>5880</v>
      </c>
      <c r="O8" s="5">
        <f>SUM(Tabela323910[[#This Row],[jan/23]:[dez/23]])</f>
        <v>79360</v>
      </c>
    </row>
    <row r="9" spans="1:15" x14ac:dyDescent="0.25">
      <c r="A9" s="4" t="s">
        <v>16</v>
      </c>
      <c r="B9" s="4" t="s">
        <v>100</v>
      </c>
      <c r="C9" s="5">
        <v>6224</v>
      </c>
      <c r="D9" s="5">
        <v>3861</v>
      </c>
      <c r="E9" s="5">
        <v>7957</v>
      </c>
      <c r="F9" s="5">
        <v>7238</v>
      </c>
      <c r="G9" s="5">
        <v>6621</v>
      </c>
      <c r="H9" s="5">
        <v>6464</v>
      </c>
      <c r="I9" s="5">
        <v>6861</v>
      </c>
      <c r="J9" s="5">
        <v>6669</v>
      </c>
      <c r="K9" s="5">
        <v>6369</v>
      </c>
      <c r="L9" s="5">
        <v>5302</v>
      </c>
      <c r="M9" s="5">
        <v>6253</v>
      </c>
      <c r="N9" s="5">
        <v>8019</v>
      </c>
      <c r="O9" s="5">
        <f>SUM(Tabela323910[[#This Row],[jan/23]:[dez/23]])</f>
        <v>77838</v>
      </c>
    </row>
    <row r="10" spans="1:15" x14ac:dyDescent="0.25">
      <c r="A10" s="4" t="s">
        <v>18</v>
      </c>
      <c r="B10" s="4" t="s">
        <v>432</v>
      </c>
      <c r="C10" s="5">
        <v>8225</v>
      </c>
      <c r="D10" s="5">
        <v>6608</v>
      </c>
      <c r="E10" s="5">
        <v>6235</v>
      </c>
      <c r="F10" s="5">
        <v>5306</v>
      </c>
      <c r="G10" s="5">
        <v>5795</v>
      </c>
      <c r="H10" s="5">
        <v>6119</v>
      </c>
      <c r="I10" s="5">
        <v>6446</v>
      </c>
      <c r="J10" s="5">
        <v>5751</v>
      </c>
      <c r="K10" s="5">
        <v>5749</v>
      </c>
      <c r="L10" s="5">
        <v>5154</v>
      </c>
      <c r="M10" s="5">
        <v>4411</v>
      </c>
      <c r="N10" s="5">
        <v>4988</v>
      </c>
      <c r="O10" s="5">
        <f>SUM(Tabela323910[[#This Row],[jan/23]:[dez/23]])</f>
        <v>70787</v>
      </c>
    </row>
    <row r="11" spans="1:15" x14ac:dyDescent="0.25">
      <c r="A11" s="4" t="s">
        <v>20</v>
      </c>
      <c r="B11" s="4" t="s">
        <v>593</v>
      </c>
      <c r="C11" s="5">
        <v>7772</v>
      </c>
      <c r="D11" s="5">
        <v>4739</v>
      </c>
      <c r="E11" s="5">
        <v>6260</v>
      </c>
      <c r="F11" s="5">
        <v>5770</v>
      </c>
      <c r="G11" s="5">
        <v>5238</v>
      </c>
      <c r="H11" s="5">
        <v>4663</v>
      </c>
      <c r="I11" s="5">
        <v>5873</v>
      </c>
      <c r="J11" s="5">
        <v>4787</v>
      </c>
      <c r="K11" s="5">
        <v>4714</v>
      </c>
      <c r="L11" s="5">
        <v>6279</v>
      </c>
      <c r="M11" s="5">
        <v>6535</v>
      </c>
      <c r="N11" s="5">
        <v>7275</v>
      </c>
      <c r="O11" s="5">
        <f>SUM(Tabela323910[[#This Row],[jan/23]:[dez/23]])</f>
        <v>69905</v>
      </c>
    </row>
    <row r="12" spans="1:15" x14ac:dyDescent="0.25">
      <c r="A12" s="4" t="s">
        <v>23</v>
      </c>
      <c r="B12" s="4" t="s">
        <v>48</v>
      </c>
      <c r="C12" s="5">
        <v>4021</v>
      </c>
      <c r="D12" s="5">
        <v>4383</v>
      </c>
      <c r="E12" s="5">
        <v>6177</v>
      </c>
      <c r="F12" s="5">
        <v>5760</v>
      </c>
      <c r="G12" s="5">
        <v>5769</v>
      </c>
      <c r="H12" s="5">
        <v>5811</v>
      </c>
      <c r="I12" s="5">
        <v>6148</v>
      </c>
      <c r="J12" s="5">
        <v>5735</v>
      </c>
      <c r="K12" s="5">
        <v>5775</v>
      </c>
      <c r="L12" s="5">
        <v>5632</v>
      </c>
      <c r="M12" s="5">
        <v>5694</v>
      </c>
      <c r="N12" s="5">
        <v>6029</v>
      </c>
      <c r="O12" s="5">
        <f>SUM(Tabela323910[[#This Row],[jan/23]:[dez/23]])</f>
        <v>66934</v>
      </c>
    </row>
    <row r="13" spans="1:15" x14ac:dyDescent="0.25">
      <c r="A13" s="4" t="s">
        <v>25</v>
      </c>
      <c r="B13" s="4" t="s">
        <v>814</v>
      </c>
      <c r="C13" s="5">
        <v>7194</v>
      </c>
      <c r="D13" s="5">
        <v>5016</v>
      </c>
      <c r="E13" s="5">
        <v>5361</v>
      </c>
      <c r="F13" s="5">
        <v>4792</v>
      </c>
      <c r="G13" s="5">
        <v>4559</v>
      </c>
      <c r="H13" s="5">
        <v>5036</v>
      </c>
      <c r="I13" s="5">
        <v>5200</v>
      </c>
      <c r="J13" s="5">
        <v>4990</v>
      </c>
      <c r="K13" s="5">
        <v>4534</v>
      </c>
      <c r="L13" s="5">
        <v>4101</v>
      </c>
      <c r="M13" s="5">
        <v>3958</v>
      </c>
      <c r="N13" s="5">
        <v>4327</v>
      </c>
      <c r="O13" s="5">
        <f>SUM(Tabela323910[[#This Row],[jan/23]:[dez/23]])</f>
        <v>59068</v>
      </c>
    </row>
    <row r="14" spans="1:15" x14ac:dyDescent="0.25">
      <c r="A14" s="4" t="s">
        <v>27</v>
      </c>
      <c r="B14" s="4" t="s">
        <v>44</v>
      </c>
      <c r="C14" s="5">
        <v>5735</v>
      </c>
      <c r="D14" s="5">
        <v>4790</v>
      </c>
      <c r="E14" s="5">
        <v>6328</v>
      </c>
      <c r="F14" s="5">
        <v>5426</v>
      </c>
      <c r="G14" s="5">
        <v>4747</v>
      </c>
      <c r="H14" s="5">
        <v>5364</v>
      </c>
      <c r="I14" s="5">
        <v>5684</v>
      </c>
      <c r="J14" s="5">
        <v>4334</v>
      </c>
      <c r="K14" s="5">
        <v>4357</v>
      </c>
      <c r="L14" s="5">
        <v>3707</v>
      </c>
      <c r="M14" s="5">
        <v>3279</v>
      </c>
      <c r="N14" s="5">
        <v>2779</v>
      </c>
      <c r="O14" s="5">
        <f>SUM(Tabela323910[[#This Row],[jan/23]:[dez/23]])</f>
        <v>56530</v>
      </c>
    </row>
    <row r="15" spans="1:15" x14ac:dyDescent="0.25">
      <c r="A15" s="4" t="s">
        <v>29</v>
      </c>
      <c r="B15" s="4" t="s">
        <v>575</v>
      </c>
      <c r="C15" s="5">
        <v>6780</v>
      </c>
      <c r="D15" s="5">
        <v>5486</v>
      </c>
      <c r="E15" s="5">
        <v>4910</v>
      </c>
      <c r="F15" s="5">
        <v>3725</v>
      </c>
      <c r="G15" s="5">
        <v>3397</v>
      </c>
      <c r="H15" s="5">
        <v>3513</v>
      </c>
      <c r="I15" s="5">
        <v>4011</v>
      </c>
      <c r="J15" s="5">
        <v>5279</v>
      </c>
      <c r="K15" s="5">
        <v>4344</v>
      </c>
      <c r="L15" s="5">
        <v>3768</v>
      </c>
      <c r="M15" s="5">
        <v>4159</v>
      </c>
      <c r="N15" s="5">
        <v>3944</v>
      </c>
      <c r="O15" s="5">
        <f>SUM(Tabela323910[[#This Row],[jan/23]:[dez/23]])</f>
        <v>53316</v>
      </c>
    </row>
    <row r="16" spans="1:15" x14ac:dyDescent="0.25">
      <c r="A16" s="4" t="s">
        <v>31</v>
      </c>
      <c r="B16" s="4" t="s">
        <v>58</v>
      </c>
      <c r="C16" s="5">
        <v>4102</v>
      </c>
      <c r="D16" s="5">
        <v>3355</v>
      </c>
      <c r="E16" s="5">
        <v>5183</v>
      </c>
      <c r="F16" s="5">
        <v>4419</v>
      </c>
      <c r="G16" s="5">
        <v>4484</v>
      </c>
      <c r="H16" s="5">
        <v>4937</v>
      </c>
      <c r="I16" s="5">
        <v>5028</v>
      </c>
      <c r="J16" s="5">
        <v>4541</v>
      </c>
      <c r="K16" s="5">
        <v>4170</v>
      </c>
      <c r="L16" s="5">
        <v>4578</v>
      </c>
      <c r="M16" s="5">
        <v>3310</v>
      </c>
      <c r="N16" s="5">
        <v>4844</v>
      </c>
      <c r="O16" s="5">
        <f>SUM(Tabela323910[[#This Row],[jan/23]:[dez/23]])</f>
        <v>52951</v>
      </c>
    </row>
    <row r="17" spans="1:15" x14ac:dyDescent="0.25">
      <c r="A17" s="4" t="s">
        <v>33</v>
      </c>
      <c r="B17" s="4" t="s">
        <v>34</v>
      </c>
      <c r="C17" s="5"/>
      <c r="D17" s="5"/>
      <c r="E17" s="5">
        <v>2382</v>
      </c>
      <c r="F17" s="5">
        <v>4957</v>
      </c>
      <c r="G17" s="5">
        <v>4997</v>
      </c>
      <c r="H17" s="5">
        <v>5229</v>
      </c>
      <c r="I17" s="5">
        <v>4429</v>
      </c>
      <c r="J17" s="5">
        <v>5435</v>
      </c>
      <c r="K17" s="5">
        <v>5747</v>
      </c>
      <c r="L17" s="5">
        <v>5447</v>
      </c>
      <c r="M17" s="5">
        <v>5990</v>
      </c>
      <c r="N17" s="5">
        <v>6167</v>
      </c>
      <c r="O17" s="5">
        <f>SUM(Tabela323910[[#This Row],[jan/23]:[dez/23]])</f>
        <v>50780</v>
      </c>
    </row>
    <row r="18" spans="1:15" x14ac:dyDescent="0.25">
      <c r="A18" s="4" t="s">
        <v>35</v>
      </c>
      <c r="B18" s="4" t="s">
        <v>519</v>
      </c>
      <c r="C18" s="5">
        <v>5062</v>
      </c>
      <c r="D18" s="5">
        <v>4581</v>
      </c>
      <c r="E18" s="5">
        <v>4752</v>
      </c>
      <c r="F18" s="5">
        <v>3428</v>
      </c>
      <c r="G18" s="5">
        <v>2662</v>
      </c>
      <c r="H18" s="5">
        <v>2782</v>
      </c>
      <c r="I18" s="5">
        <v>2794</v>
      </c>
      <c r="J18" s="5">
        <v>3269</v>
      </c>
      <c r="K18" s="5">
        <v>3512</v>
      </c>
      <c r="L18" s="5">
        <v>3126</v>
      </c>
      <c r="M18" s="5">
        <v>3030</v>
      </c>
      <c r="N18" s="5">
        <v>3243</v>
      </c>
      <c r="O18" s="5">
        <f>SUM(Tabela323910[[#This Row],[jan/23]:[dez/23]])</f>
        <v>42241</v>
      </c>
    </row>
    <row r="19" spans="1:15" x14ac:dyDescent="0.25">
      <c r="A19" s="4" t="s">
        <v>37</v>
      </c>
      <c r="B19" s="4" t="s">
        <v>130</v>
      </c>
      <c r="C19" s="5">
        <v>4739</v>
      </c>
      <c r="D19" s="5">
        <v>3634</v>
      </c>
      <c r="E19" s="5">
        <v>4118</v>
      </c>
      <c r="F19" s="5">
        <v>4251</v>
      </c>
      <c r="G19" s="5">
        <v>3670</v>
      </c>
      <c r="H19" s="5">
        <v>3218</v>
      </c>
      <c r="I19" s="5">
        <v>3185</v>
      </c>
      <c r="J19" s="5">
        <v>2941</v>
      </c>
      <c r="K19" s="5">
        <v>3192</v>
      </c>
      <c r="L19" s="5">
        <v>2572</v>
      </c>
      <c r="M19" s="5">
        <v>3410</v>
      </c>
      <c r="N19" s="5">
        <v>2460</v>
      </c>
      <c r="O19" s="5">
        <f>SUM(Tabela323910[[#This Row],[jan/23]:[dez/23]])</f>
        <v>41390</v>
      </c>
    </row>
    <row r="20" spans="1:15" x14ac:dyDescent="0.25">
      <c r="A20" s="4" t="s">
        <v>39</v>
      </c>
      <c r="B20" s="4" t="s">
        <v>538</v>
      </c>
      <c r="C20" s="5">
        <v>4943</v>
      </c>
      <c r="D20" s="5">
        <v>3738</v>
      </c>
      <c r="E20" s="5">
        <v>3702</v>
      </c>
      <c r="F20" s="5">
        <v>3401</v>
      </c>
      <c r="G20" s="5">
        <v>3909</v>
      </c>
      <c r="H20" s="5">
        <v>3290</v>
      </c>
      <c r="I20" s="5">
        <v>3800</v>
      </c>
      <c r="J20" s="5">
        <v>3345</v>
      </c>
      <c r="K20" s="5">
        <v>2781</v>
      </c>
      <c r="L20" s="5">
        <v>2464</v>
      </c>
      <c r="M20" s="5">
        <v>2205</v>
      </c>
      <c r="N20" s="5">
        <v>2286</v>
      </c>
      <c r="O20" s="5">
        <f>SUM(Tabela323910[[#This Row],[jan/23]:[dez/23]])</f>
        <v>39864</v>
      </c>
    </row>
    <row r="21" spans="1:15" x14ac:dyDescent="0.25">
      <c r="A21" s="4" t="s">
        <v>41</v>
      </c>
      <c r="B21" s="4" t="s">
        <v>30</v>
      </c>
      <c r="C21" s="5"/>
      <c r="D21" s="5">
        <v>19</v>
      </c>
      <c r="E21" s="5">
        <v>66</v>
      </c>
      <c r="F21" s="5">
        <v>575</v>
      </c>
      <c r="G21" s="5">
        <v>2492</v>
      </c>
      <c r="H21" s="5">
        <v>3059</v>
      </c>
      <c r="I21" s="5">
        <v>4028</v>
      </c>
      <c r="J21" s="5">
        <v>4598</v>
      </c>
      <c r="K21" s="5">
        <v>5676</v>
      </c>
      <c r="L21" s="5">
        <v>5623</v>
      </c>
      <c r="M21" s="5">
        <v>6079</v>
      </c>
      <c r="N21" s="5">
        <v>6561</v>
      </c>
      <c r="O21" s="5">
        <f>SUM(Tabela323910[[#This Row],[jan/23]:[dez/23]])</f>
        <v>38776</v>
      </c>
    </row>
    <row r="22" spans="1:15" x14ac:dyDescent="0.25">
      <c r="A22" s="4" t="s">
        <v>43</v>
      </c>
      <c r="B22" s="4" t="s">
        <v>578</v>
      </c>
      <c r="C22" s="5">
        <v>2112</v>
      </c>
      <c r="D22" s="5">
        <v>2253</v>
      </c>
      <c r="E22" s="5">
        <v>3439</v>
      </c>
      <c r="F22" s="5">
        <v>3178</v>
      </c>
      <c r="G22" s="5">
        <v>3188</v>
      </c>
      <c r="H22" s="5">
        <v>3288</v>
      </c>
      <c r="I22" s="5">
        <v>3287</v>
      </c>
      <c r="J22" s="5">
        <v>3166</v>
      </c>
      <c r="K22" s="5">
        <v>2805</v>
      </c>
      <c r="L22" s="5">
        <v>2614</v>
      </c>
      <c r="M22" s="5">
        <v>2674</v>
      </c>
      <c r="N22" s="5">
        <v>3048</v>
      </c>
      <c r="O22" s="5">
        <f>SUM(Tabela323910[[#This Row],[jan/23]:[dez/23]])</f>
        <v>35052</v>
      </c>
    </row>
    <row r="23" spans="1:15" x14ac:dyDescent="0.25">
      <c r="A23" s="4" t="s">
        <v>45</v>
      </c>
      <c r="B23" s="4" t="s">
        <v>66</v>
      </c>
      <c r="C23" s="5">
        <v>2823</v>
      </c>
      <c r="D23" s="5">
        <v>2396</v>
      </c>
      <c r="E23" s="5">
        <v>2657</v>
      </c>
      <c r="F23" s="5">
        <v>2893</v>
      </c>
      <c r="G23" s="5">
        <v>2516</v>
      </c>
      <c r="H23" s="5">
        <v>3482</v>
      </c>
      <c r="I23" s="5">
        <v>3198</v>
      </c>
      <c r="J23" s="5">
        <v>3005</v>
      </c>
      <c r="K23" s="5">
        <v>2698</v>
      </c>
      <c r="L23" s="5">
        <v>3053</v>
      </c>
      <c r="M23" s="5">
        <v>2741</v>
      </c>
      <c r="N23" s="5">
        <v>2737</v>
      </c>
      <c r="O23" s="5">
        <f>SUM(Tabela323910[[#This Row],[jan/23]:[dez/23]])</f>
        <v>34199</v>
      </c>
    </row>
    <row r="24" spans="1:15" x14ac:dyDescent="0.25">
      <c r="A24" s="4" t="s">
        <v>47</v>
      </c>
      <c r="B24" s="4" t="s">
        <v>452</v>
      </c>
      <c r="C24" s="5">
        <v>2762</v>
      </c>
      <c r="D24" s="5">
        <v>2223</v>
      </c>
      <c r="E24" s="5">
        <v>3475</v>
      </c>
      <c r="F24" s="5">
        <v>3909</v>
      </c>
      <c r="G24" s="5">
        <v>3360</v>
      </c>
      <c r="H24" s="5">
        <v>2207</v>
      </c>
      <c r="I24" s="5">
        <v>4133</v>
      </c>
      <c r="J24" s="5">
        <v>2467</v>
      </c>
      <c r="K24" s="5">
        <v>2513</v>
      </c>
      <c r="L24" s="5">
        <v>2311</v>
      </c>
      <c r="M24" s="5">
        <v>2933</v>
      </c>
      <c r="N24" s="5">
        <v>1665</v>
      </c>
      <c r="O24" s="5">
        <f>SUM(Tabela323910[[#This Row],[jan/23]:[dez/23]])</f>
        <v>33958</v>
      </c>
    </row>
    <row r="25" spans="1:15" x14ac:dyDescent="0.25">
      <c r="A25" s="4" t="s">
        <v>49</v>
      </c>
      <c r="B25" s="4" t="s">
        <v>454</v>
      </c>
      <c r="C25" s="5">
        <v>3670</v>
      </c>
      <c r="D25" s="5">
        <v>2523</v>
      </c>
      <c r="E25" s="5">
        <v>3265</v>
      </c>
      <c r="F25" s="5">
        <v>2920</v>
      </c>
      <c r="G25" s="5">
        <v>2824</v>
      </c>
      <c r="H25" s="5">
        <v>2628</v>
      </c>
      <c r="I25" s="5">
        <v>2890</v>
      </c>
      <c r="J25" s="5">
        <v>2965</v>
      </c>
      <c r="K25" s="5">
        <v>2655</v>
      </c>
      <c r="L25" s="5">
        <v>2333</v>
      </c>
      <c r="M25" s="5">
        <v>2740</v>
      </c>
      <c r="N25" s="5">
        <v>2274</v>
      </c>
      <c r="O25" s="5">
        <f>SUM(Tabela323910[[#This Row],[jan/23]:[dez/23]])</f>
        <v>33687</v>
      </c>
    </row>
    <row r="26" spans="1:15" x14ac:dyDescent="0.25">
      <c r="A26" s="4" t="s">
        <v>51</v>
      </c>
      <c r="B26" s="4" t="s">
        <v>56</v>
      </c>
      <c r="C26" s="5">
        <v>3415</v>
      </c>
      <c r="D26" s="5">
        <v>2481</v>
      </c>
      <c r="E26" s="5">
        <v>3354</v>
      </c>
      <c r="F26" s="5">
        <v>2834</v>
      </c>
      <c r="G26" s="5">
        <v>4149</v>
      </c>
      <c r="H26" s="5">
        <v>2786</v>
      </c>
      <c r="I26" s="5">
        <v>2476</v>
      </c>
      <c r="J26" s="5">
        <v>1676</v>
      </c>
      <c r="K26" s="5">
        <v>2385</v>
      </c>
      <c r="L26" s="5">
        <v>2452</v>
      </c>
      <c r="M26" s="5">
        <v>2236</v>
      </c>
      <c r="N26" s="5">
        <v>2841</v>
      </c>
      <c r="O26" s="5">
        <f>SUM(Tabela323910[[#This Row],[jan/23]:[dez/23]])</f>
        <v>33085</v>
      </c>
    </row>
    <row r="27" spans="1:15" x14ac:dyDescent="0.25">
      <c r="A27" s="4" t="s">
        <v>53</v>
      </c>
      <c r="B27" s="4" t="s">
        <v>38</v>
      </c>
      <c r="C27" s="5">
        <v>3654</v>
      </c>
      <c r="D27" s="5">
        <v>2074</v>
      </c>
      <c r="E27" s="5">
        <v>3096</v>
      </c>
      <c r="F27" s="5">
        <v>3030</v>
      </c>
      <c r="G27" s="5">
        <v>2303</v>
      </c>
      <c r="H27" s="5">
        <v>2447</v>
      </c>
      <c r="I27" s="5">
        <v>3149</v>
      </c>
      <c r="J27" s="5">
        <v>2644</v>
      </c>
      <c r="K27" s="5">
        <v>2747</v>
      </c>
      <c r="L27" s="5">
        <v>2168</v>
      </c>
      <c r="M27" s="5">
        <v>2102</v>
      </c>
      <c r="N27" s="5">
        <v>3270</v>
      </c>
      <c r="O27" s="5">
        <f>SUM(Tabela323910[[#This Row],[jan/23]:[dez/23]])</f>
        <v>32684</v>
      </c>
    </row>
    <row r="28" spans="1:15" x14ac:dyDescent="0.25">
      <c r="A28" s="4" t="s">
        <v>55</v>
      </c>
      <c r="B28" s="4" t="s">
        <v>232</v>
      </c>
      <c r="C28" s="5">
        <v>2347</v>
      </c>
      <c r="D28" s="5">
        <v>2408</v>
      </c>
      <c r="E28" s="5">
        <v>2743</v>
      </c>
      <c r="F28" s="5">
        <v>2724</v>
      </c>
      <c r="G28" s="5">
        <v>3244</v>
      </c>
      <c r="H28" s="5">
        <v>3722</v>
      </c>
      <c r="I28" s="5">
        <v>3490</v>
      </c>
      <c r="J28" s="5">
        <v>2573</v>
      </c>
      <c r="K28" s="5">
        <v>2312</v>
      </c>
      <c r="L28" s="5">
        <v>1837</v>
      </c>
      <c r="M28" s="5">
        <v>1756</v>
      </c>
      <c r="N28" s="5">
        <v>1945</v>
      </c>
      <c r="O28" s="5">
        <f>SUM(Tabela323910[[#This Row],[jan/23]:[dez/23]])</f>
        <v>31101</v>
      </c>
    </row>
    <row r="29" spans="1:15" x14ac:dyDescent="0.25">
      <c r="A29" s="4" t="s">
        <v>57</v>
      </c>
      <c r="B29" s="4" t="s">
        <v>112</v>
      </c>
      <c r="C29" s="5">
        <v>2802</v>
      </c>
      <c r="D29" s="5">
        <v>2235</v>
      </c>
      <c r="E29" s="5">
        <v>3724</v>
      </c>
      <c r="F29" s="5">
        <v>2467</v>
      </c>
      <c r="G29" s="5">
        <v>2794</v>
      </c>
      <c r="H29" s="5">
        <v>2985</v>
      </c>
      <c r="I29" s="5">
        <v>2648</v>
      </c>
      <c r="J29" s="5">
        <v>2674</v>
      </c>
      <c r="K29" s="5">
        <v>2240</v>
      </c>
      <c r="L29" s="5">
        <v>2048</v>
      </c>
      <c r="M29" s="5">
        <v>2176</v>
      </c>
      <c r="N29" s="5">
        <v>2250</v>
      </c>
      <c r="O29" s="5">
        <f>SUM(Tabela323910[[#This Row],[jan/23]:[dez/23]])</f>
        <v>31043</v>
      </c>
    </row>
    <row r="30" spans="1:15" x14ac:dyDescent="0.25">
      <c r="A30" s="4" t="s">
        <v>59</v>
      </c>
      <c r="B30" s="4" t="s">
        <v>793</v>
      </c>
      <c r="C30" s="5">
        <v>4404</v>
      </c>
      <c r="D30" s="5">
        <v>2937</v>
      </c>
      <c r="E30" s="5">
        <v>3540</v>
      </c>
      <c r="F30" s="5">
        <v>2859</v>
      </c>
      <c r="G30" s="5">
        <v>2169</v>
      </c>
      <c r="H30" s="5">
        <v>2225</v>
      </c>
      <c r="I30" s="5">
        <v>2539</v>
      </c>
      <c r="J30" s="5">
        <v>1973</v>
      </c>
      <c r="K30" s="5">
        <v>1943</v>
      </c>
      <c r="L30" s="5">
        <v>1518</v>
      </c>
      <c r="M30" s="5">
        <v>1950</v>
      </c>
      <c r="N30" s="5">
        <v>2910</v>
      </c>
      <c r="O30" s="5">
        <f>SUM(Tabela323910[[#This Row],[jan/23]:[dez/23]])</f>
        <v>30967</v>
      </c>
    </row>
    <row r="31" spans="1:15" x14ac:dyDescent="0.25">
      <c r="A31" s="4" t="s">
        <v>61</v>
      </c>
      <c r="B31" s="4" t="s">
        <v>70</v>
      </c>
      <c r="C31" s="5">
        <v>3337</v>
      </c>
      <c r="D31" s="5">
        <v>1740</v>
      </c>
      <c r="E31" s="5">
        <v>2104</v>
      </c>
      <c r="F31" s="5">
        <v>2699</v>
      </c>
      <c r="G31" s="5">
        <v>2266</v>
      </c>
      <c r="H31" s="5">
        <v>2338</v>
      </c>
      <c r="I31" s="5">
        <v>1865</v>
      </c>
      <c r="J31" s="5">
        <v>1785</v>
      </c>
      <c r="K31" s="5">
        <v>1806</v>
      </c>
      <c r="L31" s="5">
        <v>2553</v>
      </c>
      <c r="M31" s="5">
        <v>2411</v>
      </c>
      <c r="N31" s="5">
        <v>2351</v>
      </c>
      <c r="O31" s="5">
        <f>SUM(Tabela323910[[#This Row],[jan/23]:[dez/23]])</f>
        <v>27255</v>
      </c>
    </row>
    <row r="32" spans="1:15" x14ac:dyDescent="0.25">
      <c r="A32" s="4" t="s">
        <v>63</v>
      </c>
      <c r="B32" s="4" t="s">
        <v>82</v>
      </c>
      <c r="C32" s="5">
        <v>2576</v>
      </c>
      <c r="D32" s="5">
        <v>2727</v>
      </c>
      <c r="E32" s="5">
        <v>3139</v>
      </c>
      <c r="F32" s="5">
        <v>2553</v>
      </c>
      <c r="G32" s="5">
        <v>2112</v>
      </c>
      <c r="H32" s="5">
        <v>1894</v>
      </c>
      <c r="I32" s="5">
        <v>1276</v>
      </c>
      <c r="J32" s="5">
        <v>1526</v>
      </c>
      <c r="K32" s="5">
        <v>1930</v>
      </c>
      <c r="L32" s="5">
        <v>1795</v>
      </c>
      <c r="M32" s="5">
        <v>2171</v>
      </c>
      <c r="N32" s="5">
        <v>2547</v>
      </c>
      <c r="O32" s="5">
        <f>SUM(Tabela323910[[#This Row],[jan/23]:[dez/23]])</f>
        <v>26246</v>
      </c>
    </row>
    <row r="33" spans="1:15" x14ac:dyDescent="0.25">
      <c r="A33" s="4" t="s">
        <v>65</v>
      </c>
      <c r="B33" s="4" t="s">
        <v>576</v>
      </c>
      <c r="C33" s="5">
        <v>1308</v>
      </c>
      <c r="D33" s="5">
        <v>1646</v>
      </c>
      <c r="E33" s="5">
        <v>2510</v>
      </c>
      <c r="F33" s="5">
        <v>2269</v>
      </c>
      <c r="G33" s="5">
        <v>2340</v>
      </c>
      <c r="H33" s="5">
        <v>2433</v>
      </c>
      <c r="I33" s="5">
        <v>2538</v>
      </c>
      <c r="J33" s="5">
        <v>2269</v>
      </c>
      <c r="K33" s="5">
        <v>2063</v>
      </c>
      <c r="L33" s="5">
        <v>2068</v>
      </c>
      <c r="M33" s="5">
        <v>2159</v>
      </c>
      <c r="N33" s="5">
        <v>2286</v>
      </c>
      <c r="O33" s="5">
        <f>SUM(Tabela323910[[#This Row],[jan/23]:[dez/23]])</f>
        <v>25889</v>
      </c>
    </row>
    <row r="34" spans="1:15" x14ac:dyDescent="0.25">
      <c r="A34" s="4" t="s">
        <v>67</v>
      </c>
      <c r="B34" s="4" t="s">
        <v>52</v>
      </c>
      <c r="C34" s="5">
        <v>3070</v>
      </c>
      <c r="D34" s="5">
        <v>2259</v>
      </c>
      <c r="E34" s="5">
        <v>2671</v>
      </c>
      <c r="F34" s="5">
        <v>2584</v>
      </c>
      <c r="G34" s="5">
        <v>1870</v>
      </c>
      <c r="H34" s="5">
        <v>1535</v>
      </c>
      <c r="I34" s="5">
        <v>2709</v>
      </c>
      <c r="J34" s="5">
        <v>1427</v>
      </c>
      <c r="K34" s="5">
        <v>1542</v>
      </c>
      <c r="L34" s="5">
        <v>1635</v>
      </c>
      <c r="M34" s="5">
        <v>1246</v>
      </c>
      <c r="N34" s="5">
        <v>1028</v>
      </c>
      <c r="O34" s="5">
        <f>SUM(Tabela323910[[#This Row],[jan/23]:[dez/23]])</f>
        <v>23576</v>
      </c>
    </row>
    <row r="35" spans="1:15" x14ac:dyDescent="0.25">
      <c r="A35" s="4" t="s">
        <v>69</v>
      </c>
      <c r="B35" s="4" t="s">
        <v>604</v>
      </c>
      <c r="C35" s="5">
        <v>3258</v>
      </c>
      <c r="D35" s="5">
        <v>1679</v>
      </c>
      <c r="E35" s="5">
        <v>2158</v>
      </c>
      <c r="F35" s="5">
        <v>2158</v>
      </c>
      <c r="G35" s="5">
        <v>1924</v>
      </c>
      <c r="H35" s="5">
        <v>1924</v>
      </c>
      <c r="I35" s="5">
        <v>1716</v>
      </c>
      <c r="J35" s="5">
        <v>1465</v>
      </c>
      <c r="K35" s="5">
        <v>1430</v>
      </c>
      <c r="L35" s="5">
        <v>1521</v>
      </c>
      <c r="M35" s="5">
        <v>1555</v>
      </c>
      <c r="N35" s="5">
        <v>2169</v>
      </c>
      <c r="O35" s="5">
        <f>SUM(Tabela323910[[#This Row],[jan/23]:[dez/23]])</f>
        <v>22957</v>
      </c>
    </row>
    <row r="36" spans="1:15" x14ac:dyDescent="0.25">
      <c r="A36" s="4" t="s">
        <v>71</v>
      </c>
      <c r="B36" s="4" t="s">
        <v>584</v>
      </c>
      <c r="C36" s="5">
        <v>2670</v>
      </c>
      <c r="D36" s="5">
        <v>1584</v>
      </c>
      <c r="E36" s="5">
        <v>2693</v>
      </c>
      <c r="F36" s="5">
        <v>1654</v>
      </c>
      <c r="G36" s="5">
        <v>1707</v>
      </c>
      <c r="H36" s="5">
        <v>1850</v>
      </c>
      <c r="I36" s="5">
        <v>2047</v>
      </c>
      <c r="J36" s="5">
        <v>1818</v>
      </c>
      <c r="K36" s="5">
        <v>2240</v>
      </c>
      <c r="L36" s="5">
        <v>1544</v>
      </c>
      <c r="M36" s="5">
        <v>1292</v>
      </c>
      <c r="N36" s="5">
        <v>1841</v>
      </c>
      <c r="O36" s="5">
        <f>SUM(Tabela323910[[#This Row],[jan/23]:[dez/23]])</f>
        <v>22940</v>
      </c>
    </row>
    <row r="37" spans="1:15" x14ac:dyDescent="0.25">
      <c r="A37" s="4" t="s">
        <v>73</v>
      </c>
      <c r="B37" s="4" t="s">
        <v>802</v>
      </c>
      <c r="C37" s="5">
        <v>4854</v>
      </c>
      <c r="D37" s="5">
        <v>2657</v>
      </c>
      <c r="E37" s="5">
        <v>3321</v>
      </c>
      <c r="F37" s="5">
        <v>3346</v>
      </c>
      <c r="G37" s="5">
        <v>2123</v>
      </c>
      <c r="H37" s="5">
        <v>873</v>
      </c>
      <c r="I37" s="5">
        <v>326</v>
      </c>
      <c r="J37" s="5">
        <v>140</v>
      </c>
      <c r="K37" s="5">
        <v>71</v>
      </c>
      <c r="L37" s="5">
        <v>33</v>
      </c>
      <c r="M37" s="5">
        <v>48</v>
      </c>
      <c r="N37" s="5"/>
      <c r="O37" s="5">
        <f>SUM(Tabela323910[[#This Row],[jan/23]:[dez/23]])</f>
        <v>17792</v>
      </c>
    </row>
    <row r="38" spans="1:15" x14ac:dyDescent="0.25">
      <c r="A38" s="4" t="s">
        <v>75</v>
      </c>
      <c r="B38" s="4" t="s">
        <v>98</v>
      </c>
      <c r="C38" s="5">
        <v>982</v>
      </c>
      <c r="D38" s="5">
        <v>188</v>
      </c>
      <c r="E38" s="5">
        <v>240</v>
      </c>
      <c r="F38" s="5">
        <v>1313</v>
      </c>
      <c r="G38" s="5">
        <v>1461</v>
      </c>
      <c r="H38" s="5">
        <v>1899</v>
      </c>
      <c r="I38" s="5">
        <v>1972</v>
      </c>
      <c r="J38" s="5">
        <v>1827</v>
      </c>
      <c r="K38" s="5">
        <v>1873</v>
      </c>
      <c r="L38" s="5">
        <v>1322</v>
      </c>
      <c r="M38" s="5">
        <v>1725</v>
      </c>
      <c r="N38" s="5">
        <v>2610</v>
      </c>
      <c r="O38" s="5">
        <f>SUM(Tabela323910[[#This Row],[jan/23]:[dez/23]])</f>
        <v>17412</v>
      </c>
    </row>
    <row r="39" spans="1:15" x14ac:dyDescent="0.25">
      <c r="A39" s="4" t="s">
        <v>77</v>
      </c>
      <c r="B39" s="4" t="s">
        <v>60</v>
      </c>
      <c r="C39" s="5">
        <v>1946</v>
      </c>
      <c r="D39" s="5">
        <v>1184</v>
      </c>
      <c r="E39" s="5">
        <v>1395</v>
      </c>
      <c r="F39" s="5">
        <v>1262</v>
      </c>
      <c r="G39" s="5">
        <v>1232</v>
      </c>
      <c r="H39" s="5">
        <v>1633</v>
      </c>
      <c r="I39" s="5">
        <v>1627</v>
      </c>
      <c r="J39" s="5">
        <v>1509</v>
      </c>
      <c r="K39" s="5">
        <v>1320</v>
      </c>
      <c r="L39" s="5">
        <v>1153</v>
      </c>
      <c r="M39" s="5">
        <v>1286</v>
      </c>
      <c r="N39" s="5">
        <v>1485</v>
      </c>
      <c r="O39" s="5">
        <f>SUM(Tabela323910[[#This Row],[jan/23]:[dez/23]])</f>
        <v>17032</v>
      </c>
    </row>
    <row r="40" spans="1:15" x14ac:dyDescent="0.25">
      <c r="A40" s="4" t="s">
        <v>79</v>
      </c>
      <c r="B40" s="4" t="s">
        <v>74</v>
      </c>
      <c r="C40" s="5">
        <v>1836</v>
      </c>
      <c r="D40" s="5">
        <v>1476</v>
      </c>
      <c r="E40" s="5">
        <v>1701</v>
      </c>
      <c r="F40" s="5">
        <v>1672</v>
      </c>
      <c r="G40" s="5">
        <v>1587</v>
      </c>
      <c r="H40" s="5">
        <v>1396</v>
      </c>
      <c r="I40" s="5">
        <v>1763</v>
      </c>
      <c r="J40" s="5">
        <v>1276</v>
      </c>
      <c r="K40" s="5">
        <v>1090</v>
      </c>
      <c r="L40" s="5">
        <v>817</v>
      </c>
      <c r="M40" s="5">
        <v>1004</v>
      </c>
      <c r="N40" s="5">
        <v>1215</v>
      </c>
      <c r="O40" s="5">
        <f>SUM(Tabela323910[[#This Row],[jan/23]:[dez/23]])</f>
        <v>16833</v>
      </c>
    </row>
    <row r="41" spans="1:15" x14ac:dyDescent="0.25">
      <c r="A41" s="4" t="s">
        <v>81</v>
      </c>
      <c r="B41" s="4" t="s">
        <v>656</v>
      </c>
      <c r="C41" s="5">
        <v>1747</v>
      </c>
      <c r="D41" s="5">
        <v>1295</v>
      </c>
      <c r="E41" s="5">
        <v>1267</v>
      </c>
      <c r="F41" s="5">
        <v>1497</v>
      </c>
      <c r="G41" s="5">
        <v>1327</v>
      </c>
      <c r="H41" s="5">
        <v>1308</v>
      </c>
      <c r="I41" s="5">
        <v>1344</v>
      </c>
      <c r="J41" s="5">
        <v>1375</v>
      </c>
      <c r="K41" s="5">
        <v>1295</v>
      </c>
      <c r="L41" s="5">
        <v>1265</v>
      </c>
      <c r="M41" s="5">
        <v>1360</v>
      </c>
      <c r="N41" s="5">
        <v>1303</v>
      </c>
      <c r="O41" s="5">
        <f>SUM(Tabela323910[[#This Row],[jan/23]:[dez/23]])</f>
        <v>16383</v>
      </c>
    </row>
    <row r="42" spans="1:15" x14ac:dyDescent="0.25">
      <c r="A42" s="4" t="s">
        <v>83</v>
      </c>
      <c r="B42" s="4" t="s">
        <v>72</v>
      </c>
      <c r="C42" s="5">
        <v>1511</v>
      </c>
      <c r="D42" s="5">
        <v>1438</v>
      </c>
      <c r="E42" s="5">
        <v>1458</v>
      </c>
      <c r="F42" s="5">
        <v>1083</v>
      </c>
      <c r="G42" s="5">
        <v>1299</v>
      </c>
      <c r="H42" s="5">
        <v>1298</v>
      </c>
      <c r="I42" s="5">
        <v>1300</v>
      </c>
      <c r="J42" s="5">
        <v>1283</v>
      </c>
      <c r="K42" s="5">
        <v>997</v>
      </c>
      <c r="L42" s="5">
        <v>1075</v>
      </c>
      <c r="M42" s="5">
        <v>972</v>
      </c>
      <c r="N42" s="5">
        <v>1269</v>
      </c>
      <c r="O42" s="5">
        <f>SUM(Tabela323910[[#This Row],[jan/23]:[dez/23]])</f>
        <v>14983</v>
      </c>
    </row>
    <row r="43" spans="1:15" x14ac:dyDescent="0.25">
      <c r="A43" s="4" t="s">
        <v>85</v>
      </c>
      <c r="B43" s="4" t="s">
        <v>535</v>
      </c>
      <c r="C43" s="5">
        <v>1354</v>
      </c>
      <c r="D43" s="5">
        <v>1129</v>
      </c>
      <c r="E43" s="5">
        <v>1256</v>
      </c>
      <c r="F43" s="5">
        <v>1202</v>
      </c>
      <c r="G43" s="5">
        <v>1212</v>
      </c>
      <c r="H43" s="5">
        <v>1369</v>
      </c>
      <c r="I43" s="5">
        <v>1582</v>
      </c>
      <c r="J43" s="5">
        <v>1863</v>
      </c>
      <c r="K43" s="5">
        <v>1310</v>
      </c>
      <c r="L43" s="5">
        <v>911</v>
      </c>
      <c r="M43" s="5">
        <v>859</v>
      </c>
      <c r="N43" s="5">
        <v>866</v>
      </c>
      <c r="O43" s="5">
        <f>SUM(Tabela323910[[#This Row],[jan/23]:[dez/23]])</f>
        <v>14913</v>
      </c>
    </row>
    <row r="44" spans="1:15" x14ac:dyDescent="0.25">
      <c r="A44" s="4" t="s">
        <v>87</v>
      </c>
      <c r="B44" s="4" t="s">
        <v>792</v>
      </c>
      <c r="C44" s="5">
        <v>1810</v>
      </c>
      <c r="D44" s="5">
        <v>1438</v>
      </c>
      <c r="E44" s="5">
        <v>1778</v>
      </c>
      <c r="F44" s="5">
        <v>1161</v>
      </c>
      <c r="G44" s="5">
        <v>994</v>
      </c>
      <c r="H44" s="5">
        <v>998</v>
      </c>
      <c r="I44" s="5">
        <v>1237</v>
      </c>
      <c r="J44" s="5">
        <v>1335</v>
      </c>
      <c r="K44" s="5">
        <v>1246</v>
      </c>
      <c r="L44" s="5">
        <v>1179</v>
      </c>
      <c r="M44" s="5">
        <v>800</v>
      </c>
      <c r="N44" s="5">
        <v>840</v>
      </c>
      <c r="O44" s="5">
        <f>SUM(Tabela323910[[#This Row],[jan/23]:[dez/23]])</f>
        <v>14816</v>
      </c>
    </row>
    <row r="45" spans="1:15" x14ac:dyDescent="0.25">
      <c r="A45" s="4" t="s">
        <v>89</v>
      </c>
      <c r="B45" s="4" t="s">
        <v>398</v>
      </c>
      <c r="C45" s="5">
        <v>1234</v>
      </c>
      <c r="D45" s="5">
        <v>851</v>
      </c>
      <c r="E45" s="5">
        <v>1159</v>
      </c>
      <c r="F45" s="5">
        <v>1723</v>
      </c>
      <c r="G45" s="5">
        <v>1574</v>
      </c>
      <c r="H45" s="5">
        <v>1595</v>
      </c>
      <c r="I45" s="5">
        <v>1681</v>
      </c>
      <c r="J45" s="5">
        <v>1055</v>
      </c>
      <c r="K45" s="5">
        <v>766</v>
      </c>
      <c r="L45" s="5">
        <v>877</v>
      </c>
      <c r="M45" s="5">
        <v>1064</v>
      </c>
      <c r="N45" s="5">
        <v>1079</v>
      </c>
      <c r="O45" s="5">
        <f>SUM(Tabela323910[[#This Row],[jan/23]:[dez/23]])</f>
        <v>14658</v>
      </c>
    </row>
    <row r="46" spans="1:15" x14ac:dyDescent="0.25">
      <c r="A46" s="4" t="s">
        <v>91</v>
      </c>
      <c r="B46" s="4" t="s">
        <v>88</v>
      </c>
      <c r="C46" s="5">
        <v>1749</v>
      </c>
      <c r="D46" s="5">
        <v>1115</v>
      </c>
      <c r="E46" s="5">
        <v>1509</v>
      </c>
      <c r="F46" s="5">
        <v>1214</v>
      </c>
      <c r="G46" s="5">
        <v>1207</v>
      </c>
      <c r="H46" s="5">
        <v>1077</v>
      </c>
      <c r="I46" s="5">
        <v>1389</v>
      </c>
      <c r="J46" s="5">
        <v>1130</v>
      </c>
      <c r="K46" s="5">
        <v>1154</v>
      </c>
      <c r="L46" s="5">
        <v>976</v>
      </c>
      <c r="M46" s="5">
        <v>854</v>
      </c>
      <c r="N46" s="5">
        <v>1042</v>
      </c>
      <c r="O46" s="5">
        <f>SUM(Tabela323910[[#This Row],[jan/23]:[dez/23]])</f>
        <v>14416</v>
      </c>
    </row>
    <row r="47" spans="1:15" x14ac:dyDescent="0.25">
      <c r="A47" s="4" t="s">
        <v>93</v>
      </c>
      <c r="B47" s="4" t="s">
        <v>54</v>
      </c>
      <c r="C47" s="5">
        <v>2026</v>
      </c>
      <c r="D47" s="5">
        <v>1366</v>
      </c>
      <c r="E47" s="5">
        <v>1359</v>
      </c>
      <c r="F47" s="5">
        <v>1053</v>
      </c>
      <c r="G47" s="5">
        <v>1013</v>
      </c>
      <c r="H47" s="5">
        <v>1043</v>
      </c>
      <c r="I47" s="5">
        <v>1232</v>
      </c>
      <c r="J47" s="5">
        <v>969</v>
      </c>
      <c r="K47" s="5">
        <v>808</v>
      </c>
      <c r="L47" s="5">
        <v>684</v>
      </c>
      <c r="M47" s="5">
        <v>789</v>
      </c>
      <c r="N47" s="5">
        <v>992</v>
      </c>
      <c r="O47" s="5">
        <f>SUM(Tabela323910[[#This Row],[jan/23]:[dez/23]])</f>
        <v>13334</v>
      </c>
    </row>
    <row r="48" spans="1:15" x14ac:dyDescent="0.25">
      <c r="A48" s="4" t="s">
        <v>95</v>
      </c>
      <c r="B48" s="4" t="s">
        <v>116</v>
      </c>
      <c r="C48" s="5">
        <v>1510</v>
      </c>
      <c r="D48" s="5">
        <v>948</v>
      </c>
      <c r="E48" s="5">
        <v>1209</v>
      </c>
      <c r="F48" s="5">
        <v>1163</v>
      </c>
      <c r="G48" s="5">
        <v>1179</v>
      </c>
      <c r="H48" s="5">
        <v>1070</v>
      </c>
      <c r="I48" s="5">
        <v>979</v>
      </c>
      <c r="J48" s="5">
        <v>996</v>
      </c>
      <c r="K48" s="5">
        <v>768</v>
      </c>
      <c r="L48" s="5">
        <v>1014</v>
      </c>
      <c r="M48" s="5">
        <v>695</v>
      </c>
      <c r="N48" s="5">
        <v>962</v>
      </c>
      <c r="O48" s="5">
        <f>SUM(Tabela323910[[#This Row],[jan/23]:[dez/23]])</f>
        <v>12493</v>
      </c>
    </row>
    <row r="49" spans="1:15" x14ac:dyDescent="0.25">
      <c r="A49" s="4" t="s">
        <v>97</v>
      </c>
      <c r="B49" s="4" t="s">
        <v>104</v>
      </c>
      <c r="C49" s="5">
        <v>1228</v>
      </c>
      <c r="D49" s="5">
        <v>845</v>
      </c>
      <c r="E49" s="5">
        <v>1314</v>
      </c>
      <c r="F49" s="5">
        <v>1053</v>
      </c>
      <c r="G49" s="5">
        <v>945</v>
      </c>
      <c r="H49" s="5">
        <v>928</v>
      </c>
      <c r="I49" s="5">
        <v>988</v>
      </c>
      <c r="J49" s="5">
        <v>1079</v>
      </c>
      <c r="K49" s="5">
        <v>1008</v>
      </c>
      <c r="L49" s="5">
        <v>936</v>
      </c>
      <c r="M49" s="5">
        <v>818</v>
      </c>
      <c r="N49" s="5">
        <v>993</v>
      </c>
      <c r="O49" s="5">
        <f>SUM(Tabela323910[[#This Row],[jan/23]:[dez/23]])</f>
        <v>12135</v>
      </c>
    </row>
    <row r="50" spans="1:15" x14ac:dyDescent="0.25">
      <c r="A50" s="4" t="s">
        <v>99</v>
      </c>
      <c r="B50" s="4" t="s">
        <v>178</v>
      </c>
      <c r="C50" s="5">
        <v>843</v>
      </c>
      <c r="D50" s="5">
        <v>796</v>
      </c>
      <c r="E50" s="5">
        <v>1580</v>
      </c>
      <c r="F50" s="5">
        <v>1157</v>
      </c>
      <c r="G50" s="5">
        <v>902</v>
      </c>
      <c r="H50" s="5">
        <v>829</v>
      </c>
      <c r="I50" s="5">
        <v>828</v>
      </c>
      <c r="J50" s="5">
        <v>1034</v>
      </c>
      <c r="K50" s="5">
        <v>1051</v>
      </c>
      <c r="L50" s="5">
        <v>1134</v>
      </c>
      <c r="M50" s="5">
        <v>724</v>
      </c>
      <c r="N50" s="5">
        <v>635</v>
      </c>
      <c r="O50" s="5">
        <f>SUM(Tabela323910[[#This Row],[jan/23]:[dez/23]])</f>
        <v>11513</v>
      </c>
    </row>
    <row r="51" spans="1:15" x14ac:dyDescent="0.25">
      <c r="A51" s="4" t="s">
        <v>101</v>
      </c>
      <c r="B51" s="4" t="s">
        <v>700</v>
      </c>
      <c r="C51" s="5">
        <v>1579</v>
      </c>
      <c r="D51" s="5">
        <v>1138</v>
      </c>
      <c r="E51" s="5">
        <v>1006</v>
      </c>
      <c r="F51" s="5">
        <v>756</v>
      </c>
      <c r="G51" s="5">
        <v>827</v>
      </c>
      <c r="H51" s="5">
        <v>1216</v>
      </c>
      <c r="I51" s="5">
        <v>1219</v>
      </c>
      <c r="J51" s="5">
        <v>613</v>
      </c>
      <c r="K51" s="5">
        <v>637</v>
      </c>
      <c r="L51" s="5">
        <v>607</v>
      </c>
      <c r="M51" s="5">
        <v>678</v>
      </c>
      <c r="N51" s="5">
        <v>959</v>
      </c>
      <c r="O51" s="5">
        <f>SUM(Tabela323910[[#This Row],[jan/23]:[dez/23]])</f>
        <v>11235</v>
      </c>
    </row>
    <row r="52" spans="1:15" x14ac:dyDescent="0.25">
      <c r="A52" s="4" t="s">
        <v>103</v>
      </c>
      <c r="B52" s="4" t="s">
        <v>19</v>
      </c>
      <c r="C52" s="4">
        <v>994</v>
      </c>
      <c r="D52" s="4">
        <v>692</v>
      </c>
      <c r="E52" s="5">
        <v>873</v>
      </c>
      <c r="F52" s="5">
        <v>719</v>
      </c>
      <c r="G52" s="5">
        <v>716</v>
      </c>
      <c r="H52" s="5">
        <v>524</v>
      </c>
      <c r="I52" s="5">
        <v>903</v>
      </c>
      <c r="J52" s="5">
        <v>807</v>
      </c>
      <c r="K52" s="5">
        <v>1182</v>
      </c>
      <c r="L52" s="5">
        <v>1074</v>
      </c>
      <c r="M52" s="5">
        <v>1083</v>
      </c>
      <c r="N52" s="5">
        <v>1399</v>
      </c>
      <c r="O52" s="5">
        <f>SUM(Tabela323910[[#This Row],[jan/23]:[dez/23]])</f>
        <v>10966</v>
      </c>
    </row>
    <row r="53" spans="1:15" x14ac:dyDescent="0.25">
      <c r="A53" s="4" t="s">
        <v>105</v>
      </c>
      <c r="B53" s="4" t="s">
        <v>600</v>
      </c>
      <c r="C53" s="5">
        <v>1270</v>
      </c>
      <c r="D53" s="4">
        <v>841</v>
      </c>
      <c r="E53" s="5">
        <v>824</v>
      </c>
      <c r="F53" s="5">
        <v>888</v>
      </c>
      <c r="G53" s="5">
        <v>1111</v>
      </c>
      <c r="H53" s="5">
        <v>1139</v>
      </c>
      <c r="I53" s="5">
        <v>840</v>
      </c>
      <c r="J53" s="5">
        <v>999</v>
      </c>
      <c r="K53" s="5">
        <v>645</v>
      </c>
      <c r="L53" s="5">
        <v>749</v>
      </c>
      <c r="M53" s="5">
        <v>705</v>
      </c>
      <c r="N53" s="5">
        <v>772</v>
      </c>
      <c r="O53" s="5">
        <f>SUM(Tabela323910[[#This Row],[jan/23]:[dez/23]])</f>
        <v>10783</v>
      </c>
    </row>
    <row r="54" spans="1:15" x14ac:dyDescent="0.25">
      <c r="A54" s="4" t="s">
        <v>107</v>
      </c>
      <c r="B54" s="4" t="s">
        <v>601</v>
      </c>
      <c r="C54" s="5">
        <v>961</v>
      </c>
      <c r="D54" s="4">
        <v>657</v>
      </c>
      <c r="E54" s="5">
        <v>1081</v>
      </c>
      <c r="F54" s="5">
        <v>973</v>
      </c>
      <c r="G54" s="5">
        <v>893</v>
      </c>
      <c r="H54" s="5">
        <v>843</v>
      </c>
      <c r="I54" s="5">
        <v>704</v>
      </c>
      <c r="J54" s="5">
        <v>553</v>
      </c>
      <c r="K54" s="5">
        <v>677</v>
      </c>
      <c r="L54" s="5">
        <v>814</v>
      </c>
      <c r="M54" s="5">
        <v>630</v>
      </c>
      <c r="N54" s="5">
        <v>1202</v>
      </c>
      <c r="O54" s="5">
        <f>SUM(Tabela323910[[#This Row],[jan/23]:[dez/23]])</f>
        <v>9988</v>
      </c>
    </row>
    <row r="55" spans="1:15" x14ac:dyDescent="0.25">
      <c r="A55" s="4" t="s">
        <v>109</v>
      </c>
      <c r="B55" s="4" t="s">
        <v>536</v>
      </c>
      <c r="C55" s="5">
        <v>1009</v>
      </c>
      <c r="D55" s="5">
        <v>780</v>
      </c>
      <c r="E55" s="5">
        <v>982</v>
      </c>
      <c r="F55" s="5">
        <v>1020</v>
      </c>
      <c r="G55" s="4">
        <v>845</v>
      </c>
      <c r="H55" s="5">
        <v>822</v>
      </c>
      <c r="I55" s="5">
        <v>800</v>
      </c>
      <c r="J55" s="5">
        <v>776</v>
      </c>
      <c r="K55" s="5">
        <v>737</v>
      </c>
      <c r="L55" s="5">
        <v>656</v>
      </c>
      <c r="M55" s="5">
        <v>590</v>
      </c>
      <c r="N55" s="5">
        <v>520</v>
      </c>
      <c r="O55" s="5">
        <f>SUM(Tabela323910[[#This Row],[jan/23]:[dez/23]])</f>
        <v>9537</v>
      </c>
    </row>
    <row r="56" spans="1:15" x14ac:dyDescent="0.25">
      <c r="A56" s="4" t="s">
        <v>111</v>
      </c>
      <c r="B56" s="4" t="s">
        <v>154</v>
      </c>
      <c r="C56" s="5">
        <v>932</v>
      </c>
      <c r="D56" s="4">
        <v>493</v>
      </c>
      <c r="E56" s="5">
        <v>534</v>
      </c>
      <c r="F56" s="5">
        <v>635</v>
      </c>
      <c r="G56" s="5">
        <v>973</v>
      </c>
      <c r="H56" s="5">
        <v>931</v>
      </c>
      <c r="I56" s="5">
        <v>926</v>
      </c>
      <c r="J56" s="5">
        <v>922</v>
      </c>
      <c r="K56" s="5">
        <v>814</v>
      </c>
      <c r="L56" s="5">
        <v>809</v>
      </c>
      <c r="M56" s="5">
        <v>528</v>
      </c>
      <c r="N56" s="5">
        <v>743</v>
      </c>
      <c r="O56" s="5">
        <f>SUM(Tabela323910[[#This Row],[jan/23]:[dez/23]])</f>
        <v>9240</v>
      </c>
    </row>
    <row r="57" spans="1:15" x14ac:dyDescent="0.25">
      <c r="A57" s="4" t="s">
        <v>113</v>
      </c>
      <c r="B57" s="4" t="s">
        <v>256</v>
      </c>
      <c r="C57" s="5">
        <v>1089</v>
      </c>
      <c r="D57" s="4">
        <v>766</v>
      </c>
      <c r="E57" s="5">
        <v>1156</v>
      </c>
      <c r="F57" s="5">
        <v>795</v>
      </c>
      <c r="G57" s="5">
        <v>736</v>
      </c>
      <c r="H57" s="5">
        <v>593</v>
      </c>
      <c r="I57" s="5">
        <v>634</v>
      </c>
      <c r="J57" s="5">
        <v>659</v>
      </c>
      <c r="K57" s="5">
        <v>653</v>
      </c>
      <c r="L57" s="4">
        <v>673</v>
      </c>
      <c r="M57" s="5">
        <v>649</v>
      </c>
      <c r="N57" s="5">
        <v>685</v>
      </c>
      <c r="O57" s="5">
        <f>SUM(Tabela323910[[#This Row],[jan/23]:[dez/23]])</f>
        <v>9088</v>
      </c>
    </row>
    <row r="58" spans="1:15" x14ac:dyDescent="0.25">
      <c r="A58" s="4" t="s">
        <v>115</v>
      </c>
      <c r="B58" s="4" t="s">
        <v>446</v>
      </c>
      <c r="C58" s="4">
        <v>880</v>
      </c>
      <c r="D58" s="4">
        <v>708</v>
      </c>
      <c r="E58" s="4">
        <v>807</v>
      </c>
      <c r="F58" s="4">
        <v>779</v>
      </c>
      <c r="G58" s="5">
        <v>657</v>
      </c>
      <c r="H58" s="4">
        <v>714</v>
      </c>
      <c r="I58" s="5">
        <v>725</v>
      </c>
      <c r="J58" s="5">
        <v>438</v>
      </c>
      <c r="K58" s="4">
        <v>674</v>
      </c>
      <c r="L58" s="5">
        <v>791</v>
      </c>
      <c r="M58" s="5">
        <v>762</v>
      </c>
      <c r="N58" s="5">
        <v>866</v>
      </c>
      <c r="O58" s="5">
        <f>SUM(Tabela323910[[#This Row],[jan/23]:[dez/23]])</f>
        <v>8801</v>
      </c>
    </row>
    <row r="59" spans="1:15" x14ac:dyDescent="0.25">
      <c r="A59" s="4" t="s">
        <v>117</v>
      </c>
      <c r="B59" s="4" t="s">
        <v>78</v>
      </c>
      <c r="C59" s="4">
        <v>824</v>
      </c>
      <c r="D59" s="5">
        <v>527</v>
      </c>
      <c r="E59" s="5">
        <v>1043</v>
      </c>
      <c r="F59" s="4">
        <v>999</v>
      </c>
      <c r="G59" s="4">
        <v>674</v>
      </c>
      <c r="H59" s="5">
        <v>840</v>
      </c>
      <c r="I59" s="5">
        <v>899</v>
      </c>
      <c r="J59" s="5">
        <v>663</v>
      </c>
      <c r="K59" s="5">
        <v>652</v>
      </c>
      <c r="L59" s="4">
        <v>618</v>
      </c>
      <c r="M59" s="5">
        <v>514</v>
      </c>
      <c r="N59" s="4">
        <v>417</v>
      </c>
      <c r="O59" s="5">
        <f>SUM(Tabela323910[[#This Row],[jan/23]:[dez/23]])</f>
        <v>8670</v>
      </c>
    </row>
    <row r="60" spans="1:15" x14ac:dyDescent="0.25">
      <c r="A60" s="4" t="s">
        <v>119</v>
      </c>
      <c r="B60" s="4" t="s">
        <v>597</v>
      </c>
      <c r="C60" s="4">
        <v>898</v>
      </c>
      <c r="D60" s="4">
        <v>743</v>
      </c>
      <c r="E60" s="4">
        <v>688</v>
      </c>
      <c r="F60" s="4">
        <v>621</v>
      </c>
      <c r="G60" s="4">
        <v>915</v>
      </c>
      <c r="H60" s="4">
        <v>885</v>
      </c>
      <c r="I60" s="5">
        <v>883</v>
      </c>
      <c r="J60" s="5">
        <v>688</v>
      </c>
      <c r="K60" s="4">
        <v>624</v>
      </c>
      <c r="L60" s="4">
        <v>522</v>
      </c>
      <c r="M60" s="5">
        <v>495</v>
      </c>
      <c r="N60" s="5">
        <v>455</v>
      </c>
      <c r="O60" s="5">
        <f>SUM(Tabela323910[[#This Row],[jan/23]:[dez/23]])</f>
        <v>8417</v>
      </c>
    </row>
    <row r="61" spans="1:15" x14ac:dyDescent="0.25">
      <c r="A61" s="4" t="s">
        <v>121</v>
      </c>
      <c r="B61" s="4" t="s">
        <v>90</v>
      </c>
      <c r="C61" s="4">
        <v>720</v>
      </c>
      <c r="D61" s="4">
        <v>599</v>
      </c>
      <c r="E61" s="4">
        <v>854</v>
      </c>
      <c r="F61" s="5">
        <v>1060</v>
      </c>
      <c r="G61" s="4">
        <v>658</v>
      </c>
      <c r="H61" s="4">
        <v>708</v>
      </c>
      <c r="I61" s="4">
        <v>726</v>
      </c>
      <c r="J61" s="4">
        <v>594</v>
      </c>
      <c r="K61" s="4">
        <v>590</v>
      </c>
      <c r="L61" s="4">
        <v>485</v>
      </c>
      <c r="M61" s="4">
        <v>725</v>
      </c>
      <c r="N61" s="4">
        <v>654</v>
      </c>
      <c r="O61" s="5">
        <f>SUM(Tabela323910[[#This Row],[jan/23]:[dez/23]])</f>
        <v>8373</v>
      </c>
    </row>
    <row r="62" spans="1:15" x14ac:dyDescent="0.25">
      <c r="A62" s="4" t="s">
        <v>123</v>
      </c>
      <c r="B62" s="4" t="s">
        <v>790</v>
      </c>
      <c r="C62" s="4">
        <v>857</v>
      </c>
      <c r="D62" s="4">
        <v>744</v>
      </c>
      <c r="E62" s="4">
        <v>804</v>
      </c>
      <c r="F62" s="5">
        <v>1021</v>
      </c>
      <c r="G62" s="4">
        <v>711</v>
      </c>
      <c r="H62" s="4">
        <v>657</v>
      </c>
      <c r="I62" s="4">
        <v>525</v>
      </c>
      <c r="J62" s="4">
        <v>422</v>
      </c>
      <c r="K62" s="4">
        <v>796</v>
      </c>
      <c r="L62" s="4">
        <v>602</v>
      </c>
      <c r="M62" s="4">
        <v>555</v>
      </c>
      <c r="N62" s="4">
        <v>505</v>
      </c>
      <c r="O62" s="5">
        <f>SUM(Tabela323910[[#This Row],[jan/23]:[dez/23]])</f>
        <v>8199</v>
      </c>
    </row>
    <row r="63" spans="1:15" x14ac:dyDescent="0.25">
      <c r="A63" s="4" t="s">
        <v>125</v>
      </c>
      <c r="B63" s="4" t="s">
        <v>408</v>
      </c>
      <c r="C63" s="4">
        <v>600</v>
      </c>
      <c r="D63" s="5">
        <v>449</v>
      </c>
      <c r="E63" s="5">
        <v>517</v>
      </c>
      <c r="F63" s="4">
        <v>522</v>
      </c>
      <c r="G63" s="4">
        <v>542</v>
      </c>
      <c r="H63" s="4">
        <v>805</v>
      </c>
      <c r="I63" s="5">
        <v>1081</v>
      </c>
      <c r="J63" s="4">
        <v>792</v>
      </c>
      <c r="K63" s="4">
        <v>757</v>
      </c>
      <c r="L63" s="4">
        <v>688</v>
      </c>
      <c r="M63" s="4">
        <v>633</v>
      </c>
      <c r="N63" s="4">
        <v>764</v>
      </c>
      <c r="O63" s="5">
        <f>SUM(Tabela323910[[#This Row],[jan/23]:[dez/23]])</f>
        <v>8150</v>
      </c>
    </row>
    <row r="64" spans="1:15" x14ac:dyDescent="0.25">
      <c r="A64" s="4" t="s">
        <v>127</v>
      </c>
      <c r="B64" s="4" t="s">
        <v>699</v>
      </c>
      <c r="C64" s="5">
        <v>655</v>
      </c>
      <c r="D64" s="4">
        <v>278</v>
      </c>
      <c r="E64" s="4">
        <v>391</v>
      </c>
      <c r="F64" s="4">
        <v>416</v>
      </c>
      <c r="G64" s="4">
        <v>625</v>
      </c>
      <c r="H64" s="4">
        <v>656</v>
      </c>
      <c r="I64" s="4">
        <v>931</v>
      </c>
      <c r="J64" s="4">
        <v>718</v>
      </c>
      <c r="K64" s="4">
        <v>492</v>
      </c>
      <c r="L64" s="5">
        <v>870</v>
      </c>
      <c r="M64" s="4">
        <v>706</v>
      </c>
      <c r="N64" s="5">
        <v>987</v>
      </c>
      <c r="O64" s="5">
        <f>SUM(Tabela323910[[#This Row],[jan/23]:[dez/23]])</f>
        <v>7725</v>
      </c>
    </row>
    <row r="65" spans="1:15" x14ac:dyDescent="0.25">
      <c r="A65" s="4" t="s">
        <v>129</v>
      </c>
      <c r="B65" s="4" t="s">
        <v>551</v>
      </c>
      <c r="C65" s="4">
        <v>712</v>
      </c>
      <c r="D65" s="4">
        <v>342</v>
      </c>
      <c r="E65" s="4">
        <v>697</v>
      </c>
      <c r="F65" s="4">
        <v>774</v>
      </c>
      <c r="G65" s="4">
        <v>684</v>
      </c>
      <c r="H65" s="4">
        <v>864</v>
      </c>
      <c r="I65" s="4">
        <v>904</v>
      </c>
      <c r="J65" s="4">
        <v>781</v>
      </c>
      <c r="K65" s="5">
        <v>648</v>
      </c>
      <c r="L65" s="4">
        <v>450</v>
      </c>
      <c r="M65" s="4">
        <v>421</v>
      </c>
      <c r="N65" s="4">
        <v>442</v>
      </c>
      <c r="O65" s="5">
        <f>SUM(Tabela323910[[#This Row],[jan/23]:[dez/23]])</f>
        <v>7719</v>
      </c>
    </row>
    <row r="66" spans="1:15" x14ac:dyDescent="0.25">
      <c r="A66" s="4" t="s">
        <v>131</v>
      </c>
      <c r="B66" s="4" t="s">
        <v>214</v>
      </c>
      <c r="C66" s="4">
        <v>376</v>
      </c>
      <c r="D66" s="4">
        <v>402</v>
      </c>
      <c r="E66" s="4">
        <v>384</v>
      </c>
      <c r="F66" s="4">
        <v>566</v>
      </c>
      <c r="G66" s="4">
        <v>736</v>
      </c>
      <c r="H66" s="4">
        <v>778</v>
      </c>
      <c r="I66" s="4">
        <v>705</v>
      </c>
      <c r="J66" s="4">
        <v>627</v>
      </c>
      <c r="K66" s="4">
        <v>839</v>
      </c>
      <c r="L66" s="4">
        <v>805</v>
      </c>
      <c r="M66" s="5">
        <v>591</v>
      </c>
      <c r="N66" s="5">
        <v>829</v>
      </c>
      <c r="O66" s="5">
        <f>SUM(Tabela323910[[#This Row],[jan/23]:[dez/23]])</f>
        <v>7638</v>
      </c>
    </row>
    <row r="67" spans="1:15" x14ac:dyDescent="0.25">
      <c r="A67" s="4" t="s">
        <v>133</v>
      </c>
      <c r="B67" s="4" t="s">
        <v>110</v>
      </c>
      <c r="C67" s="4">
        <v>563</v>
      </c>
      <c r="D67" s="4">
        <v>384</v>
      </c>
      <c r="E67" s="4">
        <v>595</v>
      </c>
      <c r="F67" s="4">
        <v>587</v>
      </c>
      <c r="G67" s="4">
        <v>501</v>
      </c>
      <c r="H67" s="4">
        <v>558</v>
      </c>
      <c r="I67" s="4">
        <v>627</v>
      </c>
      <c r="J67" s="4">
        <v>539</v>
      </c>
      <c r="K67" s="4">
        <v>516</v>
      </c>
      <c r="L67" s="4">
        <v>889</v>
      </c>
      <c r="M67" s="4">
        <v>838</v>
      </c>
      <c r="N67" s="4">
        <v>812</v>
      </c>
      <c r="O67" s="5">
        <f>SUM(Tabela323910[[#This Row],[jan/23]:[dez/23]])</f>
        <v>7409</v>
      </c>
    </row>
    <row r="68" spans="1:15" x14ac:dyDescent="0.25">
      <c r="A68" s="4" t="s">
        <v>135</v>
      </c>
      <c r="B68" s="4" t="s">
        <v>570</v>
      </c>
      <c r="C68" s="4">
        <v>790</v>
      </c>
      <c r="D68" s="4">
        <v>517</v>
      </c>
      <c r="E68" s="4">
        <v>694</v>
      </c>
      <c r="F68" s="4">
        <v>594</v>
      </c>
      <c r="G68" s="4">
        <v>563</v>
      </c>
      <c r="H68" s="4">
        <v>643</v>
      </c>
      <c r="I68" s="4">
        <v>783</v>
      </c>
      <c r="J68" s="4">
        <v>564</v>
      </c>
      <c r="K68" s="4">
        <v>572</v>
      </c>
      <c r="L68" s="4">
        <v>492</v>
      </c>
      <c r="M68" s="4">
        <v>454</v>
      </c>
      <c r="N68" s="4">
        <v>715</v>
      </c>
      <c r="O68" s="5">
        <f>SUM(Tabela323910[[#This Row],[jan/23]:[dez/23]])</f>
        <v>7381</v>
      </c>
    </row>
    <row r="69" spans="1:15" x14ac:dyDescent="0.25">
      <c r="A69" s="4" t="s">
        <v>137</v>
      </c>
      <c r="B69" s="4" t="s">
        <v>647</v>
      </c>
      <c r="C69" s="4">
        <v>472</v>
      </c>
      <c r="D69" s="4">
        <v>229</v>
      </c>
      <c r="E69" s="4">
        <v>513</v>
      </c>
      <c r="F69" s="4">
        <v>785</v>
      </c>
      <c r="G69" s="4">
        <v>735</v>
      </c>
      <c r="H69" s="4">
        <v>853</v>
      </c>
      <c r="I69" s="5">
        <v>1015</v>
      </c>
      <c r="J69" s="4">
        <v>616</v>
      </c>
      <c r="K69" s="4">
        <v>407</v>
      </c>
      <c r="L69" s="4">
        <v>554</v>
      </c>
      <c r="M69" s="4">
        <v>547</v>
      </c>
      <c r="N69" s="4">
        <v>505</v>
      </c>
      <c r="O69" s="5">
        <f>SUM(Tabela323910[[#This Row],[jan/23]:[dez/23]])</f>
        <v>7231</v>
      </c>
    </row>
    <row r="70" spans="1:15" x14ac:dyDescent="0.25">
      <c r="A70" s="4" t="s">
        <v>139</v>
      </c>
      <c r="B70" s="4" t="s">
        <v>250</v>
      </c>
      <c r="C70" s="4">
        <v>619</v>
      </c>
      <c r="D70" s="4">
        <v>684</v>
      </c>
      <c r="E70" s="4">
        <v>791</v>
      </c>
      <c r="F70" s="4">
        <v>771</v>
      </c>
      <c r="G70" s="4">
        <v>636</v>
      </c>
      <c r="H70" s="4">
        <v>553</v>
      </c>
      <c r="I70" s="4">
        <v>634</v>
      </c>
      <c r="J70" s="4">
        <v>501</v>
      </c>
      <c r="K70" s="4">
        <v>416</v>
      </c>
      <c r="L70" s="5">
        <v>433</v>
      </c>
      <c r="M70" s="4">
        <v>492</v>
      </c>
      <c r="N70" s="4">
        <v>498</v>
      </c>
      <c r="O70" s="5">
        <f>SUM(Tabela323910[[#This Row],[jan/23]:[dez/23]])</f>
        <v>7028</v>
      </c>
    </row>
    <row r="71" spans="1:15" x14ac:dyDescent="0.25">
      <c r="A71" s="4" t="s">
        <v>141</v>
      </c>
      <c r="B71" s="4" t="s">
        <v>196</v>
      </c>
      <c r="C71" s="4">
        <v>860</v>
      </c>
      <c r="D71" s="4">
        <v>603</v>
      </c>
      <c r="E71" s="4">
        <v>592</v>
      </c>
      <c r="F71" s="4">
        <v>458</v>
      </c>
      <c r="G71" s="4">
        <v>600</v>
      </c>
      <c r="H71" s="4">
        <v>672</v>
      </c>
      <c r="I71" s="4">
        <v>689</v>
      </c>
      <c r="J71" s="4">
        <v>532</v>
      </c>
      <c r="K71" s="4">
        <v>468</v>
      </c>
      <c r="L71" s="4">
        <v>336</v>
      </c>
      <c r="M71" s="4">
        <v>315</v>
      </c>
      <c r="N71" s="4">
        <v>568</v>
      </c>
      <c r="O71" s="5">
        <f>SUM(Tabela323910[[#This Row],[jan/23]:[dez/23]])</f>
        <v>6693</v>
      </c>
    </row>
    <row r="72" spans="1:15" x14ac:dyDescent="0.25">
      <c r="A72" s="4" t="s">
        <v>143</v>
      </c>
      <c r="B72" s="4" t="s">
        <v>607</v>
      </c>
      <c r="C72" s="4">
        <v>463</v>
      </c>
      <c r="D72" s="4">
        <v>322</v>
      </c>
      <c r="E72" s="4">
        <v>342</v>
      </c>
      <c r="F72" s="5">
        <v>1088</v>
      </c>
      <c r="G72" s="4">
        <v>579</v>
      </c>
      <c r="H72" s="4">
        <v>608</v>
      </c>
      <c r="I72" s="4">
        <v>661</v>
      </c>
      <c r="J72" s="4">
        <v>621</v>
      </c>
      <c r="K72" s="4">
        <v>463</v>
      </c>
      <c r="L72" s="5">
        <v>508</v>
      </c>
      <c r="M72" s="4">
        <v>461</v>
      </c>
      <c r="N72" s="4">
        <v>374</v>
      </c>
      <c r="O72" s="5">
        <f>SUM(Tabela323910[[#This Row],[jan/23]:[dez/23]])</f>
        <v>6490</v>
      </c>
    </row>
    <row r="73" spans="1:15" x14ac:dyDescent="0.25">
      <c r="A73" s="4" t="s">
        <v>145</v>
      </c>
      <c r="B73" s="4" t="s">
        <v>226</v>
      </c>
      <c r="C73" s="4">
        <v>322</v>
      </c>
      <c r="D73" s="4">
        <v>393</v>
      </c>
      <c r="E73" s="4">
        <v>461</v>
      </c>
      <c r="F73" s="4">
        <v>565</v>
      </c>
      <c r="G73" s="4">
        <v>659</v>
      </c>
      <c r="H73" s="4">
        <v>635</v>
      </c>
      <c r="I73" s="4">
        <v>368</v>
      </c>
      <c r="J73" s="4">
        <v>690</v>
      </c>
      <c r="K73" s="4">
        <v>332</v>
      </c>
      <c r="L73" s="4">
        <v>445</v>
      </c>
      <c r="M73" s="4">
        <v>681</v>
      </c>
      <c r="N73" s="4">
        <v>857</v>
      </c>
      <c r="O73" s="5">
        <f>SUM(Tabela323910[[#This Row],[jan/23]:[dez/23]])</f>
        <v>6408</v>
      </c>
    </row>
    <row r="74" spans="1:15" x14ac:dyDescent="0.25">
      <c r="A74" s="4" t="s">
        <v>147</v>
      </c>
      <c r="B74" s="4" t="s">
        <v>150</v>
      </c>
      <c r="C74" s="4">
        <v>19</v>
      </c>
      <c r="D74" s="4">
        <v>37</v>
      </c>
      <c r="E74" s="4">
        <v>79</v>
      </c>
      <c r="F74" s="4">
        <v>181</v>
      </c>
      <c r="G74" s="4">
        <v>636</v>
      </c>
      <c r="H74" s="4">
        <v>709</v>
      </c>
      <c r="I74" s="4">
        <v>771</v>
      </c>
      <c r="J74" s="4">
        <v>709</v>
      </c>
      <c r="K74" s="4">
        <v>720</v>
      </c>
      <c r="L74" s="4">
        <v>717</v>
      </c>
      <c r="M74" s="4">
        <v>791</v>
      </c>
      <c r="N74" s="4">
        <v>857</v>
      </c>
      <c r="O74" s="5">
        <f>SUM(Tabela323910[[#This Row],[jan/23]:[dez/23]])</f>
        <v>6226</v>
      </c>
    </row>
    <row r="75" spans="1:15" x14ac:dyDescent="0.25">
      <c r="A75" s="4" t="s">
        <v>149</v>
      </c>
      <c r="B75" s="4" t="s">
        <v>322</v>
      </c>
      <c r="C75" s="4">
        <v>481</v>
      </c>
      <c r="D75" s="4">
        <v>486</v>
      </c>
      <c r="E75" s="4">
        <v>625</v>
      </c>
      <c r="F75" s="4">
        <v>579</v>
      </c>
      <c r="G75" s="4">
        <v>538</v>
      </c>
      <c r="H75" s="4">
        <v>571</v>
      </c>
      <c r="I75" s="4">
        <v>618</v>
      </c>
      <c r="J75" s="4">
        <v>615</v>
      </c>
      <c r="K75" s="4">
        <v>503</v>
      </c>
      <c r="L75" s="4">
        <v>429</v>
      </c>
      <c r="M75" s="4">
        <v>398</v>
      </c>
      <c r="N75" s="4">
        <v>338</v>
      </c>
      <c r="O75" s="5">
        <f>SUM(Tabela323910[[#This Row],[jan/23]:[dez/23]])</f>
        <v>6181</v>
      </c>
    </row>
    <row r="76" spans="1:15" x14ac:dyDescent="0.25">
      <c r="A76" s="4" t="s">
        <v>151</v>
      </c>
      <c r="B76" s="4" t="s">
        <v>579</v>
      </c>
      <c r="C76" s="4">
        <v>528</v>
      </c>
      <c r="D76" s="4">
        <v>548</v>
      </c>
      <c r="E76" s="4">
        <v>526</v>
      </c>
      <c r="F76" s="4">
        <v>422</v>
      </c>
      <c r="G76" s="4">
        <v>493</v>
      </c>
      <c r="H76" s="4">
        <v>429</v>
      </c>
      <c r="I76" s="4">
        <v>552</v>
      </c>
      <c r="J76" s="4">
        <v>446</v>
      </c>
      <c r="K76" s="4">
        <v>425</v>
      </c>
      <c r="L76" s="4">
        <v>436</v>
      </c>
      <c r="M76" s="4">
        <v>456</v>
      </c>
      <c r="N76" s="4">
        <v>742</v>
      </c>
      <c r="O76" s="5">
        <f>SUM(Tabela323910[[#This Row],[jan/23]:[dez/23]])</f>
        <v>6003</v>
      </c>
    </row>
    <row r="77" spans="1:15" x14ac:dyDescent="0.25">
      <c r="A77" s="4" t="s">
        <v>153</v>
      </c>
      <c r="B77" s="4" t="s">
        <v>174</v>
      </c>
      <c r="C77" s="4">
        <v>368</v>
      </c>
      <c r="D77" s="4">
        <v>288</v>
      </c>
      <c r="E77" s="4">
        <v>491</v>
      </c>
      <c r="F77" s="4">
        <v>521</v>
      </c>
      <c r="G77" s="4">
        <v>150</v>
      </c>
      <c r="H77" s="4">
        <v>246</v>
      </c>
      <c r="I77" s="4">
        <v>562</v>
      </c>
      <c r="J77" s="4">
        <v>857</v>
      </c>
      <c r="K77" s="4">
        <v>735</v>
      </c>
      <c r="L77" s="4">
        <v>634</v>
      </c>
      <c r="M77" s="4">
        <v>461</v>
      </c>
      <c r="N77" s="4">
        <v>689</v>
      </c>
      <c r="O77" s="5">
        <f>SUM(Tabela323910[[#This Row],[jan/23]:[dez/23]])</f>
        <v>6002</v>
      </c>
    </row>
    <row r="78" spans="1:15" x14ac:dyDescent="0.25">
      <c r="A78" s="4" t="s">
        <v>155</v>
      </c>
      <c r="B78" s="4" t="s">
        <v>136</v>
      </c>
      <c r="C78" s="4">
        <v>680</v>
      </c>
      <c r="D78" s="4">
        <v>667</v>
      </c>
      <c r="E78" s="4">
        <v>640</v>
      </c>
      <c r="F78" s="4">
        <v>620</v>
      </c>
      <c r="G78" s="4">
        <v>522</v>
      </c>
      <c r="H78" s="4">
        <v>477</v>
      </c>
      <c r="I78" s="4">
        <v>399</v>
      </c>
      <c r="J78" s="4">
        <v>388</v>
      </c>
      <c r="K78" s="4">
        <v>344</v>
      </c>
      <c r="L78" s="4">
        <v>340</v>
      </c>
      <c r="M78" s="4">
        <v>344</v>
      </c>
      <c r="N78" s="4">
        <v>394</v>
      </c>
      <c r="O78" s="5">
        <f>SUM(Tabela323910[[#This Row],[jan/23]:[dez/23]])</f>
        <v>5815</v>
      </c>
    </row>
    <row r="79" spans="1:15" x14ac:dyDescent="0.25">
      <c r="A79" s="4" t="s">
        <v>157</v>
      </c>
      <c r="B79" s="4" t="s">
        <v>102</v>
      </c>
      <c r="C79" s="4">
        <v>401</v>
      </c>
      <c r="D79" s="4">
        <v>280</v>
      </c>
      <c r="E79" s="4">
        <v>568</v>
      </c>
      <c r="F79" s="4">
        <v>429</v>
      </c>
      <c r="G79" s="4">
        <v>396</v>
      </c>
      <c r="H79" s="4">
        <v>558</v>
      </c>
      <c r="I79" s="4">
        <v>465</v>
      </c>
      <c r="J79" s="4">
        <v>444</v>
      </c>
      <c r="K79" s="4">
        <v>730</v>
      </c>
      <c r="L79" s="4">
        <v>607</v>
      </c>
      <c r="M79" s="4">
        <v>414</v>
      </c>
      <c r="N79" s="4">
        <v>460</v>
      </c>
      <c r="O79" s="5">
        <f>SUM(Tabela323910[[#This Row],[jan/23]:[dez/23]])</f>
        <v>5752</v>
      </c>
    </row>
    <row r="80" spans="1:15" x14ac:dyDescent="0.25">
      <c r="A80" s="4" t="s">
        <v>159</v>
      </c>
      <c r="B80" s="4" t="s">
        <v>202</v>
      </c>
      <c r="C80" s="4">
        <v>576</v>
      </c>
      <c r="D80" s="4">
        <v>529</v>
      </c>
      <c r="E80" s="4">
        <v>769</v>
      </c>
      <c r="F80" s="4">
        <v>475</v>
      </c>
      <c r="G80" s="4">
        <v>470</v>
      </c>
      <c r="H80" s="4">
        <v>303</v>
      </c>
      <c r="I80" s="4">
        <v>494</v>
      </c>
      <c r="J80" s="4">
        <v>373</v>
      </c>
      <c r="K80" s="4">
        <v>326</v>
      </c>
      <c r="L80" s="4">
        <v>296</v>
      </c>
      <c r="M80" s="4">
        <v>272</v>
      </c>
      <c r="N80" s="4">
        <v>272</v>
      </c>
      <c r="O80" s="5">
        <f>SUM(Tabela323910[[#This Row],[jan/23]:[dez/23]])</f>
        <v>5155</v>
      </c>
    </row>
    <row r="81" spans="1:15" x14ac:dyDescent="0.25">
      <c r="A81" s="4" t="s">
        <v>163</v>
      </c>
      <c r="B81" s="4" t="s">
        <v>230</v>
      </c>
      <c r="C81" s="4">
        <v>184</v>
      </c>
      <c r="D81" s="4">
        <v>217</v>
      </c>
      <c r="E81" s="4">
        <v>357</v>
      </c>
      <c r="F81" s="4">
        <v>284</v>
      </c>
      <c r="G81" s="4">
        <v>329</v>
      </c>
      <c r="H81" s="4">
        <v>512</v>
      </c>
      <c r="I81" s="4">
        <v>636</v>
      </c>
      <c r="J81" s="4">
        <v>469</v>
      </c>
      <c r="K81" s="4">
        <v>584</v>
      </c>
      <c r="L81" s="4">
        <v>422</v>
      </c>
      <c r="M81" s="4">
        <v>271</v>
      </c>
      <c r="N81" s="4">
        <v>453</v>
      </c>
      <c r="O81" s="5">
        <f>SUM(Tabela323910[[#This Row],[jan/23]:[dez/23]])</f>
        <v>4718</v>
      </c>
    </row>
    <row r="82" spans="1:15" x14ac:dyDescent="0.25">
      <c r="A82" s="4" t="s">
        <v>161</v>
      </c>
      <c r="B82" s="4" t="s">
        <v>587</v>
      </c>
      <c r="C82" s="4">
        <v>666</v>
      </c>
      <c r="D82" s="4">
        <v>353</v>
      </c>
      <c r="E82" s="4">
        <v>364</v>
      </c>
      <c r="F82" s="4">
        <v>326</v>
      </c>
      <c r="G82" s="4">
        <v>362</v>
      </c>
      <c r="H82" s="4">
        <v>390</v>
      </c>
      <c r="I82" s="4">
        <v>428</v>
      </c>
      <c r="J82" s="4">
        <v>381</v>
      </c>
      <c r="K82" s="4">
        <v>348</v>
      </c>
      <c r="L82" s="4">
        <v>342</v>
      </c>
      <c r="M82" s="4">
        <v>368</v>
      </c>
      <c r="N82" s="4">
        <v>336</v>
      </c>
      <c r="O82" s="5">
        <f>SUM(Tabela323910[[#This Row],[jan/23]:[dez/23]])</f>
        <v>4664</v>
      </c>
    </row>
    <row r="83" spans="1:15" x14ac:dyDescent="0.25">
      <c r="A83" s="4" t="s">
        <v>165</v>
      </c>
      <c r="B83" s="4" t="s">
        <v>796</v>
      </c>
      <c r="C83" s="4">
        <v>474</v>
      </c>
      <c r="D83" s="4">
        <v>336</v>
      </c>
      <c r="E83" s="4">
        <v>356</v>
      </c>
      <c r="F83" s="4">
        <v>535</v>
      </c>
      <c r="G83" s="4">
        <v>360</v>
      </c>
      <c r="H83" s="4">
        <v>371</v>
      </c>
      <c r="I83" s="4">
        <v>413</v>
      </c>
      <c r="J83" s="4">
        <v>368</v>
      </c>
      <c r="K83" s="4">
        <v>347</v>
      </c>
      <c r="L83" s="4">
        <v>305</v>
      </c>
      <c r="M83" s="5">
        <v>223</v>
      </c>
      <c r="N83" s="5">
        <v>271</v>
      </c>
      <c r="O83" s="5">
        <f>SUM(Tabela323910[[#This Row],[jan/23]:[dez/23]])</f>
        <v>4359</v>
      </c>
    </row>
    <row r="84" spans="1:15" x14ac:dyDescent="0.25">
      <c r="A84" s="4" t="s">
        <v>167</v>
      </c>
      <c r="B84" s="4" t="s">
        <v>228</v>
      </c>
      <c r="C84" s="4">
        <v>379</v>
      </c>
      <c r="D84" s="4">
        <v>366</v>
      </c>
      <c r="E84" s="4">
        <v>452</v>
      </c>
      <c r="F84" s="4">
        <v>418</v>
      </c>
      <c r="G84" s="4">
        <v>378</v>
      </c>
      <c r="H84" s="4">
        <v>386</v>
      </c>
      <c r="I84" s="4">
        <v>339</v>
      </c>
      <c r="J84" s="4">
        <v>278</v>
      </c>
      <c r="K84" s="4">
        <v>282</v>
      </c>
      <c r="L84" s="4">
        <v>190</v>
      </c>
      <c r="M84" s="4">
        <v>201</v>
      </c>
      <c r="N84" s="4">
        <v>251</v>
      </c>
      <c r="O84" s="5">
        <f>SUM(Tabela323910[[#This Row],[jan/23]:[dez/23]])</f>
        <v>3920</v>
      </c>
    </row>
    <row r="85" spans="1:15" x14ac:dyDescent="0.25">
      <c r="A85" s="4" t="s">
        <v>169</v>
      </c>
      <c r="B85" s="4" t="s">
        <v>696</v>
      </c>
      <c r="C85" s="4">
        <v>400</v>
      </c>
      <c r="D85" s="4">
        <v>350</v>
      </c>
      <c r="E85" s="4">
        <v>400</v>
      </c>
      <c r="F85" s="4">
        <v>300</v>
      </c>
      <c r="G85" s="4">
        <v>343</v>
      </c>
      <c r="H85" s="4">
        <v>300</v>
      </c>
      <c r="I85" s="4">
        <v>300</v>
      </c>
      <c r="J85" s="4">
        <v>250</v>
      </c>
      <c r="K85" s="4">
        <v>300</v>
      </c>
      <c r="L85" s="4">
        <v>250</v>
      </c>
      <c r="M85" s="4">
        <v>200</v>
      </c>
      <c r="N85" s="4">
        <v>300</v>
      </c>
      <c r="O85" s="5">
        <f>SUM(Tabela323910[[#This Row],[jan/23]:[dez/23]])</f>
        <v>3693</v>
      </c>
    </row>
    <row r="86" spans="1:15" x14ac:dyDescent="0.25">
      <c r="A86" s="4" t="s">
        <v>171</v>
      </c>
      <c r="B86" s="4" t="s">
        <v>613</v>
      </c>
      <c r="C86" s="4">
        <v>272</v>
      </c>
      <c r="D86" s="4">
        <v>238</v>
      </c>
      <c r="E86" s="4">
        <v>379</v>
      </c>
      <c r="F86" s="4">
        <v>334</v>
      </c>
      <c r="G86" s="4">
        <v>402</v>
      </c>
      <c r="H86" s="4">
        <v>437</v>
      </c>
      <c r="I86" s="4">
        <v>277</v>
      </c>
      <c r="J86" s="4">
        <v>258</v>
      </c>
      <c r="K86" s="4">
        <v>238</v>
      </c>
      <c r="L86" s="4">
        <v>245</v>
      </c>
      <c r="M86" s="4">
        <v>211</v>
      </c>
      <c r="N86" s="4">
        <v>183</v>
      </c>
      <c r="O86" s="5">
        <f>SUM(Tabela323910[[#This Row],[jan/23]:[dez/23]])</f>
        <v>3474</v>
      </c>
    </row>
    <row r="87" spans="1:15" x14ac:dyDescent="0.25">
      <c r="A87" s="4" t="s">
        <v>173</v>
      </c>
      <c r="B87" s="4" t="s">
        <v>424</v>
      </c>
      <c r="C87" s="4">
        <v>347</v>
      </c>
      <c r="D87" s="4">
        <v>168</v>
      </c>
      <c r="E87" s="4">
        <v>206</v>
      </c>
      <c r="F87" s="4">
        <v>474</v>
      </c>
      <c r="G87" s="4">
        <v>2</v>
      </c>
      <c r="H87" s="4">
        <v>198</v>
      </c>
      <c r="I87" s="4">
        <v>291</v>
      </c>
      <c r="J87" s="4">
        <v>175</v>
      </c>
      <c r="K87" s="4">
        <v>229</v>
      </c>
      <c r="L87" s="4">
        <v>575</v>
      </c>
      <c r="M87" s="4">
        <v>375</v>
      </c>
      <c r="N87" s="4">
        <v>297</v>
      </c>
      <c r="O87" s="5">
        <f>SUM(Tabela323910[[#This Row],[jan/23]:[dez/23]])</f>
        <v>3337</v>
      </c>
    </row>
    <row r="88" spans="1:15" x14ac:dyDescent="0.25">
      <c r="A88" s="4" t="s">
        <v>175</v>
      </c>
      <c r="B88" s="4" t="s">
        <v>683</v>
      </c>
      <c r="C88" s="4">
        <v>339</v>
      </c>
      <c r="D88" s="4">
        <v>217</v>
      </c>
      <c r="E88" s="4">
        <v>195</v>
      </c>
      <c r="F88" s="4">
        <v>220</v>
      </c>
      <c r="G88" s="4">
        <v>240</v>
      </c>
      <c r="H88" s="4">
        <v>207</v>
      </c>
      <c r="I88" s="4">
        <v>219</v>
      </c>
      <c r="J88" s="4">
        <v>398</v>
      </c>
      <c r="K88" s="4">
        <v>425</v>
      </c>
      <c r="L88" s="4">
        <v>514</v>
      </c>
      <c r="M88" s="4">
        <v>165</v>
      </c>
      <c r="N88" s="4">
        <v>125</v>
      </c>
      <c r="O88" s="5">
        <f>SUM(Tabela323910[[#This Row],[jan/23]:[dez/23]])</f>
        <v>3264</v>
      </c>
    </row>
    <row r="89" spans="1:15" x14ac:dyDescent="0.25">
      <c r="A89" s="4" t="s">
        <v>177</v>
      </c>
      <c r="B89" s="4" t="s">
        <v>84</v>
      </c>
      <c r="C89" s="4"/>
      <c r="D89" s="4"/>
      <c r="E89" s="4"/>
      <c r="F89" s="4"/>
      <c r="G89" s="4"/>
      <c r="H89" s="4"/>
      <c r="I89" s="4"/>
      <c r="J89" s="4">
        <v>8</v>
      </c>
      <c r="K89" s="4">
        <v>273</v>
      </c>
      <c r="L89" s="4">
        <v>269</v>
      </c>
      <c r="M89" s="5">
        <v>1232</v>
      </c>
      <c r="N89" s="5">
        <v>1419</v>
      </c>
      <c r="O89" s="5">
        <f>SUM(Tabela323910[[#This Row],[jan/23]:[dez/23]])</f>
        <v>3201</v>
      </c>
    </row>
    <row r="90" spans="1:15" x14ac:dyDescent="0.25">
      <c r="A90" s="4" t="s">
        <v>179</v>
      </c>
      <c r="B90" s="4" t="s">
        <v>602</v>
      </c>
      <c r="C90" s="4">
        <v>419</v>
      </c>
      <c r="D90" s="4">
        <v>278</v>
      </c>
      <c r="E90" s="4">
        <v>249</v>
      </c>
      <c r="F90" s="4">
        <v>201</v>
      </c>
      <c r="G90" s="4">
        <v>146</v>
      </c>
      <c r="H90" s="4">
        <v>172</v>
      </c>
      <c r="I90" s="4">
        <v>228</v>
      </c>
      <c r="J90" s="4">
        <v>226</v>
      </c>
      <c r="K90" s="4">
        <v>254</v>
      </c>
      <c r="L90" s="4">
        <v>262</v>
      </c>
      <c r="M90" s="4">
        <v>295</v>
      </c>
      <c r="N90" s="4">
        <v>352</v>
      </c>
      <c r="O90" s="5">
        <f>SUM(Tabela323910[[#This Row],[jan/23]:[dez/23]])</f>
        <v>3082</v>
      </c>
    </row>
    <row r="91" spans="1:15" x14ac:dyDescent="0.25">
      <c r="A91" s="4" t="s">
        <v>181</v>
      </c>
      <c r="B91" s="4" t="s">
        <v>791</v>
      </c>
      <c r="C91" s="4">
        <v>190</v>
      </c>
      <c r="D91" s="4">
        <v>207</v>
      </c>
      <c r="E91" s="4">
        <v>323</v>
      </c>
      <c r="F91" s="4">
        <v>390</v>
      </c>
      <c r="G91" s="4">
        <v>280</v>
      </c>
      <c r="H91" s="4">
        <v>237</v>
      </c>
      <c r="I91" s="4">
        <v>311</v>
      </c>
      <c r="J91" s="4">
        <v>224</v>
      </c>
      <c r="K91" s="4">
        <v>192</v>
      </c>
      <c r="L91" s="4">
        <v>150</v>
      </c>
      <c r="M91" s="4">
        <v>164</v>
      </c>
      <c r="N91" s="4">
        <v>118</v>
      </c>
      <c r="O91" s="5">
        <f>SUM(Tabela323910[[#This Row],[jan/23]:[dez/23]])</f>
        <v>2786</v>
      </c>
    </row>
    <row r="92" spans="1:15" x14ac:dyDescent="0.25">
      <c r="A92" s="4" t="s">
        <v>183</v>
      </c>
      <c r="B92" s="4" t="s">
        <v>124</v>
      </c>
      <c r="C92" s="4">
        <v>174</v>
      </c>
      <c r="D92" s="4">
        <v>159</v>
      </c>
      <c r="E92" s="4">
        <v>295</v>
      </c>
      <c r="F92" s="4">
        <v>169</v>
      </c>
      <c r="G92" s="4">
        <v>366</v>
      </c>
      <c r="H92" s="4">
        <v>434</v>
      </c>
      <c r="I92" s="4">
        <v>378</v>
      </c>
      <c r="J92" s="4">
        <v>219</v>
      </c>
      <c r="K92" s="4">
        <v>164</v>
      </c>
      <c r="L92" s="4">
        <v>117</v>
      </c>
      <c r="M92" s="4">
        <v>102</v>
      </c>
      <c r="N92" s="4">
        <v>134</v>
      </c>
      <c r="O92" s="5">
        <f>SUM(Tabela323910[[#This Row],[jan/23]:[dez/23]])</f>
        <v>2711</v>
      </c>
    </row>
    <row r="93" spans="1:15" x14ac:dyDescent="0.25">
      <c r="A93" s="4" t="s">
        <v>185</v>
      </c>
      <c r="B93" s="4" t="s">
        <v>608</v>
      </c>
      <c r="C93" s="4">
        <v>291</v>
      </c>
      <c r="D93" s="4">
        <v>130</v>
      </c>
      <c r="E93" s="4">
        <v>147</v>
      </c>
      <c r="F93" s="4">
        <v>214</v>
      </c>
      <c r="G93" s="4">
        <v>184</v>
      </c>
      <c r="H93" s="4">
        <v>189</v>
      </c>
      <c r="I93" s="4">
        <v>158</v>
      </c>
      <c r="J93" s="4">
        <v>291</v>
      </c>
      <c r="K93" s="4">
        <v>426</v>
      </c>
      <c r="L93" s="4">
        <v>280</v>
      </c>
      <c r="M93" s="4">
        <v>204</v>
      </c>
      <c r="N93" s="4">
        <v>154</v>
      </c>
      <c r="O93" s="5">
        <f>SUM(Tabela323910[[#This Row],[jan/23]:[dez/23]])</f>
        <v>2668</v>
      </c>
    </row>
    <row r="94" spans="1:15" x14ac:dyDescent="0.25">
      <c r="A94" s="4" t="s">
        <v>187</v>
      </c>
      <c r="B94" s="4" t="s">
        <v>749</v>
      </c>
      <c r="C94" s="4">
        <v>423</v>
      </c>
      <c r="D94" s="4">
        <v>240</v>
      </c>
      <c r="E94" s="4">
        <v>234</v>
      </c>
      <c r="F94" s="4">
        <v>278</v>
      </c>
      <c r="G94" s="4">
        <v>217</v>
      </c>
      <c r="H94" s="4">
        <v>207</v>
      </c>
      <c r="I94" s="4">
        <v>171</v>
      </c>
      <c r="J94" s="4">
        <v>168</v>
      </c>
      <c r="K94" s="4">
        <v>165</v>
      </c>
      <c r="L94" s="4">
        <v>124</v>
      </c>
      <c r="M94" s="4">
        <v>114</v>
      </c>
      <c r="N94" s="4">
        <v>260</v>
      </c>
      <c r="O94" s="5">
        <f>SUM(Tabela323910[[#This Row],[jan/23]:[dez/23]])</f>
        <v>2601</v>
      </c>
    </row>
    <row r="95" spans="1:15" x14ac:dyDescent="0.25">
      <c r="A95" s="4" t="s">
        <v>189</v>
      </c>
      <c r="B95" s="4" t="s">
        <v>514</v>
      </c>
      <c r="C95" s="4">
        <v>358</v>
      </c>
      <c r="D95" s="4">
        <v>259</v>
      </c>
      <c r="E95" s="4">
        <v>24</v>
      </c>
      <c r="F95" s="4"/>
      <c r="G95" s="4"/>
      <c r="H95" s="4"/>
      <c r="I95" s="4"/>
      <c r="J95" s="4"/>
      <c r="K95" s="4"/>
      <c r="L95" s="4"/>
      <c r="M95" s="4"/>
      <c r="N95" s="4"/>
      <c r="O95" s="5">
        <f>SUM(Tabela323910[[#This Row],[jan/23]:[dez/23]])</f>
        <v>641</v>
      </c>
    </row>
    <row r="96" spans="1:15" x14ac:dyDescent="0.25">
      <c r="A96" s="4" t="s">
        <v>189</v>
      </c>
      <c r="B96" s="4" t="s">
        <v>514</v>
      </c>
      <c r="C96" s="4">
        <v>358</v>
      </c>
      <c r="D96" s="4">
        <v>259</v>
      </c>
      <c r="E96" s="4">
        <v>247</v>
      </c>
      <c r="F96" s="4">
        <v>225</v>
      </c>
      <c r="G96" s="4">
        <v>196</v>
      </c>
      <c r="H96" s="4">
        <v>155</v>
      </c>
      <c r="I96" s="4">
        <v>247</v>
      </c>
      <c r="J96" s="4">
        <v>154</v>
      </c>
      <c r="K96" s="4">
        <v>232</v>
      </c>
      <c r="L96" s="4">
        <v>190</v>
      </c>
      <c r="M96" s="4">
        <v>173</v>
      </c>
      <c r="N96" s="4">
        <v>159</v>
      </c>
      <c r="O96" s="5">
        <f>SUM(Tabela323910[[#This Row],[jan/23]:[dez/23]])</f>
        <v>2595</v>
      </c>
    </row>
    <row r="97" spans="1:15" x14ac:dyDescent="0.25">
      <c r="A97" s="4" t="s">
        <v>191</v>
      </c>
      <c r="B97" s="4" t="s">
        <v>140</v>
      </c>
      <c r="C97" s="4">
        <v>231</v>
      </c>
      <c r="D97" s="4">
        <v>181</v>
      </c>
      <c r="E97" s="4">
        <v>314</v>
      </c>
      <c r="F97" s="4">
        <v>224</v>
      </c>
      <c r="G97" s="4">
        <v>217</v>
      </c>
      <c r="H97" s="4">
        <v>216</v>
      </c>
      <c r="I97" s="4">
        <v>207</v>
      </c>
      <c r="J97" s="4">
        <v>234</v>
      </c>
      <c r="K97" s="4">
        <v>185</v>
      </c>
      <c r="L97" s="4">
        <v>206</v>
      </c>
      <c r="M97" s="4">
        <v>158</v>
      </c>
      <c r="N97" s="4">
        <v>174</v>
      </c>
      <c r="O97" s="5">
        <f>SUM(Tabela323910[[#This Row],[jan/23]:[dez/23]])</f>
        <v>2547</v>
      </c>
    </row>
    <row r="98" spans="1:15" x14ac:dyDescent="0.25">
      <c r="A98" s="4" t="s">
        <v>193</v>
      </c>
      <c r="B98" s="4" t="s">
        <v>114</v>
      </c>
      <c r="C98" s="4">
        <v>149</v>
      </c>
      <c r="D98" s="4">
        <v>210</v>
      </c>
      <c r="E98" s="4">
        <v>286</v>
      </c>
      <c r="F98" s="4">
        <v>258</v>
      </c>
      <c r="G98" s="4">
        <v>229</v>
      </c>
      <c r="H98" s="4">
        <v>240</v>
      </c>
      <c r="I98" s="4">
        <v>246</v>
      </c>
      <c r="J98" s="4">
        <v>182</v>
      </c>
      <c r="K98" s="4">
        <v>218</v>
      </c>
      <c r="L98" s="4">
        <v>148</v>
      </c>
      <c r="M98" s="4">
        <v>158</v>
      </c>
      <c r="N98" s="4">
        <v>219</v>
      </c>
      <c r="O98" s="5">
        <f>SUM(Tabela323910[[#This Row],[jan/23]:[dez/23]])</f>
        <v>2543</v>
      </c>
    </row>
    <row r="99" spans="1:15" x14ac:dyDescent="0.25">
      <c r="A99" s="4" t="s">
        <v>195</v>
      </c>
      <c r="B99" s="4" t="s">
        <v>152</v>
      </c>
      <c r="C99" s="4">
        <v>248</v>
      </c>
      <c r="D99" s="4">
        <v>250</v>
      </c>
      <c r="E99" s="4">
        <v>284</v>
      </c>
      <c r="F99" s="4">
        <v>239</v>
      </c>
      <c r="G99" s="4">
        <v>200</v>
      </c>
      <c r="H99" s="4">
        <v>198</v>
      </c>
      <c r="I99" s="4">
        <v>202</v>
      </c>
      <c r="J99" s="4">
        <v>193</v>
      </c>
      <c r="K99" s="4">
        <v>188</v>
      </c>
      <c r="L99" s="4">
        <v>155</v>
      </c>
      <c r="M99" s="4">
        <v>116</v>
      </c>
      <c r="N99" s="4">
        <v>137</v>
      </c>
      <c r="O99" s="5">
        <f>SUM(Tabela323910[[#This Row],[jan/23]:[dez/23]])</f>
        <v>2410</v>
      </c>
    </row>
    <row r="100" spans="1:15" x14ac:dyDescent="0.25">
      <c r="A100" s="4" t="s">
        <v>197</v>
      </c>
      <c r="B100" s="4" t="s">
        <v>310</v>
      </c>
      <c r="C100" s="4">
        <v>211</v>
      </c>
      <c r="D100" s="4">
        <v>179</v>
      </c>
      <c r="E100" s="4">
        <v>243</v>
      </c>
      <c r="F100" s="4">
        <v>188</v>
      </c>
      <c r="G100" s="4">
        <v>190</v>
      </c>
      <c r="H100" s="4">
        <v>168</v>
      </c>
      <c r="I100" s="4">
        <v>192</v>
      </c>
      <c r="J100" s="4">
        <v>173</v>
      </c>
      <c r="K100" s="4">
        <v>178</v>
      </c>
      <c r="L100" s="4">
        <v>168</v>
      </c>
      <c r="M100" s="4">
        <v>166</v>
      </c>
      <c r="N100" s="4">
        <v>195</v>
      </c>
      <c r="O100" s="5">
        <f>SUM(Tabela323910[[#This Row],[jan/23]:[dez/23]])</f>
        <v>2251</v>
      </c>
    </row>
    <row r="101" spans="1:15" x14ac:dyDescent="0.25">
      <c r="A101" s="4" t="s">
        <v>199</v>
      </c>
      <c r="B101" s="4" t="s">
        <v>348</v>
      </c>
      <c r="C101" s="4">
        <v>411</v>
      </c>
      <c r="D101" s="4">
        <v>269</v>
      </c>
      <c r="E101" s="4">
        <v>323</v>
      </c>
      <c r="F101" s="4">
        <v>225</v>
      </c>
      <c r="G101" s="4">
        <v>164</v>
      </c>
      <c r="H101" s="4">
        <v>122</v>
      </c>
      <c r="I101" s="4">
        <v>91</v>
      </c>
      <c r="J101" s="4">
        <v>121</v>
      </c>
      <c r="K101" s="4">
        <v>137</v>
      </c>
      <c r="L101" s="4">
        <v>86</v>
      </c>
      <c r="M101" s="4">
        <v>97</v>
      </c>
      <c r="N101" s="4">
        <v>82</v>
      </c>
      <c r="O101" s="5">
        <f>SUM(Tabela323910[[#This Row],[jan/23]:[dez/23]])</f>
        <v>2128</v>
      </c>
    </row>
    <row r="102" spans="1:15" x14ac:dyDescent="0.25">
      <c r="A102" s="4" t="s">
        <v>201</v>
      </c>
      <c r="B102" s="4" t="s">
        <v>690</v>
      </c>
      <c r="C102" s="4">
        <v>193</v>
      </c>
      <c r="D102" s="4">
        <v>147</v>
      </c>
      <c r="E102" s="4">
        <v>173</v>
      </c>
      <c r="F102" s="4">
        <v>126</v>
      </c>
      <c r="G102" s="4">
        <v>148</v>
      </c>
      <c r="H102" s="4">
        <v>138</v>
      </c>
      <c r="I102" s="4">
        <v>137</v>
      </c>
      <c r="J102" s="4">
        <v>127</v>
      </c>
      <c r="K102" s="4">
        <v>113</v>
      </c>
      <c r="L102" s="4">
        <v>87</v>
      </c>
      <c r="M102" s="4">
        <v>286</v>
      </c>
      <c r="N102" s="4">
        <v>442</v>
      </c>
      <c r="O102" s="5">
        <f>SUM(Tabela323910[[#This Row],[jan/23]:[dez/23]])</f>
        <v>2117</v>
      </c>
    </row>
    <row r="103" spans="1:15" x14ac:dyDescent="0.25">
      <c r="A103" s="4" t="s">
        <v>203</v>
      </c>
      <c r="B103" s="4" t="s">
        <v>797</v>
      </c>
      <c r="C103" s="4">
        <v>284</v>
      </c>
      <c r="D103" s="4">
        <v>187</v>
      </c>
      <c r="E103" s="4">
        <v>178</v>
      </c>
      <c r="F103" s="4">
        <v>197</v>
      </c>
      <c r="G103" s="4">
        <v>191</v>
      </c>
      <c r="H103" s="4">
        <v>166</v>
      </c>
      <c r="I103" s="4">
        <v>175</v>
      </c>
      <c r="J103" s="4">
        <v>137</v>
      </c>
      <c r="K103" s="4">
        <v>188</v>
      </c>
      <c r="L103" s="4">
        <v>120</v>
      </c>
      <c r="M103" s="4">
        <v>129</v>
      </c>
      <c r="N103" s="4">
        <v>146</v>
      </c>
      <c r="O103" s="5">
        <f>SUM(Tabela323910[[#This Row],[jan/23]:[dez/23]])</f>
        <v>2098</v>
      </c>
    </row>
    <row r="104" spans="1:15" x14ac:dyDescent="0.25">
      <c r="A104" s="4" t="s">
        <v>205</v>
      </c>
      <c r="B104" s="4" t="s">
        <v>577</v>
      </c>
      <c r="C104" s="4">
        <v>190</v>
      </c>
      <c r="D104" s="4">
        <v>131</v>
      </c>
      <c r="E104" s="4">
        <v>197</v>
      </c>
      <c r="F104" s="4">
        <v>202</v>
      </c>
      <c r="G104" s="4">
        <v>199</v>
      </c>
      <c r="H104" s="4">
        <v>184</v>
      </c>
      <c r="I104" s="4">
        <v>202</v>
      </c>
      <c r="J104" s="4">
        <v>175</v>
      </c>
      <c r="K104" s="4">
        <v>166</v>
      </c>
      <c r="L104" s="4">
        <v>118</v>
      </c>
      <c r="M104" s="4">
        <v>104</v>
      </c>
      <c r="N104" s="4">
        <v>140</v>
      </c>
      <c r="O104" s="5">
        <f>SUM(Tabela323910[[#This Row],[jan/23]:[dez/23]])</f>
        <v>2008</v>
      </c>
    </row>
    <row r="105" spans="1:15" x14ac:dyDescent="0.25">
      <c r="A105" s="4" t="s">
        <v>207</v>
      </c>
      <c r="B105" s="4" t="s">
        <v>448</v>
      </c>
      <c r="C105" s="4">
        <v>51</v>
      </c>
      <c r="D105" s="4">
        <v>13</v>
      </c>
      <c r="E105" s="4">
        <v>4</v>
      </c>
      <c r="F105" s="4">
        <v>2</v>
      </c>
      <c r="G105" s="4">
        <v>3</v>
      </c>
      <c r="H105" s="4">
        <v>3</v>
      </c>
      <c r="I105" s="4">
        <v>329</v>
      </c>
      <c r="J105" s="4">
        <v>406</v>
      </c>
      <c r="K105" s="4">
        <v>295</v>
      </c>
      <c r="L105" s="4">
        <v>298</v>
      </c>
      <c r="M105" s="4">
        <v>297</v>
      </c>
      <c r="N105" s="4">
        <v>258</v>
      </c>
      <c r="O105" s="5">
        <f>SUM(Tabela323910[[#This Row],[jan/23]:[dez/23]])</f>
        <v>1959</v>
      </c>
    </row>
    <row r="106" spans="1:15" x14ac:dyDescent="0.25">
      <c r="A106" s="4" t="s">
        <v>209</v>
      </c>
      <c r="B106" s="4" t="s">
        <v>436</v>
      </c>
      <c r="C106" s="4">
        <v>158</v>
      </c>
      <c r="D106" s="4">
        <v>130</v>
      </c>
      <c r="E106" s="4">
        <v>271</v>
      </c>
      <c r="F106" s="4">
        <v>262</v>
      </c>
      <c r="G106" s="4">
        <v>197</v>
      </c>
      <c r="H106" s="4">
        <v>150</v>
      </c>
      <c r="I106" s="4">
        <v>172</v>
      </c>
      <c r="J106" s="4">
        <v>134</v>
      </c>
      <c r="K106" s="4">
        <v>141</v>
      </c>
      <c r="L106" s="4">
        <v>114</v>
      </c>
      <c r="M106" s="4">
        <v>88</v>
      </c>
      <c r="N106" s="4">
        <v>79</v>
      </c>
      <c r="O106" s="5">
        <f>SUM(Tabela323910[[#This Row],[jan/23]:[dez/23]])</f>
        <v>1896</v>
      </c>
    </row>
    <row r="107" spans="1:15" x14ac:dyDescent="0.25">
      <c r="A107" s="4" t="s">
        <v>211</v>
      </c>
      <c r="B107" s="4" t="s">
        <v>666</v>
      </c>
      <c r="C107" s="4">
        <v>275</v>
      </c>
      <c r="D107" s="4">
        <v>212</v>
      </c>
      <c r="E107" s="4">
        <v>238</v>
      </c>
      <c r="F107" s="4">
        <v>220</v>
      </c>
      <c r="G107" s="4">
        <v>206</v>
      </c>
      <c r="H107" s="4">
        <v>165</v>
      </c>
      <c r="I107" s="4">
        <v>137</v>
      </c>
      <c r="J107" s="4">
        <v>126</v>
      </c>
      <c r="K107" s="4">
        <v>101</v>
      </c>
      <c r="L107" s="4">
        <v>66</v>
      </c>
      <c r="M107" s="4">
        <v>55</v>
      </c>
      <c r="N107" s="4">
        <v>77</v>
      </c>
      <c r="O107" s="5">
        <f>SUM(Tabela323910[[#This Row],[jan/23]:[dez/23]])</f>
        <v>1878</v>
      </c>
    </row>
    <row r="108" spans="1:15" x14ac:dyDescent="0.25">
      <c r="A108" s="4" t="s">
        <v>213</v>
      </c>
      <c r="B108" s="4" t="s">
        <v>392</v>
      </c>
      <c r="C108" s="4">
        <v>191</v>
      </c>
      <c r="D108" s="4">
        <v>138</v>
      </c>
      <c r="E108" s="4">
        <v>162</v>
      </c>
      <c r="F108" s="4">
        <v>134</v>
      </c>
      <c r="G108" s="4">
        <v>91</v>
      </c>
      <c r="H108" s="4">
        <v>187</v>
      </c>
      <c r="I108" s="4">
        <v>241</v>
      </c>
      <c r="J108" s="4">
        <v>131</v>
      </c>
      <c r="K108" s="4">
        <v>99</v>
      </c>
      <c r="L108" s="4">
        <v>68</v>
      </c>
      <c r="M108" s="4">
        <v>180</v>
      </c>
      <c r="N108" s="4">
        <v>256</v>
      </c>
      <c r="O108" s="5">
        <f>SUM(Tabela323910[[#This Row],[jan/23]:[dez/23]])</f>
        <v>1878</v>
      </c>
    </row>
    <row r="109" spans="1:15" x14ac:dyDescent="0.25">
      <c r="A109" s="4" t="s">
        <v>215</v>
      </c>
      <c r="B109" s="4" t="s">
        <v>742</v>
      </c>
      <c r="C109" s="4">
        <v>192</v>
      </c>
      <c r="D109" s="4">
        <v>122</v>
      </c>
      <c r="E109" s="4">
        <v>138</v>
      </c>
      <c r="F109" s="4">
        <v>136</v>
      </c>
      <c r="G109" s="4">
        <v>143</v>
      </c>
      <c r="H109" s="4">
        <v>108</v>
      </c>
      <c r="I109" s="4">
        <v>113</v>
      </c>
      <c r="J109" s="4">
        <v>168</v>
      </c>
      <c r="K109" s="4">
        <v>269</v>
      </c>
      <c r="L109" s="4">
        <v>195</v>
      </c>
      <c r="M109" s="4">
        <v>158</v>
      </c>
      <c r="N109" s="4">
        <v>133</v>
      </c>
      <c r="O109" s="5">
        <f>SUM(Tabela323910[[#This Row],[jan/23]:[dez/23]])</f>
        <v>1875</v>
      </c>
    </row>
    <row r="110" spans="1:15" x14ac:dyDescent="0.25">
      <c r="A110" s="4" t="s">
        <v>217</v>
      </c>
      <c r="B110" s="4" t="s">
        <v>741</v>
      </c>
      <c r="C110" s="4">
        <v>328</v>
      </c>
      <c r="D110" s="4">
        <v>202</v>
      </c>
      <c r="E110" s="4">
        <v>216</v>
      </c>
      <c r="F110" s="4">
        <v>180</v>
      </c>
      <c r="G110" s="4">
        <v>150</v>
      </c>
      <c r="H110" s="4">
        <v>175</v>
      </c>
      <c r="I110" s="4">
        <v>137</v>
      </c>
      <c r="J110" s="4">
        <v>95</v>
      </c>
      <c r="K110" s="4">
        <v>107</v>
      </c>
      <c r="L110" s="4">
        <v>87</v>
      </c>
      <c r="M110" s="4">
        <v>76</v>
      </c>
      <c r="N110" s="4">
        <v>63</v>
      </c>
      <c r="O110" s="5">
        <f>SUM(Tabela323910[[#This Row],[jan/23]:[dez/23]])</f>
        <v>1816</v>
      </c>
    </row>
    <row r="111" spans="1:15" x14ac:dyDescent="0.25">
      <c r="A111" s="4" t="s">
        <v>219</v>
      </c>
      <c r="B111" s="4" t="s">
        <v>160</v>
      </c>
      <c r="C111" s="4">
        <v>149</v>
      </c>
      <c r="D111" s="4">
        <v>112</v>
      </c>
      <c r="E111" s="4">
        <v>162</v>
      </c>
      <c r="F111" s="4">
        <v>189</v>
      </c>
      <c r="G111" s="4">
        <v>148</v>
      </c>
      <c r="H111" s="4">
        <v>143</v>
      </c>
      <c r="I111" s="4">
        <v>115</v>
      </c>
      <c r="J111" s="4">
        <v>66</v>
      </c>
      <c r="K111" s="4">
        <v>96</v>
      </c>
      <c r="L111" s="4">
        <v>253</v>
      </c>
      <c r="M111" s="4">
        <v>184</v>
      </c>
      <c r="N111" s="4">
        <v>173</v>
      </c>
      <c r="O111" s="5">
        <f>SUM(Tabela323910[[#This Row],[jan/23]:[dez/23]])</f>
        <v>1790</v>
      </c>
    </row>
    <row r="112" spans="1:15" x14ac:dyDescent="0.25">
      <c r="A112" s="4" t="s">
        <v>221</v>
      </c>
      <c r="B112" s="4" t="s">
        <v>428</v>
      </c>
      <c r="C112" s="4">
        <v>179</v>
      </c>
      <c r="D112" s="4">
        <v>175</v>
      </c>
      <c r="E112" s="4">
        <v>264</v>
      </c>
      <c r="F112" s="4">
        <v>170</v>
      </c>
      <c r="G112" s="4">
        <v>222</v>
      </c>
      <c r="H112" s="4">
        <v>147</v>
      </c>
      <c r="I112" s="4">
        <v>137</v>
      </c>
      <c r="J112" s="4">
        <v>115</v>
      </c>
      <c r="K112" s="4">
        <v>115</v>
      </c>
      <c r="L112" s="4">
        <v>80</v>
      </c>
      <c r="M112" s="4">
        <v>80</v>
      </c>
      <c r="N112" s="4">
        <v>100</v>
      </c>
      <c r="O112" s="5">
        <f>SUM(Tabela323910[[#This Row],[jan/23]:[dez/23]])</f>
        <v>1784</v>
      </c>
    </row>
    <row r="113" spans="1:15" x14ac:dyDescent="0.25">
      <c r="A113" s="4" t="s">
        <v>223</v>
      </c>
      <c r="B113" s="4" t="s">
        <v>238</v>
      </c>
      <c r="C113" s="4">
        <v>100</v>
      </c>
      <c r="D113" s="4">
        <v>71</v>
      </c>
      <c r="E113" s="4">
        <v>121</v>
      </c>
      <c r="F113" s="4">
        <v>146</v>
      </c>
      <c r="G113" s="4">
        <v>161</v>
      </c>
      <c r="H113" s="4">
        <v>235</v>
      </c>
      <c r="I113" s="4">
        <v>322</v>
      </c>
      <c r="J113" s="4">
        <v>367</v>
      </c>
      <c r="K113" s="4">
        <v>68</v>
      </c>
      <c r="L113" s="4">
        <v>79</v>
      </c>
      <c r="M113" s="4">
        <v>57</v>
      </c>
      <c r="N113" s="4">
        <v>40</v>
      </c>
      <c r="O113" s="5">
        <f>SUM(Tabela323910[[#This Row],[jan/23]:[dez/23]])</f>
        <v>1767</v>
      </c>
    </row>
    <row r="114" spans="1:15" x14ac:dyDescent="0.25">
      <c r="A114" s="4" t="s">
        <v>225</v>
      </c>
      <c r="B114" s="4" t="s">
        <v>508</v>
      </c>
      <c r="C114" s="4">
        <v>158</v>
      </c>
      <c r="D114" s="4">
        <v>146</v>
      </c>
      <c r="E114" s="4">
        <v>159</v>
      </c>
      <c r="F114" s="4">
        <v>154</v>
      </c>
      <c r="G114" s="4">
        <v>185</v>
      </c>
      <c r="H114" s="4">
        <v>167</v>
      </c>
      <c r="I114" s="4">
        <v>163</v>
      </c>
      <c r="J114" s="4">
        <v>120</v>
      </c>
      <c r="K114" s="4">
        <v>129</v>
      </c>
      <c r="L114" s="4">
        <v>138</v>
      </c>
      <c r="M114" s="4">
        <v>122</v>
      </c>
      <c r="N114" s="4">
        <v>97</v>
      </c>
      <c r="O114" s="5">
        <f>SUM(Tabela323910[[#This Row],[jan/23]:[dez/23]])</f>
        <v>1738</v>
      </c>
    </row>
    <row r="115" spans="1:15" x14ac:dyDescent="0.25">
      <c r="A115" s="4" t="s">
        <v>229</v>
      </c>
      <c r="B115" s="4" t="s">
        <v>190</v>
      </c>
      <c r="C115" s="4"/>
      <c r="D115" s="4"/>
      <c r="E115" s="4"/>
      <c r="F115" s="4"/>
      <c r="G115" s="4"/>
      <c r="H115" s="4"/>
      <c r="I115" s="4"/>
      <c r="J115" s="4"/>
      <c r="K115" s="4">
        <v>383</v>
      </c>
      <c r="L115" s="4">
        <v>478</v>
      </c>
      <c r="M115" s="4">
        <v>394</v>
      </c>
      <c r="N115" s="4">
        <v>476</v>
      </c>
      <c r="O115" s="5">
        <f>SUM(Tabela323910[[#This Row],[jan/23]:[dez/23]])</f>
        <v>1731</v>
      </c>
    </row>
    <row r="116" spans="1:15" x14ac:dyDescent="0.25">
      <c r="A116" s="4" t="s">
        <v>227</v>
      </c>
      <c r="B116" s="4" t="s">
        <v>346</v>
      </c>
      <c r="C116" s="4">
        <v>128</v>
      </c>
      <c r="D116" s="4">
        <v>108</v>
      </c>
      <c r="E116" s="4">
        <v>168</v>
      </c>
      <c r="F116" s="4">
        <v>136</v>
      </c>
      <c r="G116" s="4">
        <v>103</v>
      </c>
      <c r="H116" s="4">
        <v>114</v>
      </c>
      <c r="I116" s="4">
        <v>139</v>
      </c>
      <c r="J116" s="4">
        <v>103</v>
      </c>
      <c r="K116" s="4">
        <v>138</v>
      </c>
      <c r="L116" s="4">
        <v>156</v>
      </c>
      <c r="M116" s="4">
        <v>137</v>
      </c>
      <c r="N116" s="4">
        <v>158</v>
      </c>
      <c r="O116" s="5">
        <f>SUM(Tabela323910[[#This Row],[jan/23]:[dez/23]])</f>
        <v>1588</v>
      </c>
    </row>
    <row r="117" spans="1:15" x14ac:dyDescent="0.25">
      <c r="A117" s="4" t="s">
        <v>231</v>
      </c>
      <c r="B117" s="4" t="s">
        <v>300</v>
      </c>
      <c r="C117" s="4">
        <v>177</v>
      </c>
      <c r="D117" s="4">
        <v>149</v>
      </c>
      <c r="E117" s="4">
        <v>153</v>
      </c>
      <c r="F117" s="4">
        <v>126</v>
      </c>
      <c r="G117" s="4">
        <v>90</v>
      </c>
      <c r="H117" s="4">
        <v>112</v>
      </c>
      <c r="I117" s="4">
        <v>148</v>
      </c>
      <c r="J117" s="4">
        <v>88</v>
      </c>
      <c r="K117" s="4">
        <v>84</v>
      </c>
      <c r="L117" s="4">
        <v>110</v>
      </c>
      <c r="M117" s="4">
        <v>100</v>
      </c>
      <c r="N117" s="4">
        <v>105</v>
      </c>
      <c r="O117" s="5">
        <f>SUM(Tabela323910[[#This Row],[jan/23]:[dez/23]])</f>
        <v>1442</v>
      </c>
    </row>
    <row r="118" spans="1:15" x14ac:dyDescent="0.25">
      <c r="A118" s="4" t="s">
        <v>233</v>
      </c>
      <c r="B118" s="4" t="s">
        <v>825</v>
      </c>
      <c r="C118" s="4">
        <v>516</v>
      </c>
      <c r="D118" s="4">
        <v>529</v>
      </c>
      <c r="E118" s="4">
        <v>210</v>
      </c>
      <c r="F118" s="4">
        <v>77</v>
      </c>
      <c r="G118" s="4">
        <v>35</v>
      </c>
      <c r="H118" s="4">
        <v>26</v>
      </c>
      <c r="I118" s="4">
        <v>20</v>
      </c>
      <c r="J118" s="4">
        <v>8</v>
      </c>
      <c r="K118" s="4">
        <v>10</v>
      </c>
      <c r="L118" s="4">
        <v>3</v>
      </c>
      <c r="M118" s="4">
        <v>5</v>
      </c>
      <c r="N118" s="4"/>
      <c r="O118" s="5">
        <f>SUM(Tabela323910[[#This Row],[jan/23]:[dez/23]])</f>
        <v>1439</v>
      </c>
    </row>
    <row r="119" spans="1:15" x14ac:dyDescent="0.25">
      <c r="A119" s="4" t="s">
        <v>235</v>
      </c>
      <c r="B119" s="4" t="s">
        <v>799</v>
      </c>
      <c r="C119" s="4">
        <v>110</v>
      </c>
      <c r="D119" s="4">
        <v>181</v>
      </c>
      <c r="E119" s="4">
        <v>252</v>
      </c>
      <c r="F119" s="4">
        <v>194</v>
      </c>
      <c r="G119" s="4">
        <v>143</v>
      </c>
      <c r="H119" s="4">
        <v>90</v>
      </c>
      <c r="I119" s="4">
        <v>98</v>
      </c>
      <c r="J119" s="4">
        <v>100</v>
      </c>
      <c r="K119" s="4">
        <v>85</v>
      </c>
      <c r="L119" s="4">
        <v>61</v>
      </c>
      <c r="M119" s="4">
        <v>51</v>
      </c>
      <c r="N119" s="4">
        <v>70</v>
      </c>
      <c r="O119" s="5">
        <f>SUM(Tabela323910[[#This Row],[jan/23]:[dez/23]])</f>
        <v>1435</v>
      </c>
    </row>
    <row r="120" spans="1:15" x14ac:dyDescent="0.25">
      <c r="A120" s="4" t="s">
        <v>237</v>
      </c>
      <c r="B120" s="4" t="s">
        <v>5</v>
      </c>
      <c r="C120" s="4">
        <v>424</v>
      </c>
      <c r="D120" s="4">
        <v>531</v>
      </c>
      <c r="E120" s="4">
        <v>233</v>
      </c>
      <c r="F120" s="4">
        <v>81</v>
      </c>
      <c r="G120" s="4">
        <v>62</v>
      </c>
      <c r="H120" s="4">
        <v>22</v>
      </c>
      <c r="I120" s="4">
        <v>29</v>
      </c>
      <c r="J120" s="4">
        <v>25</v>
      </c>
      <c r="K120" s="4">
        <v>8</v>
      </c>
      <c r="L120" s="4">
        <v>13</v>
      </c>
      <c r="M120" s="4">
        <v>5</v>
      </c>
      <c r="N120" s="4"/>
      <c r="O120" s="5">
        <f>SUM(Tabela323910[[#This Row],[jan/23]:[dez/23]])</f>
        <v>1433</v>
      </c>
    </row>
    <row r="121" spans="1:15" x14ac:dyDescent="0.25">
      <c r="A121" s="4" t="s">
        <v>239</v>
      </c>
      <c r="B121" s="4" t="s">
        <v>645</v>
      </c>
      <c r="C121" s="4">
        <v>293</v>
      </c>
      <c r="D121" s="4">
        <v>184</v>
      </c>
      <c r="E121" s="4">
        <v>110</v>
      </c>
      <c r="F121" s="4">
        <v>55</v>
      </c>
      <c r="G121" s="4">
        <v>89</v>
      </c>
      <c r="H121" s="4">
        <v>121</v>
      </c>
      <c r="I121" s="4">
        <v>168</v>
      </c>
      <c r="J121" s="4">
        <v>110</v>
      </c>
      <c r="K121" s="4">
        <v>93</v>
      </c>
      <c r="L121" s="4">
        <v>79</v>
      </c>
      <c r="M121" s="4">
        <v>77</v>
      </c>
      <c r="N121" s="4">
        <v>51</v>
      </c>
      <c r="O121" s="5">
        <f>SUM(Tabela323910[[#This Row],[jan/23]:[dez/23]])</f>
        <v>1430</v>
      </c>
    </row>
    <row r="122" spans="1:15" x14ac:dyDescent="0.25">
      <c r="A122" s="4" t="s">
        <v>243</v>
      </c>
      <c r="B122" s="4" t="s">
        <v>677</v>
      </c>
      <c r="C122" s="4">
        <v>80</v>
      </c>
      <c r="D122" s="4">
        <v>77</v>
      </c>
      <c r="E122" s="4">
        <v>104</v>
      </c>
      <c r="F122" s="4">
        <v>69</v>
      </c>
      <c r="G122" s="4">
        <v>82</v>
      </c>
      <c r="H122" s="4">
        <v>70</v>
      </c>
      <c r="I122" s="4">
        <v>143</v>
      </c>
      <c r="J122" s="4">
        <v>177</v>
      </c>
      <c r="K122" s="4">
        <v>179</v>
      </c>
      <c r="L122" s="4">
        <v>227</v>
      </c>
      <c r="M122" s="4">
        <v>87</v>
      </c>
      <c r="N122" s="4">
        <v>132</v>
      </c>
      <c r="O122" s="5">
        <f>SUM(Tabela323910[[#This Row],[jan/23]:[dez/23]])</f>
        <v>1427</v>
      </c>
    </row>
    <row r="123" spans="1:15" x14ac:dyDescent="0.25">
      <c r="A123" s="4" t="s">
        <v>241</v>
      </c>
      <c r="B123" s="4" t="s">
        <v>352</v>
      </c>
      <c r="C123" s="4">
        <v>109</v>
      </c>
      <c r="D123" s="4">
        <v>85</v>
      </c>
      <c r="E123" s="4">
        <v>112</v>
      </c>
      <c r="F123" s="4">
        <v>139</v>
      </c>
      <c r="G123" s="4">
        <v>186</v>
      </c>
      <c r="H123" s="4">
        <v>81</v>
      </c>
      <c r="I123" s="4">
        <v>93</v>
      </c>
      <c r="J123" s="4">
        <v>69</v>
      </c>
      <c r="K123" s="4">
        <v>91</v>
      </c>
      <c r="L123" s="4">
        <v>83</v>
      </c>
      <c r="M123" s="4">
        <v>139</v>
      </c>
      <c r="N123" s="4">
        <v>232</v>
      </c>
      <c r="O123" s="5">
        <f>SUM(Tabela323910[[#This Row],[jan/23]:[dez/23]])</f>
        <v>1419</v>
      </c>
    </row>
    <row r="124" spans="1:15" x14ac:dyDescent="0.25">
      <c r="A124" s="4" t="s">
        <v>245</v>
      </c>
      <c r="B124" s="4" t="s">
        <v>826</v>
      </c>
      <c r="C124" s="4"/>
      <c r="D124" s="4">
        <v>590</v>
      </c>
      <c r="E124" s="4">
        <v>400</v>
      </c>
      <c r="F124" s="4">
        <v>200</v>
      </c>
      <c r="G124" s="4">
        <v>93</v>
      </c>
      <c r="H124" s="4">
        <v>41</v>
      </c>
      <c r="I124" s="4">
        <v>18</v>
      </c>
      <c r="J124" s="4">
        <v>9</v>
      </c>
      <c r="K124" s="4">
        <v>5</v>
      </c>
      <c r="L124" s="4">
        <v>2</v>
      </c>
      <c r="M124" s="4">
        <v>1</v>
      </c>
      <c r="N124" s="4"/>
      <c r="O124" s="5">
        <f>SUM(Tabela323910[[#This Row],[jan/23]:[dez/23]])</f>
        <v>1359</v>
      </c>
    </row>
    <row r="125" spans="1:15" x14ac:dyDescent="0.25">
      <c r="A125" s="4" t="s">
        <v>247</v>
      </c>
      <c r="B125" s="4" t="s">
        <v>816</v>
      </c>
      <c r="C125" s="4"/>
      <c r="D125" s="4">
        <v>169</v>
      </c>
      <c r="E125" s="4">
        <v>157</v>
      </c>
      <c r="F125" s="4">
        <v>114</v>
      </c>
      <c r="G125" s="4">
        <v>133</v>
      </c>
      <c r="H125" s="4">
        <v>126</v>
      </c>
      <c r="I125" s="4">
        <v>119</v>
      </c>
      <c r="J125" s="4">
        <v>98</v>
      </c>
      <c r="K125" s="4">
        <v>123</v>
      </c>
      <c r="L125" s="4">
        <v>103</v>
      </c>
      <c r="M125" s="4">
        <v>111</v>
      </c>
      <c r="N125" s="4">
        <v>82</v>
      </c>
      <c r="O125" s="5">
        <f>SUM(Tabela323910[[#This Row],[jan/23]:[dez/23]])</f>
        <v>1335</v>
      </c>
    </row>
    <row r="126" spans="1:15" x14ac:dyDescent="0.25">
      <c r="A126" s="4" t="s">
        <v>249</v>
      </c>
      <c r="B126" s="4" t="s">
        <v>788</v>
      </c>
      <c r="C126" s="4">
        <v>144</v>
      </c>
      <c r="D126" s="4">
        <v>142</v>
      </c>
      <c r="E126" s="4">
        <v>175</v>
      </c>
      <c r="F126" s="4">
        <v>142</v>
      </c>
      <c r="G126" s="4">
        <v>121</v>
      </c>
      <c r="H126" s="4">
        <v>111</v>
      </c>
      <c r="I126" s="4">
        <v>77</v>
      </c>
      <c r="J126" s="4">
        <v>60</v>
      </c>
      <c r="K126" s="4">
        <v>85</v>
      </c>
      <c r="L126" s="4">
        <v>56</v>
      </c>
      <c r="M126" s="4">
        <v>32</v>
      </c>
      <c r="N126" s="4">
        <v>69</v>
      </c>
      <c r="O126" s="5">
        <f>SUM(Tabela323910[[#This Row],[jan/23]:[dez/23]])</f>
        <v>1214</v>
      </c>
    </row>
    <row r="127" spans="1:15" x14ac:dyDescent="0.25">
      <c r="A127" s="4" t="s">
        <v>253</v>
      </c>
      <c r="B127" s="4" t="s">
        <v>268</v>
      </c>
      <c r="C127" s="4">
        <v>121</v>
      </c>
      <c r="D127" s="4">
        <v>102</v>
      </c>
      <c r="E127" s="4">
        <v>125</v>
      </c>
      <c r="F127" s="4">
        <v>165</v>
      </c>
      <c r="G127" s="4">
        <v>130</v>
      </c>
      <c r="H127" s="4">
        <v>78</v>
      </c>
      <c r="I127" s="4">
        <v>73</v>
      </c>
      <c r="J127" s="4">
        <v>67</v>
      </c>
      <c r="K127" s="4">
        <v>79</v>
      </c>
      <c r="L127" s="4">
        <v>40</v>
      </c>
      <c r="M127" s="4">
        <v>43</v>
      </c>
      <c r="N127" s="4">
        <v>173</v>
      </c>
      <c r="O127" s="5">
        <f>SUM(Tabela323910[[#This Row],[jan/23]:[dez/23]])</f>
        <v>1196</v>
      </c>
    </row>
    <row r="128" spans="1:15" x14ac:dyDescent="0.25">
      <c r="A128" s="4" t="s">
        <v>251</v>
      </c>
      <c r="B128" s="4" t="s">
        <v>581</v>
      </c>
      <c r="C128" s="4">
        <v>200</v>
      </c>
      <c r="D128" s="4">
        <v>89</v>
      </c>
      <c r="E128" s="4">
        <v>100</v>
      </c>
      <c r="F128" s="4">
        <v>130</v>
      </c>
      <c r="G128" s="4">
        <v>100</v>
      </c>
      <c r="H128" s="4">
        <v>152</v>
      </c>
      <c r="I128" s="4">
        <v>109</v>
      </c>
      <c r="J128" s="4">
        <v>68</v>
      </c>
      <c r="K128" s="4">
        <v>41</v>
      </c>
      <c r="L128" s="4">
        <v>63</v>
      </c>
      <c r="M128" s="4">
        <v>87</v>
      </c>
      <c r="N128" s="4">
        <v>45</v>
      </c>
      <c r="O128" s="5">
        <f>SUM(Tabela323910[[#This Row],[jan/23]:[dez/23]])</f>
        <v>1184</v>
      </c>
    </row>
    <row r="129" spans="1:15" x14ac:dyDescent="0.25">
      <c r="A129" s="4" t="s">
        <v>255</v>
      </c>
      <c r="B129" s="4" t="s">
        <v>294</v>
      </c>
      <c r="C129" s="4">
        <v>101</v>
      </c>
      <c r="D129" s="4">
        <v>103</v>
      </c>
      <c r="E129" s="4">
        <v>90</v>
      </c>
      <c r="F129" s="4">
        <v>83</v>
      </c>
      <c r="G129" s="4">
        <v>103</v>
      </c>
      <c r="H129" s="4">
        <v>125</v>
      </c>
      <c r="I129" s="4">
        <v>101</v>
      </c>
      <c r="J129" s="4">
        <v>103</v>
      </c>
      <c r="K129" s="4">
        <v>80</v>
      </c>
      <c r="L129" s="4">
        <v>84</v>
      </c>
      <c r="M129" s="4">
        <v>78</v>
      </c>
      <c r="N129" s="4">
        <v>85</v>
      </c>
      <c r="O129" s="5">
        <f>SUM(Tabela323910[[#This Row],[jan/23]:[dez/23]])</f>
        <v>1136</v>
      </c>
    </row>
    <row r="130" spans="1:15" x14ac:dyDescent="0.25">
      <c r="A130" s="4" t="s">
        <v>257</v>
      </c>
      <c r="B130" s="4" t="s">
        <v>692</v>
      </c>
      <c r="C130" s="4">
        <v>39</v>
      </c>
      <c r="D130" s="4">
        <v>10</v>
      </c>
      <c r="E130" s="4">
        <v>89</v>
      </c>
      <c r="F130" s="4"/>
      <c r="G130" s="4">
        <v>1</v>
      </c>
      <c r="H130" s="4">
        <v>174</v>
      </c>
      <c r="I130" s="4">
        <v>195</v>
      </c>
      <c r="J130" s="4">
        <v>141</v>
      </c>
      <c r="K130" s="4">
        <v>133</v>
      </c>
      <c r="L130" s="4">
        <v>118</v>
      </c>
      <c r="M130" s="4">
        <v>94</v>
      </c>
      <c r="N130" s="4">
        <v>136</v>
      </c>
      <c r="O130" s="5">
        <f>SUM(Tabela323910[[#This Row],[jan/23]:[dez/23]])</f>
        <v>1130</v>
      </c>
    </row>
    <row r="131" spans="1:15" x14ac:dyDescent="0.25">
      <c r="A131" s="4" t="s">
        <v>259</v>
      </c>
      <c r="B131" s="4" t="s">
        <v>252</v>
      </c>
      <c r="C131" s="4">
        <v>26</v>
      </c>
      <c r="D131" s="4">
        <v>58</v>
      </c>
      <c r="E131" s="4">
        <v>85</v>
      </c>
      <c r="F131" s="4">
        <v>95</v>
      </c>
      <c r="G131" s="4">
        <v>131</v>
      </c>
      <c r="H131" s="4">
        <v>119</v>
      </c>
      <c r="I131" s="4">
        <v>147</v>
      </c>
      <c r="J131" s="4">
        <v>79</v>
      </c>
      <c r="K131" s="4">
        <v>139</v>
      </c>
      <c r="L131" s="4">
        <v>101</v>
      </c>
      <c r="M131" s="4">
        <v>59</v>
      </c>
      <c r="N131" s="4">
        <v>85</v>
      </c>
      <c r="O131" s="5">
        <f>SUM(Tabela323910[[#This Row],[jan/23]:[dez/23]])</f>
        <v>1124</v>
      </c>
    </row>
    <row r="132" spans="1:15" x14ac:dyDescent="0.25">
      <c r="A132" s="4" t="s">
        <v>261</v>
      </c>
      <c r="B132" s="4" t="s">
        <v>794</v>
      </c>
      <c r="C132" s="4">
        <v>214</v>
      </c>
      <c r="D132" s="4">
        <v>138</v>
      </c>
      <c r="E132" s="4">
        <v>116</v>
      </c>
      <c r="F132" s="4">
        <v>62</v>
      </c>
      <c r="G132" s="4">
        <v>69</v>
      </c>
      <c r="H132" s="4">
        <v>81</v>
      </c>
      <c r="I132" s="4">
        <v>111</v>
      </c>
      <c r="J132" s="4">
        <v>89</v>
      </c>
      <c r="K132" s="4">
        <v>63</v>
      </c>
      <c r="L132" s="4">
        <v>52</v>
      </c>
      <c r="M132" s="4">
        <v>62</v>
      </c>
      <c r="N132" s="4">
        <v>52</v>
      </c>
      <c r="O132" s="5">
        <f>SUM(Tabela323910[[#This Row],[jan/23]:[dez/23]])</f>
        <v>1109</v>
      </c>
    </row>
    <row r="133" spans="1:15" x14ac:dyDescent="0.25">
      <c r="A133" s="4" t="s">
        <v>265</v>
      </c>
      <c r="B133" s="4" t="s">
        <v>787</v>
      </c>
      <c r="C133" s="4">
        <v>153</v>
      </c>
      <c r="D133" s="4">
        <v>128</v>
      </c>
      <c r="E133" s="4">
        <v>114</v>
      </c>
      <c r="F133" s="4">
        <v>114</v>
      </c>
      <c r="G133" s="4">
        <v>77</v>
      </c>
      <c r="H133" s="4">
        <v>118</v>
      </c>
      <c r="I133" s="4">
        <v>69</v>
      </c>
      <c r="J133" s="4">
        <v>41</v>
      </c>
      <c r="K133" s="4">
        <v>50</v>
      </c>
      <c r="L133" s="4">
        <v>55</v>
      </c>
      <c r="M133" s="4">
        <v>61</v>
      </c>
      <c r="N133" s="4">
        <v>86</v>
      </c>
      <c r="O133" s="5">
        <f>SUM(Tabela323910[[#This Row],[jan/23]:[dez/23]])</f>
        <v>1066</v>
      </c>
    </row>
    <row r="134" spans="1:15" x14ac:dyDescent="0.25">
      <c r="A134" s="4" t="s">
        <v>263</v>
      </c>
      <c r="B134" s="4" t="s">
        <v>545</v>
      </c>
      <c r="C134" s="4">
        <v>141</v>
      </c>
      <c r="D134" s="4">
        <v>117</v>
      </c>
      <c r="E134" s="4">
        <v>163</v>
      </c>
      <c r="F134" s="4">
        <v>135</v>
      </c>
      <c r="G134" s="4">
        <v>110</v>
      </c>
      <c r="H134" s="4">
        <v>111</v>
      </c>
      <c r="I134" s="4">
        <v>74</v>
      </c>
      <c r="J134" s="4">
        <v>56</v>
      </c>
      <c r="K134" s="4">
        <v>43</v>
      </c>
      <c r="L134" s="4">
        <v>26</v>
      </c>
      <c r="M134" s="4">
        <v>32</v>
      </c>
      <c r="N134" s="4">
        <v>23</v>
      </c>
      <c r="O134" s="5">
        <f>SUM(Tabela323910[[#This Row],[jan/23]:[dez/23]])</f>
        <v>1031</v>
      </c>
    </row>
    <row r="135" spans="1:15" x14ac:dyDescent="0.25">
      <c r="A135" s="4" t="s">
        <v>267</v>
      </c>
      <c r="B135" s="4" t="s">
        <v>216</v>
      </c>
      <c r="C135" s="4">
        <v>138</v>
      </c>
      <c r="D135" s="4">
        <v>112</v>
      </c>
      <c r="E135" s="4">
        <v>102</v>
      </c>
      <c r="F135" s="4">
        <v>68</v>
      </c>
      <c r="G135" s="4">
        <v>65</v>
      </c>
      <c r="H135" s="4">
        <v>73</v>
      </c>
      <c r="I135" s="4">
        <v>88</v>
      </c>
      <c r="J135" s="4">
        <v>82</v>
      </c>
      <c r="K135" s="4">
        <v>64</v>
      </c>
      <c r="L135" s="4">
        <v>73</v>
      </c>
      <c r="M135" s="4">
        <v>81</v>
      </c>
      <c r="N135" s="4">
        <v>76</v>
      </c>
      <c r="O135" s="5">
        <f>SUM(Tabela323910[[#This Row],[jan/23]:[dez/23]])</f>
        <v>1022</v>
      </c>
    </row>
    <row r="136" spans="1:15" x14ac:dyDescent="0.25">
      <c r="A136" s="4" t="s">
        <v>269</v>
      </c>
      <c r="B136" s="4" t="s">
        <v>803</v>
      </c>
      <c r="C136" s="4">
        <v>222</v>
      </c>
      <c r="D136" s="4">
        <v>113</v>
      </c>
      <c r="E136" s="4">
        <v>110</v>
      </c>
      <c r="F136" s="4">
        <v>121</v>
      </c>
      <c r="G136" s="4">
        <v>88</v>
      </c>
      <c r="H136" s="4">
        <v>75</v>
      </c>
      <c r="I136" s="4">
        <v>80</v>
      </c>
      <c r="J136" s="4">
        <v>62</v>
      </c>
      <c r="K136" s="4">
        <v>31</v>
      </c>
      <c r="L136" s="4">
        <v>32</v>
      </c>
      <c r="M136" s="4">
        <v>36</v>
      </c>
      <c r="N136" s="4">
        <v>45</v>
      </c>
      <c r="O136" s="5">
        <f>SUM(Tabela323910[[#This Row],[jan/23]:[dez/23]])</f>
        <v>1015</v>
      </c>
    </row>
    <row r="137" spans="1:15" x14ac:dyDescent="0.25">
      <c r="A137" s="4" t="s">
        <v>271</v>
      </c>
      <c r="B137" s="4" t="s">
        <v>565</v>
      </c>
      <c r="C137" s="4">
        <v>72</v>
      </c>
      <c r="D137" s="4">
        <v>90</v>
      </c>
      <c r="E137" s="4">
        <v>96</v>
      </c>
      <c r="F137" s="4">
        <v>112</v>
      </c>
      <c r="G137" s="4">
        <v>93</v>
      </c>
      <c r="H137" s="4">
        <v>106</v>
      </c>
      <c r="I137" s="4">
        <v>75</v>
      </c>
      <c r="J137" s="4">
        <v>75</v>
      </c>
      <c r="K137" s="4">
        <v>70</v>
      </c>
      <c r="L137" s="4">
        <v>77</v>
      </c>
      <c r="M137" s="4">
        <v>62</v>
      </c>
      <c r="N137" s="4">
        <v>87</v>
      </c>
      <c r="O137" s="5">
        <f>SUM(Tabela323910[[#This Row],[jan/23]:[dez/23]])</f>
        <v>1015</v>
      </c>
    </row>
    <row r="138" spans="1:15" x14ac:dyDescent="0.25">
      <c r="A138" s="4" t="s">
        <v>273</v>
      </c>
      <c r="B138" s="4" t="s">
        <v>264</v>
      </c>
      <c r="C138" s="4">
        <v>78</v>
      </c>
      <c r="D138" s="4">
        <v>39</v>
      </c>
      <c r="E138" s="4">
        <v>104</v>
      </c>
      <c r="F138" s="4">
        <v>46</v>
      </c>
      <c r="G138" s="4">
        <v>119</v>
      </c>
      <c r="H138" s="4">
        <v>171</v>
      </c>
      <c r="I138" s="4">
        <v>89</v>
      </c>
      <c r="J138" s="4">
        <v>103</v>
      </c>
      <c r="K138" s="4">
        <v>63</v>
      </c>
      <c r="L138" s="4">
        <v>91</v>
      </c>
      <c r="M138" s="4">
        <v>24</v>
      </c>
      <c r="N138" s="4">
        <v>40</v>
      </c>
      <c r="O138" s="5">
        <f>SUM(Tabela323910[[#This Row],[jan/23]:[dez/23]])</f>
        <v>967</v>
      </c>
    </row>
    <row r="139" spans="1:15" x14ac:dyDescent="0.25">
      <c r="A139" s="4" t="s">
        <v>275</v>
      </c>
      <c r="B139" s="4" t="s">
        <v>688</v>
      </c>
      <c r="C139" s="4">
        <v>129</v>
      </c>
      <c r="D139" s="4">
        <v>99</v>
      </c>
      <c r="E139" s="4">
        <v>99</v>
      </c>
      <c r="F139" s="4">
        <v>123</v>
      </c>
      <c r="G139" s="4">
        <v>81</v>
      </c>
      <c r="H139" s="4">
        <v>79</v>
      </c>
      <c r="I139" s="4">
        <v>70</v>
      </c>
      <c r="J139" s="4">
        <v>51</v>
      </c>
      <c r="K139" s="4">
        <v>46</v>
      </c>
      <c r="L139" s="4">
        <v>46</v>
      </c>
      <c r="M139" s="4">
        <v>57</v>
      </c>
      <c r="N139" s="4">
        <v>55</v>
      </c>
      <c r="O139" s="5">
        <f>SUM(Tabela323910[[#This Row],[jan/23]:[dez/23]])</f>
        <v>935</v>
      </c>
    </row>
    <row r="140" spans="1:15" x14ac:dyDescent="0.25">
      <c r="A140" s="4" t="s">
        <v>277</v>
      </c>
      <c r="B140" s="4" t="s">
        <v>364</v>
      </c>
      <c r="C140" s="4">
        <v>68</v>
      </c>
      <c r="D140" s="4">
        <v>25</v>
      </c>
      <c r="E140" s="4">
        <v>25</v>
      </c>
      <c r="F140" s="4">
        <v>8</v>
      </c>
      <c r="G140" s="4">
        <v>67</v>
      </c>
      <c r="H140" s="4">
        <v>44</v>
      </c>
      <c r="I140" s="4">
        <v>52</v>
      </c>
      <c r="J140" s="4">
        <v>63</v>
      </c>
      <c r="K140" s="4">
        <v>51</v>
      </c>
      <c r="L140" s="4">
        <v>131</v>
      </c>
      <c r="M140" s="4">
        <v>238</v>
      </c>
      <c r="N140" s="4">
        <v>142</v>
      </c>
      <c r="O140" s="5">
        <f>SUM(Tabela323910[[#This Row],[jan/23]:[dez/23]])</f>
        <v>914</v>
      </c>
    </row>
    <row r="141" spans="1:15" x14ac:dyDescent="0.25">
      <c r="A141" s="4" t="s">
        <v>279</v>
      </c>
      <c r="B141" s="4" t="s">
        <v>695</v>
      </c>
      <c r="C141" s="4"/>
      <c r="D141" s="4"/>
      <c r="E141" s="4"/>
      <c r="F141" s="4"/>
      <c r="G141" s="4">
        <v>10</v>
      </c>
      <c r="H141" s="4">
        <v>97</v>
      </c>
      <c r="I141" s="4">
        <v>180</v>
      </c>
      <c r="J141" s="4">
        <v>136</v>
      </c>
      <c r="K141" s="4">
        <v>138</v>
      </c>
      <c r="L141" s="4">
        <v>118</v>
      </c>
      <c r="M141" s="4">
        <v>113</v>
      </c>
      <c r="N141" s="4">
        <v>115</v>
      </c>
      <c r="O141" s="5">
        <f>SUM(Tabela323910[[#This Row],[jan/23]:[dez/23]])</f>
        <v>907</v>
      </c>
    </row>
    <row r="142" spans="1:15" x14ac:dyDescent="0.25">
      <c r="A142" s="4" t="s">
        <v>281</v>
      </c>
      <c r="B142" s="4" t="s">
        <v>679</v>
      </c>
      <c r="C142" s="4">
        <v>66</v>
      </c>
      <c r="D142" s="4">
        <v>87</v>
      </c>
      <c r="E142" s="4">
        <v>84</v>
      </c>
      <c r="F142" s="4">
        <v>106</v>
      </c>
      <c r="G142" s="4">
        <v>78</v>
      </c>
      <c r="H142" s="4">
        <v>87</v>
      </c>
      <c r="I142" s="4">
        <v>76</v>
      </c>
      <c r="J142" s="4">
        <v>78</v>
      </c>
      <c r="K142" s="4">
        <v>73</v>
      </c>
      <c r="L142" s="4">
        <v>48</v>
      </c>
      <c r="M142" s="4">
        <v>55</v>
      </c>
      <c r="N142" s="4">
        <v>66</v>
      </c>
      <c r="O142" s="5">
        <f>SUM(Tabela323910[[#This Row],[jan/23]:[dez/23]])</f>
        <v>904</v>
      </c>
    </row>
    <row r="143" spans="1:15" x14ac:dyDescent="0.25">
      <c r="A143" s="4" t="s">
        <v>285</v>
      </c>
      <c r="B143" s="4" t="s">
        <v>212</v>
      </c>
      <c r="C143" s="4">
        <v>53</v>
      </c>
      <c r="D143" s="4">
        <v>47</v>
      </c>
      <c r="E143" s="4">
        <v>63</v>
      </c>
      <c r="F143" s="4">
        <v>74</v>
      </c>
      <c r="G143" s="4">
        <v>68</v>
      </c>
      <c r="H143" s="4">
        <v>69</v>
      </c>
      <c r="I143" s="4">
        <v>69</v>
      </c>
      <c r="J143" s="4">
        <v>58</v>
      </c>
      <c r="K143" s="4">
        <v>53</v>
      </c>
      <c r="L143" s="4">
        <v>95</v>
      </c>
      <c r="M143" s="4">
        <v>111</v>
      </c>
      <c r="N143" s="4">
        <v>116</v>
      </c>
      <c r="O143" s="5">
        <f>SUM(Tabela323910[[#This Row],[jan/23]:[dez/23]])</f>
        <v>876</v>
      </c>
    </row>
    <row r="144" spans="1:15" x14ac:dyDescent="0.25">
      <c r="A144" s="4" t="s">
        <v>283</v>
      </c>
      <c r="B144" s="4" t="s">
        <v>518</v>
      </c>
      <c r="C144" s="4">
        <v>50</v>
      </c>
      <c r="D144" s="4">
        <v>80</v>
      </c>
      <c r="E144" s="4">
        <v>90</v>
      </c>
      <c r="F144" s="4">
        <v>100</v>
      </c>
      <c r="G144" s="4">
        <v>100</v>
      </c>
      <c r="H144" s="4"/>
      <c r="I144" s="4"/>
      <c r="J144" s="4">
        <v>88</v>
      </c>
      <c r="K144" s="4">
        <v>106</v>
      </c>
      <c r="L144" s="4">
        <v>76</v>
      </c>
      <c r="M144" s="4">
        <v>84</v>
      </c>
      <c r="N144" s="4">
        <v>96</v>
      </c>
      <c r="O144" s="5">
        <f>SUM(Tabela323910[[#This Row],[jan/23]:[dez/23]])</f>
        <v>870</v>
      </c>
    </row>
    <row r="145" spans="1:15" x14ac:dyDescent="0.25">
      <c r="A145" s="4" t="s">
        <v>287</v>
      </c>
      <c r="B145" s="4" t="s">
        <v>186</v>
      </c>
      <c r="C145" s="4">
        <v>74</v>
      </c>
      <c r="D145" s="4">
        <v>63</v>
      </c>
      <c r="E145" s="4">
        <v>71</v>
      </c>
      <c r="F145" s="4">
        <v>70</v>
      </c>
      <c r="G145" s="4">
        <v>45</v>
      </c>
      <c r="H145" s="4">
        <v>88</v>
      </c>
      <c r="I145" s="4">
        <v>70</v>
      </c>
      <c r="J145" s="4">
        <v>74</v>
      </c>
      <c r="K145" s="4">
        <v>70</v>
      </c>
      <c r="L145" s="4">
        <v>74</v>
      </c>
      <c r="M145" s="4">
        <v>70</v>
      </c>
      <c r="N145" s="4">
        <v>99</v>
      </c>
      <c r="O145" s="5">
        <f>SUM(Tabela323910[[#This Row],[jan/23]:[dez/23]])</f>
        <v>868</v>
      </c>
    </row>
    <row r="146" spans="1:15" x14ac:dyDescent="0.25">
      <c r="A146" s="4" t="s">
        <v>289</v>
      </c>
      <c r="B146" s="4" t="s">
        <v>552</v>
      </c>
      <c r="C146" s="4">
        <v>135</v>
      </c>
      <c r="D146" s="4">
        <v>77</v>
      </c>
      <c r="E146" s="4">
        <v>71</v>
      </c>
      <c r="F146" s="4">
        <v>91</v>
      </c>
      <c r="G146" s="4">
        <v>75</v>
      </c>
      <c r="H146" s="4">
        <v>49</v>
      </c>
      <c r="I146" s="4">
        <v>49</v>
      </c>
      <c r="J146" s="4">
        <v>48</v>
      </c>
      <c r="K146" s="4">
        <v>69</v>
      </c>
      <c r="L146" s="4">
        <v>88</v>
      </c>
      <c r="M146" s="4">
        <v>59</v>
      </c>
      <c r="N146" s="4">
        <v>52</v>
      </c>
      <c r="O146" s="5">
        <f>SUM(Tabela323910[[#This Row],[jan/23]:[dez/23]])</f>
        <v>863</v>
      </c>
    </row>
    <row r="147" spans="1:15" x14ac:dyDescent="0.25">
      <c r="A147" s="4" t="s">
        <v>291</v>
      </c>
      <c r="B147" s="4" t="s">
        <v>662</v>
      </c>
      <c r="C147" s="4">
        <v>72</v>
      </c>
      <c r="D147" s="4">
        <v>48</v>
      </c>
      <c r="E147" s="4">
        <v>53</v>
      </c>
      <c r="F147" s="4">
        <v>92</v>
      </c>
      <c r="G147" s="4">
        <v>81</v>
      </c>
      <c r="H147" s="4">
        <v>88</v>
      </c>
      <c r="I147" s="4">
        <v>45</v>
      </c>
      <c r="J147" s="4">
        <v>82</v>
      </c>
      <c r="K147" s="4">
        <v>55</v>
      </c>
      <c r="L147" s="4">
        <v>67</v>
      </c>
      <c r="M147" s="4">
        <v>41</v>
      </c>
      <c r="N147" s="4">
        <v>48</v>
      </c>
      <c r="O147" s="5">
        <f>SUM(Tabela323910[[#This Row],[jan/23]:[dez/23]])</f>
        <v>772</v>
      </c>
    </row>
    <row r="148" spans="1:15" x14ac:dyDescent="0.25">
      <c r="A148" s="4" t="s">
        <v>293</v>
      </c>
      <c r="B148" s="4" t="s">
        <v>224</v>
      </c>
      <c r="C148" s="4">
        <v>140</v>
      </c>
      <c r="D148" s="4">
        <v>50</v>
      </c>
      <c r="E148" s="4">
        <v>31</v>
      </c>
      <c r="F148" s="4">
        <v>59</v>
      </c>
      <c r="G148" s="4">
        <v>18</v>
      </c>
      <c r="H148" s="4">
        <v>17</v>
      </c>
      <c r="I148" s="4">
        <v>14</v>
      </c>
      <c r="J148" s="4">
        <v>12</v>
      </c>
      <c r="K148" s="4">
        <v>62</v>
      </c>
      <c r="L148" s="4">
        <v>124</v>
      </c>
      <c r="M148" s="4">
        <v>119</v>
      </c>
      <c r="N148" s="4">
        <v>125</v>
      </c>
      <c r="O148" s="5">
        <f>SUM(Tabela323910[[#This Row],[jan/23]:[dez/23]])</f>
        <v>771</v>
      </c>
    </row>
    <row r="149" spans="1:15" x14ac:dyDescent="0.25">
      <c r="A149" s="4" t="s">
        <v>295</v>
      </c>
      <c r="B149" s="4" t="s">
        <v>673</v>
      </c>
      <c r="C149" s="4">
        <v>29</v>
      </c>
      <c r="D149" s="4">
        <v>47</v>
      </c>
      <c r="E149" s="4">
        <v>50</v>
      </c>
      <c r="F149" s="4">
        <v>74</v>
      </c>
      <c r="G149" s="4">
        <v>76</v>
      </c>
      <c r="H149" s="4">
        <v>40</v>
      </c>
      <c r="I149" s="4">
        <v>38</v>
      </c>
      <c r="J149" s="4">
        <v>18</v>
      </c>
      <c r="K149" s="4">
        <v>43</v>
      </c>
      <c r="L149" s="4">
        <v>66</v>
      </c>
      <c r="M149" s="4">
        <v>77</v>
      </c>
      <c r="N149" s="4">
        <v>73</v>
      </c>
      <c r="O149" s="5">
        <f>SUM(Tabela323910[[#This Row],[jan/23]:[dez/23]])</f>
        <v>631</v>
      </c>
    </row>
    <row r="150" spans="1:15" x14ac:dyDescent="0.25">
      <c r="A150" s="4" t="s">
        <v>297</v>
      </c>
      <c r="B150" s="4" t="s">
        <v>744</v>
      </c>
      <c r="C150" s="4">
        <v>63</v>
      </c>
      <c r="D150" s="4">
        <v>28</v>
      </c>
      <c r="E150" s="4">
        <v>59</v>
      </c>
      <c r="F150" s="4">
        <v>70</v>
      </c>
      <c r="G150" s="4">
        <v>49</v>
      </c>
      <c r="H150" s="4">
        <v>41</v>
      </c>
      <c r="I150" s="4">
        <v>44</v>
      </c>
      <c r="J150" s="4">
        <v>51</v>
      </c>
      <c r="K150" s="4">
        <v>69</v>
      </c>
      <c r="L150" s="4">
        <v>64</v>
      </c>
      <c r="M150" s="4">
        <v>48</v>
      </c>
      <c r="N150" s="4">
        <v>36</v>
      </c>
      <c r="O150" s="5">
        <f>SUM(Tabela323910[[#This Row],[jan/23]:[dez/23]])</f>
        <v>622</v>
      </c>
    </row>
    <row r="151" spans="1:15" x14ac:dyDescent="0.25">
      <c r="A151" s="4" t="s">
        <v>299</v>
      </c>
      <c r="B151" s="4" t="s">
        <v>811</v>
      </c>
      <c r="C151" s="4">
        <v>23</v>
      </c>
      <c r="D151" s="4">
        <v>17</v>
      </c>
      <c r="E151" s="4">
        <v>6</v>
      </c>
      <c r="F151" s="4">
        <v>9</v>
      </c>
      <c r="G151" s="4">
        <v>133</v>
      </c>
      <c r="H151" s="4">
        <v>129</v>
      </c>
      <c r="I151" s="4">
        <v>138</v>
      </c>
      <c r="J151" s="4">
        <v>35</v>
      </c>
      <c r="K151" s="4">
        <v>25</v>
      </c>
      <c r="L151" s="4">
        <v>29</v>
      </c>
      <c r="M151" s="4">
        <v>18</v>
      </c>
      <c r="N151" s="4">
        <v>52</v>
      </c>
      <c r="O151" s="5">
        <f>SUM(Tabela323910[[#This Row],[jan/23]:[dez/23]])</f>
        <v>614</v>
      </c>
    </row>
    <row r="152" spans="1:15" x14ac:dyDescent="0.25">
      <c r="A152" s="4" t="s">
        <v>301</v>
      </c>
      <c r="B152" s="4" t="s">
        <v>583</v>
      </c>
      <c r="C152" s="4">
        <v>58</v>
      </c>
      <c r="D152" s="4">
        <v>43</v>
      </c>
      <c r="E152" s="4">
        <v>59</v>
      </c>
      <c r="F152" s="4">
        <v>76</v>
      </c>
      <c r="G152" s="4">
        <v>58</v>
      </c>
      <c r="H152" s="4">
        <v>50</v>
      </c>
      <c r="I152" s="4">
        <v>54</v>
      </c>
      <c r="J152" s="4">
        <v>51</v>
      </c>
      <c r="K152" s="4">
        <v>46</v>
      </c>
      <c r="L152" s="4">
        <v>41</v>
      </c>
      <c r="M152" s="4">
        <v>22</v>
      </c>
      <c r="N152" s="4">
        <v>24</v>
      </c>
      <c r="O152" s="5">
        <f>SUM(Tabela323910[[#This Row],[jan/23]:[dez/23]])</f>
        <v>582</v>
      </c>
    </row>
    <row r="153" spans="1:15" x14ac:dyDescent="0.25">
      <c r="A153" s="4" t="s">
        <v>303</v>
      </c>
      <c r="B153" s="4" t="s">
        <v>156</v>
      </c>
      <c r="C153" s="4">
        <v>31</v>
      </c>
      <c r="D153" s="4">
        <v>30</v>
      </c>
      <c r="E153" s="4">
        <v>56</v>
      </c>
      <c r="F153" s="4">
        <v>48</v>
      </c>
      <c r="G153" s="4">
        <v>65</v>
      </c>
      <c r="H153" s="4">
        <v>63</v>
      </c>
      <c r="I153" s="4">
        <v>33</v>
      </c>
      <c r="J153" s="4">
        <v>51</v>
      </c>
      <c r="K153" s="4">
        <v>66</v>
      </c>
      <c r="L153" s="4">
        <v>35</v>
      </c>
      <c r="M153" s="4">
        <v>19</v>
      </c>
      <c r="N153" s="4">
        <v>51</v>
      </c>
      <c r="O153" s="5">
        <f>SUM(Tabela323910[[#This Row],[jan/23]:[dez/23]])</f>
        <v>548</v>
      </c>
    </row>
    <row r="154" spans="1:15" x14ac:dyDescent="0.25">
      <c r="A154" s="4" t="s">
        <v>305</v>
      </c>
      <c r="B154" s="4" t="s">
        <v>218</v>
      </c>
      <c r="C154" s="4">
        <v>27</v>
      </c>
      <c r="D154" s="4">
        <v>21</v>
      </c>
      <c r="E154" s="4">
        <v>20</v>
      </c>
      <c r="F154" s="4">
        <v>26</v>
      </c>
      <c r="G154" s="4">
        <v>28</v>
      </c>
      <c r="H154" s="4">
        <v>26</v>
      </c>
      <c r="I154" s="4">
        <v>44</v>
      </c>
      <c r="J154" s="4">
        <v>73</v>
      </c>
      <c r="K154" s="4">
        <v>57</v>
      </c>
      <c r="L154" s="4">
        <v>58</v>
      </c>
      <c r="M154" s="4">
        <v>60</v>
      </c>
      <c r="N154" s="4">
        <v>89</v>
      </c>
      <c r="O154" s="5">
        <f>SUM(Tabela323910[[#This Row],[jan/23]:[dez/23]])</f>
        <v>529</v>
      </c>
    </row>
    <row r="155" spans="1:15" x14ac:dyDescent="0.25">
      <c r="A155" s="4" t="s">
        <v>307</v>
      </c>
      <c r="B155" s="4" t="s">
        <v>270</v>
      </c>
      <c r="C155" s="4">
        <v>6</v>
      </c>
      <c r="D155" s="4">
        <v>6</v>
      </c>
      <c r="E155" s="4">
        <v>49</v>
      </c>
      <c r="F155" s="4">
        <v>51</v>
      </c>
      <c r="G155" s="4">
        <v>60</v>
      </c>
      <c r="H155" s="4">
        <v>67</v>
      </c>
      <c r="I155" s="4">
        <v>80</v>
      </c>
      <c r="J155" s="4">
        <v>48</v>
      </c>
      <c r="K155" s="4">
        <v>61</v>
      </c>
      <c r="L155" s="4">
        <v>62</v>
      </c>
      <c r="M155" s="4">
        <v>26</v>
      </c>
      <c r="N155" s="4">
        <v>4</v>
      </c>
      <c r="O155" s="5">
        <f>SUM(Tabela323910[[#This Row],[jan/23]:[dez/23]])</f>
        <v>520</v>
      </c>
    </row>
    <row r="156" spans="1:15" x14ac:dyDescent="0.25">
      <c r="A156" s="4" t="s">
        <v>311</v>
      </c>
      <c r="B156" s="4" t="s">
        <v>640</v>
      </c>
      <c r="C156" s="4">
        <v>46</v>
      </c>
      <c r="D156" s="4">
        <v>28</v>
      </c>
      <c r="E156" s="4">
        <v>29</v>
      </c>
      <c r="F156" s="4">
        <v>29</v>
      </c>
      <c r="G156" s="4">
        <v>32</v>
      </c>
      <c r="H156" s="4">
        <v>61</v>
      </c>
      <c r="I156" s="4">
        <v>81</v>
      </c>
      <c r="J156" s="4">
        <v>66</v>
      </c>
      <c r="K156" s="4">
        <v>47</v>
      </c>
      <c r="L156" s="4">
        <v>36</v>
      </c>
      <c r="M156" s="4">
        <v>22</v>
      </c>
      <c r="N156" s="4">
        <v>31</v>
      </c>
      <c r="O156" s="5">
        <f>SUM(Tabela323910[[#This Row],[jan/23]:[dez/23]])</f>
        <v>508</v>
      </c>
    </row>
    <row r="157" spans="1:15" x14ac:dyDescent="0.25">
      <c r="A157" s="4" t="s">
        <v>309</v>
      </c>
      <c r="B157" s="4" t="s">
        <v>242</v>
      </c>
      <c r="C157" s="4">
        <v>54</v>
      </c>
      <c r="D157" s="4">
        <v>86</v>
      </c>
      <c r="E157" s="4">
        <v>43</v>
      </c>
      <c r="F157" s="4">
        <v>83</v>
      </c>
      <c r="G157" s="4">
        <v>47</v>
      </c>
      <c r="H157" s="4">
        <v>32</v>
      </c>
      <c r="I157" s="4">
        <v>33</v>
      </c>
      <c r="J157" s="4">
        <v>34</v>
      </c>
      <c r="K157" s="4">
        <v>23</v>
      </c>
      <c r="L157" s="4">
        <v>16</v>
      </c>
      <c r="M157" s="4">
        <v>27</v>
      </c>
      <c r="N157" s="4">
        <v>17</v>
      </c>
      <c r="O157" s="5">
        <f>SUM(Tabela323910[[#This Row],[jan/23]:[dez/23]])</f>
        <v>495</v>
      </c>
    </row>
    <row r="158" spans="1:15" x14ac:dyDescent="0.25">
      <c r="A158" s="4" t="s">
        <v>313</v>
      </c>
      <c r="B158" s="4" t="s">
        <v>222</v>
      </c>
      <c r="C158" s="4">
        <v>25</v>
      </c>
      <c r="D158" s="4">
        <v>22</v>
      </c>
      <c r="E158" s="4">
        <v>50</v>
      </c>
      <c r="F158" s="4">
        <v>56</v>
      </c>
      <c r="G158" s="4">
        <v>68</v>
      </c>
      <c r="H158" s="4">
        <v>50</v>
      </c>
      <c r="I158" s="4">
        <v>39</v>
      </c>
      <c r="J158" s="4">
        <v>36</v>
      </c>
      <c r="K158" s="4">
        <v>60</v>
      </c>
      <c r="L158" s="4">
        <v>59</v>
      </c>
      <c r="M158" s="4">
        <v>11</v>
      </c>
      <c r="N158" s="4">
        <v>12</v>
      </c>
      <c r="O158" s="5">
        <f>SUM(Tabela323910[[#This Row],[jan/23]:[dez/23]])</f>
        <v>488</v>
      </c>
    </row>
    <row r="159" spans="1:15" x14ac:dyDescent="0.25">
      <c r="A159" s="4" t="s">
        <v>317</v>
      </c>
      <c r="B159" s="4" t="s">
        <v>585</v>
      </c>
      <c r="C159" s="4"/>
      <c r="D159" s="4"/>
      <c r="E159" s="4"/>
      <c r="F159" s="4"/>
      <c r="G159" s="4"/>
      <c r="H159" s="4"/>
      <c r="I159" s="4">
        <v>97</v>
      </c>
      <c r="J159" s="4">
        <v>77</v>
      </c>
      <c r="K159" s="4">
        <v>61</v>
      </c>
      <c r="L159" s="4">
        <v>79</v>
      </c>
      <c r="M159" s="4">
        <v>83</v>
      </c>
      <c r="N159" s="4">
        <v>80</v>
      </c>
      <c r="O159" s="5">
        <f>SUM(Tabela323910[[#This Row],[jan/23]:[dez/23]])</f>
        <v>477</v>
      </c>
    </row>
    <row r="160" spans="1:15" x14ac:dyDescent="0.25">
      <c r="A160" s="4" t="s">
        <v>315</v>
      </c>
      <c r="B160" s="4" t="s">
        <v>523</v>
      </c>
      <c r="C160" s="4">
        <v>92</v>
      </c>
      <c r="D160" s="4">
        <v>56</v>
      </c>
      <c r="E160" s="4">
        <v>74</v>
      </c>
      <c r="F160" s="4">
        <v>25</v>
      </c>
      <c r="G160" s="4">
        <v>33</v>
      </c>
      <c r="H160" s="4">
        <v>34</v>
      </c>
      <c r="I160" s="4">
        <v>28</v>
      </c>
      <c r="J160" s="4">
        <v>29</v>
      </c>
      <c r="K160" s="4">
        <v>22</v>
      </c>
      <c r="L160" s="4">
        <v>24</v>
      </c>
      <c r="M160" s="4">
        <v>24</v>
      </c>
      <c r="N160" s="4">
        <v>34</v>
      </c>
      <c r="O160" s="5">
        <f>SUM(Tabela323910[[#This Row],[jan/23]:[dez/23]])</f>
        <v>475</v>
      </c>
    </row>
    <row r="161" spans="1:15" x14ac:dyDescent="0.25">
      <c r="A161" s="4" t="s">
        <v>319</v>
      </c>
      <c r="B161" s="4" t="s">
        <v>350</v>
      </c>
      <c r="C161" s="4"/>
      <c r="D161" s="4"/>
      <c r="E161" s="4">
        <v>21</v>
      </c>
      <c r="F161" s="4">
        <v>75</v>
      </c>
      <c r="G161" s="4">
        <v>71</v>
      </c>
      <c r="H161" s="4">
        <v>58</v>
      </c>
      <c r="I161" s="4">
        <v>51</v>
      </c>
      <c r="J161" s="4">
        <v>37</v>
      </c>
      <c r="K161" s="4">
        <v>29</v>
      </c>
      <c r="L161" s="4">
        <v>32</v>
      </c>
      <c r="M161" s="4">
        <v>50</v>
      </c>
      <c r="N161" s="4">
        <v>51</v>
      </c>
      <c r="O161" s="5">
        <f>SUM(Tabela323910[[#This Row],[jan/23]:[dez/23]])</f>
        <v>475</v>
      </c>
    </row>
    <row r="162" spans="1:15" x14ac:dyDescent="0.25">
      <c r="A162" s="4" t="s">
        <v>321</v>
      </c>
      <c r="B162" s="4" t="s">
        <v>789</v>
      </c>
      <c r="C162" s="4">
        <v>114</v>
      </c>
      <c r="D162" s="4">
        <v>77</v>
      </c>
      <c r="E162" s="4">
        <v>102</v>
      </c>
      <c r="F162" s="4">
        <v>80</v>
      </c>
      <c r="G162" s="4">
        <v>18</v>
      </c>
      <c r="H162" s="4">
        <v>7</v>
      </c>
      <c r="I162" s="4">
        <v>10</v>
      </c>
      <c r="J162" s="4">
        <v>4</v>
      </c>
      <c r="K162" s="4">
        <v>2</v>
      </c>
      <c r="L162" s="4"/>
      <c r="M162" s="4">
        <v>1</v>
      </c>
      <c r="N162" s="4">
        <v>1</v>
      </c>
      <c r="O162" s="5">
        <f>SUM(Tabela323910[[#This Row],[jan/23]:[dez/23]])</f>
        <v>416</v>
      </c>
    </row>
    <row r="163" spans="1:15" x14ac:dyDescent="0.25">
      <c r="A163" s="4" t="s">
        <v>323</v>
      </c>
      <c r="B163" s="4" t="s">
        <v>810</v>
      </c>
      <c r="C163" s="4">
        <v>64</v>
      </c>
      <c r="D163" s="4">
        <v>70</v>
      </c>
      <c r="E163" s="4">
        <v>64</v>
      </c>
      <c r="F163" s="4">
        <v>54</v>
      </c>
      <c r="G163" s="4">
        <v>58</v>
      </c>
      <c r="H163" s="4">
        <v>53</v>
      </c>
      <c r="I163" s="4">
        <v>8</v>
      </c>
      <c r="J163" s="4">
        <v>8</v>
      </c>
      <c r="K163" s="4">
        <v>2</v>
      </c>
      <c r="L163" s="4">
        <v>6</v>
      </c>
      <c r="M163" s="4">
        <v>3</v>
      </c>
      <c r="N163" s="4">
        <v>3</v>
      </c>
      <c r="O163" s="5">
        <f>SUM(Tabela323910[[#This Row],[jan/23]:[dez/23]])</f>
        <v>393</v>
      </c>
    </row>
    <row r="164" spans="1:15" x14ac:dyDescent="0.25">
      <c r="A164" s="4" t="s">
        <v>325</v>
      </c>
      <c r="B164" s="4" t="s">
        <v>234</v>
      </c>
      <c r="C164" s="4">
        <v>41</v>
      </c>
      <c r="D164" s="4">
        <v>25</v>
      </c>
      <c r="E164" s="4">
        <v>32</v>
      </c>
      <c r="F164" s="4">
        <v>27</v>
      </c>
      <c r="G164" s="4">
        <v>29</v>
      </c>
      <c r="H164" s="4">
        <v>31</v>
      </c>
      <c r="I164" s="4">
        <v>51</v>
      </c>
      <c r="J164" s="4">
        <v>41</v>
      </c>
      <c r="K164" s="4">
        <v>33</v>
      </c>
      <c r="L164" s="4">
        <v>25</v>
      </c>
      <c r="M164" s="4">
        <v>20</v>
      </c>
      <c r="N164" s="4">
        <v>22</v>
      </c>
      <c r="O164" s="5">
        <f>SUM(Tabela323910[[#This Row],[jan/23]:[dez/23]])</f>
        <v>377</v>
      </c>
    </row>
    <row r="165" spans="1:15" x14ac:dyDescent="0.25">
      <c r="A165" s="4" t="s">
        <v>329</v>
      </c>
      <c r="B165" s="4" t="s">
        <v>652</v>
      </c>
      <c r="C165" s="4">
        <v>61</v>
      </c>
      <c r="D165" s="4">
        <v>30</v>
      </c>
      <c r="E165" s="4">
        <v>110</v>
      </c>
      <c r="F165" s="4">
        <v>63</v>
      </c>
      <c r="G165" s="4">
        <v>36</v>
      </c>
      <c r="H165" s="4">
        <v>19</v>
      </c>
      <c r="I165" s="4">
        <v>18</v>
      </c>
      <c r="J165" s="4">
        <v>5</v>
      </c>
      <c r="K165" s="4">
        <v>11</v>
      </c>
      <c r="L165" s="4">
        <v>4</v>
      </c>
      <c r="M165" s="4">
        <v>3</v>
      </c>
      <c r="N165" s="4">
        <v>12</v>
      </c>
      <c r="O165" s="5">
        <f>SUM(Tabela323910[[#This Row],[jan/23]:[dez/23]])</f>
        <v>372</v>
      </c>
    </row>
    <row r="166" spans="1:15" x14ac:dyDescent="0.25">
      <c r="A166" s="4" t="s">
        <v>327</v>
      </c>
      <c r="B166" s="4" t="s">
        <v>758</v>
      </c>
      <c r="C166" s="4">
        <v>20</v>
      </c>
      <c r="D166" s="4">
        <v>10</v>
      </c>
      <c r="E166" s="4">
        <v>35</v>
      </c>
      <c r="F166" s="4">
        <v>42</v>
      </c>
      <c r="G166" s="4">
        <v>31</v>
      </c>
      <c r="H166" s="4">
        <v>31</v>
      </c>
      <c r="I166" s="4">
        <v>40</v>
      </c>
      <c r="J166" s="4">
        <v>26</v>
      </c>
      <c r="K166" s="4">
        <v>14</v>
      </c>
      <c r="L166" s="4">
        <v>16</v>
      </c>
      <c r="M166" s="4">
        <v>79</v>
      </c>
      <c r="N166" s="4">
        <v>20</v>
      </c>
      <c r="O166" s="5">
        <f>SUM(Tabela323910[[#This Row],[jan/23]:[dez/23]])</f>
        <v>364</v>
      </c>
    </row>
    <row r="167" spans="1:15" x14ac:dyDescent="0.25">
      <c r="A167" s="4" t="s">
        <v>331</v>
      </c>
      <c r="B167" s="4" t="s">
        <v>801</v>
      </c>
      <c r="C167" s="4">
        <v>33</v>
      </c>
      <c r="D167" s="4">
        <v>20</v>
      </c>
      <c r="E167" s="4">
        <v>24</v>
      </c>
      <c r="F167" s="4">
        <v>20</v>
      </c>
      <c r="G167" s="4">
        <v>18</v>
      </c>
      <c r="H167" s="4">
        <v>24</v>
      </c>
      <c r="I167" s="4">
        <v>32</v>
      </c>
      <c r="J167" s="4">
        <v>59</v>
      </c>
      <c r="K167" s="4">
        <v>31</v>
      </c>
      <c r="L167" s="4">
        <v>25</v>
      </c>
      <c r="M167" s="4">
        <v>31</v>
      </c>
      <c r="N167" s="4">
        <v>44</v>
      </c>
      <c r="O167" s="5">
        <f>SUM(Tabela323910[[#This Row],[jan/23]:[dez/23]])</f>
        <v>361</v>
      </c>
    </row>
    <row r="168" spans="1:15" x14ac:dyDescent="0.25">
      <c r="A168" s="4" t="s">
        <v>335</v>
      </c>
      <c r="B168" s="4" t="s">
        <v>698</v>
      </c>
      <c r="C168" s="4"/>
      <c r="D168" s="4">
        <v>3</v>
      </c>
      <c r="E168" s="4">
        <v>1</v>
      </c>
      <c r="F168" s="4">
        <v>1</v>
      </c>
      <c r="G168" s="4">
        <v>61</v>
      </c>
      <c r="H168" s="4">
        <v>69</v>
      </c>
      <c r="I168" s="4">
        <v>34</v>
      </c>
      <c r="J168" s="4">
        <v>35</v>
      </c>
      <c r="K168" s="4">
        <v>39</v>
      </c>
      <c r="L168" s="4">
        <v>38</v>
      </c>
      <c r="M168" s="4">
        <v>33</v>
      </c>
      <c r="N168" s="4">
        <v>45</v>
      </c>
      <c r="O168" s="5">
        <f>SUM(Tabela323910[[#This Row],[jan/23]:[dez/23]])</f>
        <v>359</v>
      </c>
    </row>
    <row r="169" spans="1:15" x14ac:dyDescent="0.25">
      <c r="A169" s="4" t="s">
        <v>333</v>
      </c>
      <c r="B169" s="4" t="s">
        <v>332</v>
      </c>
      <c r="C169" s="4">
        <v>49</v>
      </c>
      <c r="D169" s="4">
        <v>33</v>
      </c>
      <c r="E169" s="4">
        <v>52</v>
      </c>
      <c r="F169" s="4">
        <v>28</v>
      </c>
      <c r="G169" s="4">
        <v>25</v>
      </c>
      <c r="H169" s="4">
        <v>11</v>
      </c>
      <c r="I169" s="4">
        <v>33</v>
      </c>
      <c r="J169" s="4">
        <v>36</v>
      </c>
      <c r="K169" s="4">
        <v>22</v>
      </c>
      <c r="L169" s="4">
        <v>18</v>
      </c>
      <c r="M169" s="4">
        <v>23</v>
      </c>
      <c r="N169" s="4">
        <v>27</v>
      </c>
      <c r="O169" s="5">
        <f>SUM(Tabela323910[[#This Row],[jan/23]:[dez/23]])</f>
        <v>357</v>
      </c>
    </row>
    <row r="170" spans="1:15" x14ac:dyDescent="0.25">
      <c r="A170" s="4" t="s">
        <v>337</v>
      </c>
      <c r="B170" s="4" t="s">
        <v>540</v>
      </c>
      <c r="C170" s="4">
        <v>6</v>
      </c>
      <c r="D170" s="4">
        <v>7</v>
      </c>
      <c r="E170" s="4">
        <v>15</v>
      </c>
      <c r="F170" s="4">
        <v>30</v>
      </c>
      <c r="G170" s="4">
        <v>27</v>
      </c>
      <c r="H170" s="4">
        <v>16</v>
      </c>
      <c r="I170" s="4">
        <v>32</v>
      </c>
      <c r="J170" s="4">
        <v>17</v>
      </c>
      <c r="K170" s="4">
        <v>37</v>
      </c>
      <c r="L170" s="4">
        <v>58</v>
      </c>
      <c r="M170" s="4">
        <v>39</v>
      </c>
      <c r="N170" s="4">
        <v>67</v>
      </c>
      <c r="O170" s="5">
        <f>SUM(Tabela323910[[#This Row],[jan/23]:[dez/23]])</f>
        <v>351</v>
      </c>
    </row>
    <row r="171" spans="1:15" x14ac:dyDescent="0.25">
      <c r="A171" s="4" t="s">
        <v>341</v>
      </c>
      <c r="B171" s="4" t="s">
        <v>386</v>
      </c>
      <c r="C171" s="4">
        <v>27</v>
      </c>
      <c r="D171" s="4">
        <v>23</v>
      </c>
      <c r="E171" s="4">
        <v>27</v>
      </c>
      <c r="F171" s="4">
        <v>32</v>
      </c>
      <c r="G171" s="4">
        <v>18</v>
      </c>
      <c r="H171" s="4">
        <v>15</v>
      </c>
      <c r="I171" s="4">
        <v>36</v>
      </c>
      <c r="J171" s="4">
        <v>30</v>
      </c>
      <c r="K171" s="4">
        <v>19</v>
      </c>
      <c r="L171" s="4">
        <v>32</v>
      </c>
      <c r="M171" s="4">
        <v>25</v>
      </c>
      <c r="N171" s="4">
        <v>44</v>
      </c>
      <c r="O171" s="5">
        <f>SUM(Tabela323910[[#This Row],[jan/23]:[dez/23]])</f>
        <v>328</v>
      </c>
    </row>
    <row r="172" spans="1:15" x14ac:dyDescent="0.25">
      <c r="A172" s="4" t="s">
        <v>339</v>
      </c>
      <c r="B172" s="4" t="s">
        <v>368</v>
      </c>
      <c r="C172" s="4">
        <v>26</v>
      </c>
      <c r="D172" s="4">
        <v>29</v>
      </c>
      <c r="E172" s="4"/>
      <c r="F172" s="4">
        <v>51</v>
      </c>
      <c r="G172" s="4">
        <v>45</v>
      </c>
      <c r="H172" s="4">
        <v>37</v>
      </c>
      <c r="I172" s="4">
        <v>35</v>
      </c>
      <c r="J172" s="4">
        <v>21</v>
      </c>
      <c r="K172" s="4">
        <v>24</v>
      </c>
      <c r="L172" s="4">
        <v>21</v>
      </c>
      <c r="M172" s="4">
        <v>17</v>
      </c>
      <c r="N172" s="4">
        <v>18</v>
      </c>
      <c r="O172" s="5">
        <f>SUM(Tabela323910[[#This Row],[jan/23]:[dez/23]])</f>
        <v>324</v>
      </c>
    </row>
    <row r="173" spans="1:15" x14ac:dyDescent="0.25">
      <c r="A173" s="4" t="s">
        <v>343</v>
      </c>
      <c r="B173" s="4" t="s">
        <v>172</v>
      </c>
      <c r="C173" s="4">
        <v>20</v>
      </c>
      <c r="D173" s="4">
        <v>19</v>
      </c>
      <c r="E173" s="4">
        <v>41</v>
      </c>
      <c r="F173" s="4">
        <v>53</v>
      </c>
      <c r="G173" s="4">
        <v>35</v>
      </c>
      <c r="H173" s="4">
        <v>43</v>
      </c>
      <c r="I173" s="4">
        <v>9</v>
      </c>
      <c r="J173" s="4">
        <v>7</v>
      </c>
      <c r="K173" s="4">
        <v>37</v>
      </c>
      <c r="L173" s="4">
        <v>28</v>
      </c>
      <c r="M173" s="4">
        <v>14</v>
      </c>
      <c r="N173" s="4">
        <v>13</v>
      </c>
      <c r="O173" s="5">
        <f>SUM(Tabela323910[[#This Row],[jan/23]:[dez/23]])</f>
        <v>319</v>
      </c>
    </row>
    <row r="174" spans="1:15" x14ac:dyDescent="0.25">
      <c r="A174" s="4" t="s">
        <v>345</v>
      </c>
      <c r="B174" s="4" t="s">
        <v>707</v>
      </c>
      <c r="C174" s="4">
        <v>39</v>
      </c>
      <c r="D174" s="4">
        <v>26</v>
      </c>
      <c r="E174" s="4">
        <v>55</v>
      </c>
      <c r="F174" s="4">
        <v>71</v>
      </c>
      <c r="G174" s="4">
        <v>12</v>
      </c>
      <c r="H174" s="4">
        <v>2</v>
      </c>
      <c r="I174" s="4">
        <v>2</v>
      </c>
      <c r="J174" s="4">
        <v>3</v>
      </c>
      <c r="K174" s="4">
        <v>1</v>
      </c>
      <c r="L174" s="4">
        <v>2</v>
      </c>
      <c r="M174" s="4">
        <v>2</v>
      </c>
      <c r="N174" s="4">
        <v>97</v>
      </c>
      <c r="O174" s="5">
        <f>SUM(Tabela323910[[#This Row],[jan/23]:[dez/23]])</f>
        <v>312</v>
      </c>
    </row>
    <row r="175" spans="1:15" x14ac:dyDescent="0.25">
      <c r="A175" s="4" t="s">
        <v>347</v>
      </c>
      <c r="B175" s="4" t="s">
        <v>745</v>
      </c>
      <c r="C175" s="4">
        <v>90</v>
      </c>
      <c r="D175" s="4">
        <v>36</v>
      </c>
      <c r="E175" s="4">
        <v>18</v>
      </c>
      <c r="F175" s="4">
        <v>18</v>
      </c>
      <c r="G175" s="4">
        <v>24</v>
      </c>
      <c r="H175" s="4">
        <v>21</v>
      </c>
      <c r="I175" s="4">
        <v>21</v>
      </c>
      <c r="J175" s="4">
        <v>22</v>
      </c>
      <c r="K175" s="4">
        <v>14</v>
      </c>
      <c r="L175" s="4">
        <v>13</v>
      </c>
      <c r="M175" s="4">
        <v>13</v>
      </c>
      <c r="N175" s="4">
        <v>21</v>
      </c>
      <c r="O175" s="5">
        <f>SUM(Tabela323910[[#This Row],[jan/23]:[dez/23]])</f>
        <v>311</v>
      </c>
    </row>
    <row r="176" spans="1:15" x14ac:dyDescent="0.25">
      <c r="A176" s="4" t="s">
        <v>353</v>
      </c>
      <c r="B176" s="4" t="s">
        <v>670</v>
      </c>
      <c r="C176" s="4">
        <v>15</v>
      </c>
      <c r="D176" s="4">
        <v>20</v>
      </c>
      <c r="E176" s="4">
        <v>46</v>
      </c>
      <c r="F176" s="4">
        <v>30</v>
      </c>
      <c r="G176" s="4">
        <v>20</v>
      </c>
      <c r="H176" s="4">
        <v>27</v>
      </c>
      <c r="I176" s="4">
        <v>21</v>
      </c>
      <c r="J176" s="4">
        <v>24</v>
      </c>
      <c r="K176" s="4">
        <v>60</v>
      </c>
      <c r="L176" s="4">
        <v>17</v>
      </c>
      <c r="M176" s="4">
        <v>7</v>
      </c>
      <c r="N176" s="4">
        <v>10</v>
      </c>
      <c r="O176" s="5">
        <f>SUM(Tabela323910[[#This Row],[jan/23]:[dez/23]])</f>
        <v>297</v>
      </c>
    </row>
    <row r="177" spans="1:15" x14ac:dyDescent="0.25">
      <c r="A177" s="4" t="s">
        <v>351</v>
      </c>
      <c r="B177" s="4" t="s">
        <v>750</v>
      </c>
      <c r="C177" s="4">
        <v>29</v>
      </c>
      <c r="D177" s="4">
        <v>34</v>
      </c>
      <c r="E177" s="4">
        <v>33</v>
      </c>
      <c r="F177" s="4">
        <v>44</v>
      </c>
      <c r="G177" s="4">
        <v>27</v>
      </c>
      <c r="H177" s="4">
        <v>28</v>
      </c>
      <c r="I177" s="4">
        <v>17</v>
      </c>
      <c r="J177" s="4">
        <v>16</v>
      </c>
      <c r="K177" s="4">
        <v>21</v>
      </c>
      <c r="L177" s="4">
        <v>17</v>
      </c>
      <c r="M177" s="4">
        <v>11</v>
      </c>
      <c r="N177" s="4">
        <v>14</v>
      </c>
      <c r="O177" s="5">
        <f>SUM(Tabela323910[[#This Row],[jan/23]:[dez/23]])</f>
        <v>291</v>
      </c>
    </row>
    <row r="178" spans="1:15" x14ac:dyDescent="0.25">
      <c r="A178" s="4" t="s">
        <v>349</v>
      </c>
      <c r="B178" s="4" t="s">
        <v>716</v>
      </c>
      <c r="C178" s="4">
        <v>24</v>
      </c>
      <c r="D178" s="4">
        <v>21</v>
      </c>
      <c r="E178" s="4">
        <v>28</v>
      </c>
      <c r="F178" s="4">
        <v>35</v>
      </c>
      <c r="G178" s="4">
        <v>28</v>
      </c>
      <c r="H178" s="4">
        <v>19</v>
      </c>
      <c r="I178" s="4">
        <v>25</v>
      </c>
      <c r="J178" s="4">
        <v>27</v>
      </c>
      <c r="K178" s="4">
        <v>25</v>
      </c>
      <c r="L178" s="4">
        <v>18</v>
      </c>
      <c r="M178" s="4">
        <v>17</v>
      </c>
      <c r="N178" s="4">
        <v>20</v>
      </c>
      <c r="O178" s="5">
        <f>SUM(Tabela323910[[#This Row],[jan/23]:[dez/23]])</f>
        <v>287</v>
      </c>
    </row>
    <row r="179" spans="1:15" x14ac:dyDescent="0.25">
      <c r="A179" s="4" t="s">
        <v>355</v>
      </c>
      <c r="B179" s="4" t="s">
        <v>747</v>
      </c>
      <c r="C179" s="4">
        <v>41</v>
      </c>
      <c r="D179" s="4">
        <v>31</v>
      </c>
      <c r="E179" s="4">
        <v>37</v>
      </c>
      <c r="F179" s="4">
        <v>30</v>
      </c>
      <c r="G179" s="4">
        <v>35</v>
      </c>
      <c r="H179" s="4">
        <v>27</v>
      </c>
      <c r="I179" s="4">
        <v>23</v>
      </c>
      <c r="J179" s="4">
        <v>16</v>
      </c>
      <c r="K179" s="4">
        <v>18</v>
      </c>
      <c r="L179" s="4">
        <v>10</v>
      </c>
      <c r="M179" s="4">
        <v>11</v>
      </c>
      <c r="N179" s="4">
        <v>5</v>
      </c>
      <c r="O179" s="5">
        <f>SUM(Tabela323910[[#This Row],[jan/23]:[dez/23]])</f>
        <v>284</v>
      </c>
    </row>
    <row r="180" spans="1:15" x14ac:dyDescent="0.25">
      <c r="A180" s="4" t="s">
        <v>357</v>
      </c>
      <c r="B180" s="4" t="s">
        <v>288</v>
      </c>
      <c r="C180" s="4">
        <v>14</v>
      </c>
      <c r="D180" s="4">
        <v>10</v>
      </c>
      <c r="E180" s="4">
        <v>20</v>
      </c>
      <c r="F180" s="4">
        <v>26</v>
      </c>
      <c r="G180" s="4">
        <v>33</v>
      </c>
      <c r="H180" s="4">
        <v>37</v>
      </c>
      <c r="I180" s="4">
        <v>36</v>
      </c>
      <c r="J180" s="4">
        <v>25</v>
      </c>
      <c r="K180" s="4">
        <v>29</v>
      </c>
      <c r="L180" s="4">
        <v>17</v>
      </c>
      <c r="M180" s="4">
        <v>12</v>
      </c>
      <c r="N180" s="4">
        <v>15</v>
      </c>
      <c r="O180" s="5">
        <f>SUM(Tabela323910[[#This Row],[jan/23]:[dez/23]])</f>
        <v>274</v>
      </c>
    </row>
    <row r="181" spans="1:15" x14ac:dyDescent="0.25">
      <c r="A181" s="4" t="s">
        <v>361</v>
      </c>
      <c r="B181" s="4" t="s">
        <v>827</v>
      </c>
      <c r="C181" s="4"/>
      <c r="D181" s="4">
        <v>28</v>
      </c>
      <c r="E181" s="4">
        <v>19</v>
      </c>
      <c r="F181" s="4">
        <v>26</v>
      </c>
      <c r="G181" s="4">
        <v>103</v>
      </c>
      <c r="H181" s="4">
        <v>95</v>
      </c>
      <c r="I181" s="4"/>
      <c r="J181" s="4"/>
      <c r="K181" s="4"/>
      <c r="L181" s="4"/>
      <c r="M181" s="4"/>
      <c r="N181" s="4"/>
      <c r="O181" s="5">
        <f>SUM(Tabela323910[[#This Row],[jan/23]:[dez/23]])</f>
        <v>271</v>
      </c>
    </row>
    <row r="182" spans="1:15" x14ac:dyDescent="0.25">
      <c r="A182" s="4" t="s">
        <v>361</v>
      </c>
      <c r="B182" s="4" t="s">
        <v>827</v>
      </c>
      <c r="C182" s="4"/>
      <c r="D182" s="4">
        <v>28</v>
      </c>
      <c r="E182" s="4">
        <v>19</v>
      </c>
      <c r="F182" s="4">
        <v>26</v>
      </c>
      <c r="G182" s="4">
        <v>103</v>
      </c>
      <c r="H182" s="4">
        <v>95</v>
      </c>
      <c r="I182" s="4"/>
      <c r="J182" s="4"/>
      <c r="K182" s="4"/>
      <c r="L182" s="4"/>
      <c r="M182" s="4"/>
      <c r="N182" s="4"/>
      <c r="O182" s="5">
        <f>SUM(Tabela323910[[#This Row],[jan/23]:[dez/23]])</f>
        <v>271</v>
      </c>
    </row>
    <row r="183" spans="1:15" x14ac:dyDescent="0.25">
      <c r="A183" s="4" t="s">
        <v>359</v>
      </c>
      <c r="B183" s="4" t="s">
        <v>667</v>
      </c>
      <c r="C183" s="4">
        <v>10</v>
      </c>
      <c r="D183" s="4">
        <v>12</v>
      </c>
      <c r="E183" s="4">
        <v>20</v>
      </c>
      <c r="F183" s="4">
        <v>33</v>
      </c>
      <c r="G183" s="4">
        <v>39</v>
      </c>
      <c r="H183" s="4">
        <v>20</v>
      </c>
      <c r="I183" s="4">
        <v>34</v>
      </c>
      <c r="J183" s="4">
        <v>37</v>
      </c>
      <c r="K183" s="4">
        <v>21</v>
      </c>
      <c r="L183" s="4">
        <v>16</v>
      </c>
      <c r="M183" s="4">
        <v>14</v>
      </c>
      <c r="N183" s="4">
        <v>12</v>
      </c>
      <c r="O183" s="5">
        <f>SUM(Tabela323910[[#This Row],[jan/23]:[dez/23]])</f>
        <v>268</v>
      </c>
    </row>
    <row r="184" spans="1:15" x14ac:dyDescent="0.25">
      <c r="A184" s="4" t="s">
        <v>365</v>
      </c>
      <c r="B184" s="4" t="s">
        <v>24</v>
      </c>
      <c r="C184" s="4">
        <v>127</v>
      </c>
      <c r="D184" s="4">
        <v>52</v>
      </c>
      <c r="E184" s="4">
        <v>20</v>
      </c>
      <c r="F184" s="4">
        <v>10</v>
      </c>
      <c r="G184" s="4">
        <v>6</v>
      </c>
      <c r="H184" s="4">
        <v>5</v>
      </c>
      <c r="I184" s="4">
        <v>7</v>
      </c>
      <c r="J184" s="4">
        <v>11</v>
      </c>
      <c r="K184" s="4">
        <v>7</v>
      </c>
      <c r="L184" s="4">
        <v>6</v>
      </c>
      <c r="M184" s="4">
        <v>9</v>
      </c>
      <c r="N184" s="4">
        <v>4</v>
      </c>
      <c r="O184" s="5">
        <f>SUM(Tabela323910[[#This Row],[jan/23]:[dez/23]])</f>
        <v>264</v>
      </c>
    </row>
    <row r="185" spans="1:15" x14ac:dyDescent="0.25">
      <c r="A185" s="4" t="s">
        <v>363</v>
      </c>
      <c r="B185" s="4" t="s">
        <v>743</v>
      </c>
      <c r="C185" s="4">
        <v>37</v>
      </c>
      <c r="D185" s="4">
        <v>13</v>
      </c>
      <c r="E185" s="4">
        <v>22</v>
      </c>
      <c r="F185" s="4">
        <v>30</v>
      </c>
      <c r="G185" s="4">
        <v>21</v>
      </c>
      <c r="H185" s="4">
        <v>25</v>
      </c>
      <c r="I185" s="4">
        <v>19</v>
      </c>
      <c r="J185" s="4">
        <v>24</v>
      </c>
      <c r="K185" s="4">
        <v>12</v>
      </c>
      <c r="L185" s="4">
        <v>26</v>
      </c>
      <c r="M185" s="4">
        <v>15</v>
      </c>
      <c r="N185" s="4">
        <v>20</v>
      </c>
      <c r="O185" s="5">
        <f>SUM(Tabela323910[[#This Row],[jan/23]:[dez/23]])</f>
        <v>264</v>
      </c>
    </row>
    <row r="186" spans="1:15" x14ac:dyDescent="0.25">
      <c r="A186" s="4" t="s">
        <v>369</v>
      </c>
      <c r="B186" s="4" t="s">
        <v>654</v>
      </c>
      <c r="C186" s="4">
        <v>29</v>
      </c>
      <c r="D186" s="4">
        <v>14</v>
      </c>
      <c r="E186" s="4">
        <v>32</v>
      </c>
      <c r="F186" s="4">
        <v>15</v>
      </c>
      <c r="G186" s="4">
        <v>23</v>
      </c>
      <c r="H186" s="4">
        <v>28</v>
      </c>
      <c r="I186" s="4">
        <v>27</v>
      </c>
      <c r="J186" s="4">
        <v>18</v>
      </c>
      <c r="K186" s="4">
        <v>24</v>
      </c>
      <c r="L186" s="4">
        <v>11</v>
      </c>
      <c r="M186" s="4">
        <v>22</v>
      </c>
      <c r="N186" s="4">
        <v>19</v>
      </c>
      <c r="O186" s="5">
        <f>SUM(Tabela323910[[#This Row],[jan/23]:[dez/23]])</f>
        <v>262</v>
      </c>
    </row>
    <row r="187" spans="1:15" x14ac:dyDescent="0.25">
      <c r="A187" s="4" t="s">
        <v>367</v>
      </c>
      <c r="B187" s="4" t="s">
        <v>753</v>
      </c>
      <c r="C187" s="4">
        <v>36</v>
      </c>
      <c r="D187" s="4">
        <v>15</v>
      </c>
      <c r="E187" s="4">
        <v>8</v>
      </c>
      <c r="F187" s="4">
        <v>3</v>
      </c>
      <c r="G187" s="4">
        <v>24</v>
      </c>
      <c r="H187" s="4">
        <v>40</v>
      </c>
      <c r="I187" s="4">
        <v>37</v>
      </c>
      <c r="J187" s="4">
        <v>26</v>
      </c>
      <c r="K187" s="4">
        <v>23</v>
      </c>
      <c r="L187" s="4">
        <v>21</v>
      </c>
      <c r="M187" s="4">
        <v>14</v>
      </c>
      <c r="N187" s="4">
        <v>8</v>
      </c>
      <c r="O187" s="5">
        <f>SUM(Tabela323910[[#This Row],[jan/23]:[dez/23]])</f>
        <v>255</v>
      </c>
    </row>
    <row r="188" spans="1:15" x14ac:dyDescent="0.25">
      <c r="A188" s="4" t="s">
        <v>371</v>
      </c>
      <c r="B188" s="4" t="s">
        <v>194</v>
      </c>
      <c r="C188" s="4">
        <v>18</v>
      </c>
      <c r="D188" s="4">
        <v>2</v>
      </c>
      <c r="E188" s="4">
        <v>5</v>
      </c>
      <c r="F188" s="4">
        <v>22</v>
      </c>
      <c r="G188" s="4">
        <v>11</v>
      </c>
      <c r="H188" s="4">
        <v>65</v>
      </c>
      <c r="I188" s="4">
        <v>87</v>
      </c>
      <c r="J188" s="4"/>
      <c r="K188" s="4">
        <v>3</v>
      </c>
      <c r="L188" s="4">
        <v>10</v>
      </c>
      <c r="M188" s="4">
        <v>3</v>
      </c>
      <c r="N188" s="4">
        <v>3</v>
      </c>
      <c r="O188" s="5">
        <f>SUM(Tabela323910[[#This Row],[jan/23]:[dez/23]])</f>
        <v>229</v>
      </c>
    </row>
    <row r="189" spans="1:15" x14ac:dyDescent="0.25">
      <c r="A189" s="4" t="s">
        <v>373</v>
      </c>
      <c r="B189" s="4" t="s">
        <v>828</v>
      </c>
      <c r="C189" s="4"/>
      <c r="D189" s="4">
        <v>54</v>
      </c>
      <c r="E189" s="4">
        <v>74</v>
      </c>
      <c r="F189" s="4">
        <v>30</v>
      </c>
      <c r="G189" s="4">
        <v>21</v>
      </c>
      <c r="H189" s="4">
        <v>16</v>
      </c>
      <c r="I189" s="4">
        <v>7</v>
      </c>
      <c r="J189" s="4">
        <v>4</v>
      </c>
      <c r="K189" s="4">
        <v>2</v>
      </c>
      <c r="L189" s="4">
        <v>2</v>
      </c>
      <c r="M189" s="4">
        <v>5</v>
      </c>
      <c r="N189" s="4"/>
      <c r="O189" s="5">
        <f>SUM(Tabela323910[[#This Row],[jan/23]:[dez/23]])</f>
        <v>215</v>
      </c>
    </row>
    <row r="190" spans="1:15" x14ac:dyDescent="0.25">
      <c r="A190" s="4" t="s">
        <v>375</v>
      </c>
      <c r="B190" s="4" t="s">
        <v>610</v>
      </c>
      <c r="C190" s="4">
        <v>11</v>
      </c>
      <c r="D190" s="4">
        <v>6</v>
      </c>
      <c r="E190" s="4">
        <v>12</v>
      </c>
      <c r="F190" s="4">
        <v>10</v>
      </c>
      <c r="G190" s="4">
        <v>23</v>
      </c>
      <c r="H190" s="4">
        <v>25</v>
      </c>
      <c r="I190" s="4">
        <v>22</v>
      </c>
      <c r="J190" s="4">
        <v>25</v>
      </c>
      <c r="K190" s="4">
        <v>31</v>
      </c>
      <c r="L190" s="4">
        <v>16</v>
      </c>
      <c r="M190" s="4">
        <v>20</v>
      </c>
      <c r="N190" s="4">
        <v>11</v>
      </c>
      <c r="O190" s="5">
        <f>SUM(Tabela323910[[#This Row],[jan/23]:[dez/23]])</f>
        <v>212</v>
      </c>
    </row>
    <row r="191" spans="1:15" x14ac:dyDescent="0.25">
      <c r="A191" s="4" t="s">
        <v>377</v>
      </c>
      <c r="B191" s="4" t="s">
        <v>144</v>
      </c>
      <c r="C191" s="4">
        <v>1</v>
      </c>
      <c r="D191" s="4">
        <v>1</v>
      </c>
      <c r="E191" s="4">
        <v>7</v>
      </c>
      <c r="F191" s="4">
        <v>5</v>
      </c>
      <c r="G191" s="4">
        <v>3</v>
      </c>
      <c r="H191" s="4">
        <v>43</v>
      </c>
      <c r="I191" s="4">
        <v>14</v>
      </c>
      <c r="J191" s="4">
        <v>8</v>
      </c>
      <c r="K191" s="4">
        <v>27</v>
      </c>
      <c r="L191" s="4">
        <v>27</v>
      </c>
      <c r="M191" s="4">
        <v>29</v>
      </c>
      <c r="N191" s="4">
        <v>44</v>
      </c>
      <c r="O191" s="5">
        <f>SUM(Tabela323910[[#This Row],[jan/23]:[dez/23]])</f>
        <v>209</v>
      </c>
    </row>
    <row r="192" spans="1:15" x14ac:dyDescent="0.25">
      <c r="A192" s="4" t="s">
        <v>379</v>
      </c>
      <c r="B192" s="4" t="s">
        <v>711</v>
      </c>
      <c r="C192" s="4">
        <v>32</v>
      </c>
      <c r="D192" s="4">
        <v>39</v>
      </c>
      <c r="E192" s="4">
        <v>54</v>
      </c>
      <c r="F192" s="4">
        <v>15</v>
      </c>
      <c r="G192" s="4">
        <v>10</v>
      </c>
      <c r="H192" s="4">
        <v>14</v>
      </c>
      <c r="I192" s="4">
        <v>7</v>
      </c>
      <c r="J192" s="4">
        <v>10</v>
      </c>
      <c r="K192" s="4">
        <v>4</v>
      </c>
      <c r="L192" s="4">
        <v>9</v>
      </c>
      <c r="M192" s="4">
        <v>5</v>
      </c>
      <c r="N192" s="4">
        <v>9</v>
      </c>
      <c r="O192" s="5">
        <f>SUM(Tabela323910[[#This Row],[jan/23]:[dez/23]])</f>
        <v>208</v>
      </c>
    </row>
    <row r="193" spans="1:15" x14ac:dyDescent="0.25">
      <c r="A193" s="4" t="s">
        <v>383</v>
      </c>
      <c r="B193" s="4" t="s">
        <v>829</v>
      </c>
      <c r="C193" s="4"/>
      <c r="D193" s="4">
        <v>100</v>
      </c>
      <c r="E193" s="4">
        <v>45</v>
      </c>
      <c r="F193" s="4">
        <v>51</v>
      </c>
      <c r="G193" s="4"/>
      <c r="H193" s="4"/>
      <c r="I193" s="4"/>
      <c r="J193" s="4"/>
      <c r="K193" s="4"/>
      <c r="L193" s="4"/>
      <c r="M193" s="4"/>
      <c r="N193" s="4"/>
      <c r="O193" s="5">
        <f>SUM(Tabela323910[[#This Row],[jan/23]:[dez/23]])</f>
        <v>196</v>
      </c>
    </row>
    <row r="194" spans="1:15" x14ac:dyDescent="0.25">
      <c r="A194" s="4" t="s">
        <v>381</v>
      </c>
      <c r="B194" s="4" t="s">
        <v>748</v>
      </c>
      <c r="C194" s="4">
        <v>10</v>
      </c>
      <c r="D194" s="4">
        <v>13</v>
      </c>
      <c r="E194" s="4">
        <v>22</v>
      </c>
      <c r="F194" s="4">
        <v>17</v>
      </c>
      <c r="G194" s="4">
        <v>20</v>
      </c>
      <c r="H194" s="4">
        <v>18</v>
      </c>
      <c r="I194" s="4">
        <v>21</v>
      </c>
      <c r="J194" s="4">
        <v>16</v>
      </c>
      <c r="K194" s="4">
        <v>8</v>
      </c>
      <c r="L194" s="4">
        <v>16</v>
      </c>
      <c r="M194" s="4">
        <v>14</v>
      </c>
      <c r="N194" s="4">
        <v>14</v>
      </c>
      <c r="O194" s="5">
        <f>SUM(Tabela323910[[#This Row],[jan/23]:[dez/23]])</f>
        <v>189</v>
      </c>
    </row>
    <row r="195" spans="1:15" x14ac:dyDescent="0.25">
      <c r="A195" s="4" t="s">
        <v>385</v>
      </c>
      <c r="B195" s="4" t="s">
        <v>721</v>
      </c>
      <c r="C195" s="4">
        <v>14</v>
      </c>
      <c r="D195" s="4">
        <v>8</v>
      </c>
      <c r="E195" s="4">
        <v>20</v>
      </c>
      <c r="F195" s="4">
        <v>8</v>
      </c>
      <c r="G195" s="4">
        <v>18</v>
      </c>
      <c r="H195" s="4">
        <v>27</v>
      </c>
      <c r="I195" s="4">
        <v>13</v>
      </c>
      <c r="J195" s="4">
        <v>19</v>
      </c>
      <c r="K195" s="4">
        <v>18</v>
      </c>
      <c r="L195" s="4">
        <v>19</v>
      </c>
      <c r="M195" s="4">
        <v>10</v>
      </c>
      <c r="N195" s="4">
        <v>14</v>
      </c>
      <c r="O195" s="5">
        <f>SUM(Tabela323910[[#This Row],[jan/23]:[dez/23]])</f>
        <v>188</v>
      </c>
    </row>
    <row r="196" spans="1:15" x14ac:dyDescent="0.25">
      <c r="A196" s="4" t="s">
        <v>389</v>
      </c>
      <c r="B196" s="4" t="s">
        <v>615</v>
      </c>
      <c r="C196" s="4">
        <v>27</v>
      </c>
      <c r="D196" s="4">
        <v>10</v>
      </c>
      <c r="E196" s="4">
        <v>25</v>
      </c>
      <c r="F196" s="4">
        <v>12</v>
      </c>
      <c r="G196" s="4">
        <v>20</v>
      </c>
      <c r="H196" s="4">
        <v>16</v>
      </c>
      <c r="I196" s="4">
        <v>15</v>
      </c>
      <c r="J196" s="4">
        <v>12</v>
      </c>
      <c r="K196" s="4">
        <v>15</v>
      </c>
      <c r="L196" s="4">
        <v>16</v>
      </c>
      <c r="M196" s="4">
        <v>11</v>
      </c>
      <c r="N196" s="4">
        <v>8</v>
      </c>
      <c r="O196" s="5">
        <f>SUM(Tabela323910[[#This Row],[jan/23]:[dez/23]])</f>
        <v>187</v>
      </c>
    </row>
    <row r="197" spans="1:15" x14ac:dyDescent="0.25">
      <c r="A197" s="4" t="s">
        <v>387</v>
      </c>
      <c r="B197" s="4" t="s">
        <v>830</v>
      </c>
      <c r="C197" s="4"/>
      <c r="D197" s="4">
        <v>78</v>
      </c>
      <c r="E197" s="4">
        <v>59</v>
      </c>
      <c r="F197" s="4">
        <v>27</v>
      </c>
      <c r="G197" s="4">
        <v>10</v>
      </c>
      <c r="H197" s="4">
        <v>6</v>
      </c>
      <c r="I197" s="4">
        <v>1</v>
      </c>
      <c r="J197" s="4"/>
      <c r="K197" s="4">
        <v>1</v>
      </c>
      <c r="L197" s="4">
        <v>1</v>
      </c>
      <c r="M197" s="4"/>
      <c r="N197" s="4"/>
      <c r="O197" s="5">
        <f>SUM(Tabela323910[[#This Row],[jan/23]:[dez/23]])</f>
        <v>183</v>
      </c>
    </row>
    <row r="198" spans="1:15" x14ac:dyDescent="0.25">
      <c r="A198" s="4" t="s">
        <v>391</v>
      </c>
      <c r="B198" s="4" t="s">
        <v>665</v>
      </c>
      <c r="C198" s="4">
        <v>9</v>
      </c>
      <c r="D198" s="4">
        <v>5</v>
      </c>
      <c r="E198" s="4">
        <v>4</v>
      </c>
      <c r="F198" s="4">
        <v>23</v>
      </c>
      <c r="G198" s="4">
        <v>20</v>
      </c>
      <c r="H198" s="4">
        <v>36</v>
      </c>
      <c r="I198" s="4">
        <v>19</v>
      </c>
      <c r="J198" s="4">
        <v>10</v>
      </c>
      <c r="K198" s="4">
        <v>3</v>
      </c>
      <c r="L198" s="4">
        <v>11</v>
      </c>
      <c r="M198" s="4">
        <v>17</v>
      </c>
      <c r="N198" s="4">
        <v>15</v>
      </c>
      <c r="O198" s="5">
        <f>SUM(Tabela323910[[#This Row],[jan/23]:[dez/23]])</f>
        <v>172</v>
      </c>
    </row>
    <row r="199" spans="1:15" x14ac:dyDescent="0.25">
      <c r="A199" s="4" t="s">
        <v>393</v>
      </c>
      <c r="B199" s="4" t="s">
        <v>290</v>
      </c>
      <c r="C199" s="4"/>
      <c r="D199" s="4"/>
      <c r="E199" s="4">
        <v>15</v>
      </c>
      <c r="F199" s="4">
        <v>26</v>
      </c>
      <c r="G199" s="4">
        <v>22</v>
      </c>
      <c r="H199" s="4">
        <v>15</v>
      </c>
      <c r="I199" s="4">
        <v>21</v>
      </c>
      <c r="J199" s="4">
        <v>23</v>
      </c>
      <c r="K199" s="4">
        <v>20</v>
      </c>
      <c r="L199" s="4">
        <v>30</v>
      </c>
      <c r="M199" s="4"/>
      <c r="N199" s="4"/>
      <c r="O199" s="5">
        <f>SUM(Tabela323910[[#This Row],[jan/23]:[dez/23]])</f>
        <v>172</v>
      </c>
    </row>
    <row r="200" spans="1:15" x14ac:dyDescent="0.25">
      <c r="A200" s="4" t="s">
        <v>397</v>
      </c>
      <c r="B200" s="4" t="s">
        <v>664</v>
      </c>
      <c r="C200" s="4">
        <v>5</v>
      </c>
      <c r="D200" s="4">
        <v>5</v>
      </c>
      <c r="E200" s="4">
        <v>13</v>
      </c>
      <c r="F200" s="4">
        <v>18</v>
      </c>
      <c r="G200" s="4">
        <v>8</v>
      </c>
      <c r="H200" s="4">
        <v>13</v>
      </c>
      <c r="I200" s="4">
        <v>17</v>
      </c>
      <c r="J200" s="4">
        <v>13</v>
      </c>
      <c r="K200" s="4">
        <v>21</v>
      </c>
      <c r="L200" s="4">
        <v>17</v>
      </c>
      <c r="M200" s="4">
        <v>13</v>
      </c>
      <c r="N200" s="4">
        <v>16</v>
      </c>
      <c r="O200" s="5">
        <f>SUM(Tabela323910[[#This Row],[jan/23]:[dez/23]])</f>
        <v>159</v>
      </c>
    </row>
    <row r="201" spans="1:15" x14ac:dyDescent="0.25">
      <c r="A201" s="4" t="s">
        <v>395</v>
      </c>
      <c r="B201" s="4" t="s">
        <v>689</v>
      </c>
      <c r="C201" s="4">
        <v>13</v>
      </c>
      <c r="D201" s="4">
        <v>8</v>
      </c>
      <c r="E201" s="4">
        <v>16</v>
      </c>
      <c r="F201" s="4">
        <v>7</v>
      </c>
      <c r="G201" s="4">
        <v>21</v>
      </c>
      <c r="H201" s="4">
        <v>7</v>
      </c>
      <c r="I201" s="4">
        <v>9</v>
      </c>
      <c r="J201" s="4">
        <v>12</v>
      </c>
      <c r="K201" s="4">
        <v>20</v>
      </c>
      <c r="L201" s="4">
        <v>13</v>
      </c>
      <c r="M201" s="4">
        <v>24</v>
      </c>
      <c r="N201" s="4">
        <v>5</v>
      </c>
      <c r="O201" s="5">
        <f>SUM(Tabela323910[[#This Row],[jan/23]:[dez/23]])</f>
        <v>155</v>
      </c>
    </row>
    <row r="202" spans="1:15" x14ac:dyDescent="0.25">
      <c r="A202" s="4" t="s">
        <v>399</v>
      </c>
      <c r="B202" s="4" t="s">
        <v>573</v>
      </c>
      <c r="C202" s="4"/>
      <c r="D202" s="4"/>
      <c r="E202" s="4"/>
      <c r="F202" s="4"/>
      <c r="G202" s="4"/>
      <c r="H202" s="4"/>
      <c r="I202" s="4"/>
      <c r="J202" s="4">
        <v>2</v>
      </c>
      <c r="K202" s="4">
        <v>14</v>
      </c>
      <c r="L202" s="4">
        <v>34</v>
      </c>
      <c r="M202" s="4">
        <v>57</v>
      </c>
      <c r="N202" s="4">
        <v>44</v>
      </c>
      <c r="O202" s="5">
        <f>SUM(Tabela323910[[#This Row],[jan/23]:[dez/23]])</f>
        <v>151</v>
      </c>
    </row>
    <row r="203" spans="1:15" x14ac:dyDescent="0.25">
      <c r="A203" s="4" t="s">
        <v>401</v>
      </c>
      <c r="B203" s="4" t="s">
        <v>517</v>
      </c>
      <c r="C203" s="4">
        <v>8</v>
      </c>
      <c r="D203" s="4">
        <v>21</v>
      </c>
      <c r="E203" s="4">
        <v>11</v>
      </c>
      <c r="F203" s="4">
        <v>12</v>
      </c>
      <c r="G203" s="4">
        <v>14</v>
      </c>
      <c r="H203" s="4">
        <v>12</v>
      </c>
      <c r="I203" s="4">
        <v>17</v>
      </c>
      <c r="J203" s="4">
        <v>7</v>
      </c>
      <c r="K203" s="4">
        <v>6</v>
      </c>
      <c r="L203" s="4">
        <v>14</v>
      </c>
      <c r="M203" s="4">
        <v>8</v>
      </c>
      <c r="N203" s="4">
        <v>10</v>
      </c>
      <c r="O203" s="5">
        <f>SUM(Tabela323910[[#This Row],[jan/23]:[dez/23]])</f>
        <v>140</v>
      </c>
    </row>
    <row r="204" spans="1:15" x14ac:dyDescent="0.25">
      <c r="A204" s="4" t="s">
        <v>409</v>
      </c>
      <c r="B204" s="4" t="s">
        <v>795</v>
      </c>
      <c r="C204" s="4">
        <v>12</v>
      </c>
      <c r="D204" s="4">
        <v>8</v>
      </c>
      <c r="E204" s="4">
        <v>13</v>
      </c>
      <c r="F204" s="4">
        <v>5</v>
      </c>
      <c r="G204" s="4">
        <v>17</v>
      </c>
      <c r="H204" s="4">
        <v>12</v>
      </c>
      <c r="I204" s="4">
        <v>19</v>
      </c>
      <c r="J204" s="4">
        <v>10</v>
      </c>
      <c r="K204" s="4">
        <v>7</v>
      </c>
      <c r="L204" s="4">
        <v>7</v>
      </c>
      <c r="M204" s="4">
        <v>10</v>
      </c>
      <c r="N204" s="4">
        <v>19</v>
      </c>
      <c r="O204" s="5">
        <f>SUM(Tabela323910[[#This Row],[jan/23]:[dez/23]])</f>
        <v>139</v>
      </c>
    </row>
    <row r="205" spans="1:15" x14ac:dyDescent="0.25">
      <c r="A205" s="4" t="s">
        <v>407</v>
      </c>
      <c r="B205" s="4" t="s">
        <v>663</v>
      </c>
      <c r="C205" s="4">
        <v>7</v>
      </c>
      <c r="D205" s="4">
        <v>19</v>
      </c>
      <c r="E205" s="4">
        <v>14</v>
      </c>
      <c r="F205" s="4">
        <v>12</v>
      </c>
      <c r="G205" s="4">
        <v>5</v>
      </c>
      <c r="H205" s="4">
        <v>9</v>
      </c>
      <c r="I205" s="4">
        <v>9</v>
      </c>
      <c r="J205" s="4">
        <v>10</v>
      </c>
      <c r="K205" s="4">
        <v>8</v>
      </c>
      <c r="L205" s="4">
        <v>22</v>
      </c>
      <c r="M205" s="4">
        <v>11</v>
      </c>
      <c r="N205" s="4">
        <v>13</v>
      </c>
      <c r="O205" s="5">
        <f>SUM(Tabela323910[[#This Row],[jan/23]:[dez/23]])</f>
        <v>139</v>
      </c>
    </row>
    <row r="206" spans="1:15" x14ac:dyDescent="0.25">
      <c r="A206" s="4" t="s">
        <v>405</v>
      </c>
      <c r="B206" s="4" t="s">
        <v>831</v>
      </c>
      <c r="C206" s="4">
        <v>73</v>
      </c>
      <c r="D206" s="4">
        <v>8</v>
      </c>
      <c r="E206" s="4">
        <v>11</v>
      </c>
      <c r="F206" s="4">
        <v>10</v>
      </c>
      <c r="G206" s="4">
        <v>8</v>
      </c>
      <c r="H206" s="4">
        <v>1</v>
      </c>
      <c r="I206" s="4">
        <v>3</v>
      </c>
      <c r="J206" s="4">
        <v>3</v>
      </c>
      <c r="K206" s="4">
        <v>6</v>
      </c>
      <c r="L206" s="4">
        <v>6</v>
      </c>
      <c r="M206" s="4">
        <v>9</v>
      </c>
      <c r="N206" s="4"/>
      <c r="O206" s="5">
        <f>SUM(Tabela323910[[#This Row],[jan/23]:[dez/23]])</f>
        <v>138</v>
      </c>
    </row>
    <row r="207" spans="1:15" x14ac:dyDescent="0.25">
      <c r="A207" s="4" t="s">
        <v>403</v>
      </c>
      <c r="B207" s="4" t="s">
        <v>675</v>
      </c>
      <c r="C207" s="4"/>
      <c r="D207" s="4"/>
      <c r="E207" s="4">
        <v>20</v>
      </c>
      <c r="F207" s="4">
        <v>13</v>
      </c>
      <c r="G207" s="4">
        <v>9</v>
      </c>
      <c r="H207" s="4">
        <v>16</v>
      </c>
      <c r="I207" s="4">
        <v>15</v>
      </c>
      <c r="J207" s="4">
        <v>16</v>
      </c>
      <c r="K207" s="4">
        <v>18</v>
      </c>
      <c r="L207" s="4">
        <v>11</v>
      </c>
      <c r="M207" s="4">
        <v>8</v>
      </c>
      <c r="N207" s="4">
        <v>6</v>
      </c>
      <c r="O207" s="5">
        <f>SUM(Tabela323910[[#This Row],[jan/23]:[dez/23]])</f>
        <v>132</v>
      </c>
    </row>
    <row r="208" spans="1:15" x14ac:dyDescent="0.25">
      <c r="A208" s="4" t="s">
        <v>413</v>
      </c>
      <c r="B208" s="4" t="s">
        <v>815</v>
      </c>
      <c r="C208" s="4">
        <v>12</v>
      </c>
      <c r="D208" s="4">
        <v>13</v>
      </c>
      <c r="E208" s="4">
        <v>18</v>
      </c>
      <c r="F208" s="4">
        <v>15</v>
      </c>
      <c r="G208" s="4">
        <v>12</v>
      </c>
      <c r="H208" s="4">
        <v>4</v>
      </c>
      <c r="I208" s="4">
        <v>14</v>
      </c>
      <c r="J208" s="4">
        <v>2</v>
      </c>
      <c r="K208" s="4">
        <v>17</v>
      </c>
      <c r="L208" s="4">
        <v>9</v>
      </c>
      <c r="M208" s="4">
        <v>4</v>
      </c>
      <c r="N208" s="4">
        <v>10</v>
      </c>
      <c r="O208" s="5">
        <f>SUM(Tabela323910[[#This Row],[jan/23]:[dez/23]])</f>
        <v>130</v>
      </c>
    </row>
    <row r="209" spans="1:15" x14ac:dyDescent="0.25">
      <c r="A209" s="4" t="s">
        <v>411</v>
      </c>
      <c r="B209" s="4" t="s">
        <v>176</v>
      </c>
      <c r="C209" s="4"/>
      <c r="D209" s="4"/>
      <c r="E209" s="4"/>
      <c r="F209" s="4"/>
      <c r="G209" s="4"/>
      <c r="H209" s="4"/>
      <c r="I209" s="4">
        <v>15</v>
      </c>
      <c r="J209" s="4">
        <v>11</v>
      </c>
      <c r="K209" s="4">
        <v>36</v>
      </c>
      <c r="L209" s="4">
        <v>25</v>
      </c>
      <c r="M209" s="4">
        <v>17</v>
      </c>
      <c r="N209" s="4">
        <v>23</v>
      </c>
      <c r="O209" s="5">
        <f>SUM(Tabela323910[[#This Row],[jan/23]:[dez/23]])</f>
        <v>127</v>
      </c>
    </row>
    <row r="210" spans="1:15" x14ac:dyDescent="0.25">
      <c r="A210" s="4" t="s">
        <v>417</v>
      </c>
      <c r="B210" s="4" t="s">
        <v>798</v>
      </c>
      <c r="C210" s="4">
        <v>6</v>
      </c>
      <c r="D210" s="4">
        <v>7</v>
      </c>
      <c r="E210" s="4">
        <v>18</v>
      </c>
      <c r="F210" s="4">
        <v>12</v>
      </c>
      <c r="G210" s="4">
        <v>15</v>
      </c>
      <c r="H210" s="4">
        <v>16</v>
      </c>
      <c r="I210" s="4">
        <v>20</v>
      </c>
      <c r="J210" s="4">
        <v>7</v>
      </c>
      <c r="K210" s="4">
        <v>8</v>
      </c>
      <c r="L210" s="4">
        <v>7</v>
      </c>
      <c r="M210" s="4">
        <v>6</v>
      </c>
      <c r="N210" s="4">
        <v>3</v>
      </c>
      <c r="O210" s="5">
        <f>SUM(Tabela323910[[#This Row],[jan/23]:[dez/23]])</f>
        <v>125</v>
      </c>
    </row>
    <row r="211" spans="1:15" x14ac:dyDescent="0.25">
      <c r="A211" s="4" t="s">
        <v>415</v>
      </c>
      <c r="B211" s="4" t="s">
        <v>668</v>
      </c>
      <c r="C211" s="4">
        <v>7</v>
      </c>
      <c r="D211" s="4">
        <v>11</v>
      </c>
      <c r="E211" s="4">
        <v>11</v>
      </c>
      <c r="F211" s="4">
        <v>13</v>
      </c>
      <c r="G211" s="4">
        <v>14</v>
      </c>
      <c r="H211" s="4">
        <v>19</v>
      </c>
      <c r="I211" s="4">
        <v>11</v>
      </c>
      <c r="J211" s="4">
        <v>6</v>
      </c>
      <c r="K211" s="4">
        <v>4</v>
      </c>
      <c r="L211" s="4">
        <v>7</v>
      </c>
      <c r="M211" s="4">
        <v>7</v>
      </c>
      <c r="N211" s="4">
        <v>8</v>
      </c>
      <c r="O211" s="5">
        <f>SUM(Tabela323910[[#This Row],[jan/23]:[dez/23]])</f>
        <v>118</v>
      </c>
    </row>
    <row r="212" spans="1:15" x14ac:dyDescent="0.25">
      <c r="A212" s="4" t="s">
        <v>421</v>
      </c>
      <c r="B212" s="4" t="s">
        <v>800</v>
      </c>
      <c r="C212" s="4">
        <v>13</v>
      </c>
      <c r="D212" s="4">
        <v>25</v>
      </c>
      <c r="E212" s="4">
        <v>8</v>
      </c>
      <c r="F212" s="4">
        <v>16</v>
      </c>
      <c r="G212" s="4">
        <v>7</v>
      </c>
      <c r="H212" s="4">
        <v>3</v>
      </c>
      <c r="I212" s="4">
        <v>7</v>
      </c>
      <c r="J212" s="4">
        <v>4</v>
      </c>
      <c r="K212" s="4">
        <v>6</v>
      </c>
      <c r="L212" s="4">
        <v>5</v>
      </c>
      <c r="M212" s="4">
        <v>8</v>
      </c>
      <c r="N212" s="4">
        <v>14</v>
      </c>
      <c r="O212" s="5">
        <f>SUM(Tabela323910[[#This Row],[jan/23]:[dez/23]])</f>
        <v>116</v>
      </c>
    </row>
    <row r="213" spans="1:15" x14ac:dyDescent="0.25">
      <c r="A213" s="4" t="s">
        <v>419</v>
      </c>
      <c r="B213" s="4" t="s">
        <v>562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>
        <v>114</v>
      </c>
      <c r="O213" s="5">
        <f>SUM(Tabela323910[[#This Row],[jan/23]:[dez/23]])</f>
        <v>114</v>
      </c>
    </row>
    <row r="214" spans="1:15" x14ac:dyDescent="0.25">
      <c r="A214" s="4" t="s">
        <v>423</v>
      </c>
      <c r="B214" s="4" t="s">
        <v>590</v>
      </c>
      <c r="C214" s="4">
        <v>16</v>
      </c>
      <c r="D214" s="4">
        <v>11</v>
      </c>
      <c r="E214" s="4">
        <v>16</v>
      </c>
      <c r="F214" s="4">
        <v>11</v>
      </c>
      <c r="G214" s="4">
        <v>5</v>
      </c>
      <c r="H214" s="4">
        <v>8</v>
      </c>
      <c r="I214" s="4">
        <v>10</v>
      </c>
      <c r="J214" s="4">
        <v>9</v>
      </c>
      <c r="K214" s="4">
        <v>9</v>
      </c>
      <c r="L214" s="4">
        <v>9</v>
      </c>
      <c r="M214" s="4">
        <v>4</v>
      </c>
      <c r="N214" s="4">
        <v>6</v>
      </c>
      <c r="O214" s="5">
        <f>SUM(Tabela323910[[#This Row],[jan/23]:[dez/23]])</f>
        <v>114</v>
      </c>
    </row>
    <row r="215" spans="1:15" x14ac:dyDescent="0.25">
      <c r="A215" s="4" t="s">
        <v>427</v>
      </c>
      <c r="B215" s="4" t="s">
        <v>450</v>
      </c>
      <c r="C215" s="4">
        <v>4</v>
      </c>
      <c r="D215" s="4">
        <v>5</v>
      </c>
      <c r="E215" s="4">
        <v>8</v>
      </c>
      <c r="F215" s="4">
        <v>10</v>
      </c>
      <c r="G215" s="4">
        <v>14</v>
      </c>
      <c r="H215" s="4">
        <v>16</v>
      </c>
      <c r="I215" s="4">
        <v>11</v>
      </c>
      <c r="J215" s="4">
        <v>12</v>
      </c>
      <c r="K215" s="4">
        <v>11</v>
      </c>
      <c r="L215" s="4">
        <v>5</v>
      </c>
      <c r="M215" s="4">
        <v>10</v>
      </c>
      <c r="N215" s="4">
        <v>7</v>
      </c>
      <c r="O215" s="5">
        <f>SUM(Tabela323910[[#This Row],[jan/23]:[dez/23]])</f>
        <v>113</v>
      </c>
    </row>
    <row r="216" spans="1:15" x14ac:dyDescent="0.25">
      <c r="A216" s="4" t="s">
        <v>425</v>
      </c>
      <c r="B216" s="4" t="s">
        <v>582</v>
      </c>
      <c r="C216" s="4">
        <v>9</v>
      </c>
      <c r="D216" s="4">
        <v>5</v>
      </c>
      <c r="E216" s="4">
        <v>9</v>
      </c>
      <c r="F216" s="4">
        <v>20</v>
      </c>
      <c r="G216" s="4">
        <v>8</v>
      </c>
      <c r="H216" s="4">
        <v>10</v>
      </c>
      <c r="I216" s="4">
        <v>11</v>
      </c>
      <c r="J216" s="4">
        <v>7</v>
      </c>
      <c r="K216" s="4">
        <v>9</v>
      </c>
      <c r="L216" s="4">
        <v>2</v>
      </c>
      <c r="M216" s="4">
        <v>7</v>
      </c>
      <c r="N216" s="4">
        <v>10</v>
      </c>
      <c r="O216" s="5">
        <f>SUM(Tabela323910[[#This Row],[jan/23]:[dez/23]])</f>
        <v>107</v>
      </c>
    </row>
    <row r="217" spans="1:15" x14ac:dyDescent="0.25">
      <c r="A217" s="4" t="s">
        <v>445</v>
      </c>
      <c r="B217" s="4" t="s">
        <v>496</v>
      </c>
      <c r="C217" s="4">
        <v>22</v>
      </c>
      <c r="D217" s="4">
        <v>8</v>
      </c>
      <c r="E217" s="4">
        <v>7</v>
      </c>
      <c r="F217" s="4">
        <v>6</v>
      </c>
      <c r="G217" s="4">
        <v>2</v>
      </c>
      <c r="H217" s="4">
        <v>7</v>
      </c>
      <c r="I217" s="4">
        <v>7</v>
      </c>
      <c r="J217" s="4">
        <v>7</v>
      </c>
      <c r="K217" s="4">
        <v>11</v>
      </c>
      <c r="L217" s="4">
        <v>10</v>
      </c>
      <c r="M217" s="4">
        <v>10</v>
      </c>
      <c r="N217" s="4">
        <v>9</v>
      </c>
      <c r="O217" s="5">
        <f>SUM(Tabela323910[[#This Row],[jan/23]:[dez/23]])</f>
        <v>106</v>
      </c>
    </row>
    <row r="218" spans="1:15" x14ac:dyDescent="0.25">
      <c r="A218" s="4" t="s">
        <v>443</v>
      </c>
      <c r="B218" s="4" t="s">
        <v>807</v>
      </c>
      <c r="C218" s="4">
        <v>11</v>
      </c>
      <c r="D218" s="4">
        <v>12</v>
      </c>
      <c r="E218" s="4">
        <v>15</v>
      </c>
      <c r="F218" s="4">
        <v>16</v>
      </c>
      <c r="G218" s="4">
        <v>7</v>
      </c>
      <c r="H218" s="4">
        <v>9</v>
      </c>
      <c r="I218" s="4">
        <v>5</v>
      </c>
      <c r="J218" s="4">
        <v>4</v>
      </c>
      <c r="K218" s="4">
        <v>8</v>
      </c>
      <c r="L218" s="4">
        <v>5</v>
      </c>
      <c r="M218" s="4">
        <v>8</v>
      </c>
      <c r="N218" s="4">
        <v>6</v>
      </c>
      <c r="O218" s="5">
        <f>SUM(Tabela323910[[#This Row],[jan/23]:[dez/23]])</f>
        <v>106</v>
      </c>
    </row>
    <row r="219" spans="1:15" x14ac:dyDescent="0.25">
      <c r="A219" s="4" t="s">
        <v>441</v>
      </c>
      <c r="B219" s="4" t="s">
        <v>818</v>
      </c>
      <c r="C219" s="4">
        <v>3</v>
      </c>
      <c r="D219" s="4">
        <v>2</v>
      </c>
      <c r="E219" s="4">
        <v>8</v>
      </c>
      <c r="F219" s="4">
        <v>9</v>
      </c>
      <c r="G219" s="4">
        <v>28</v>
      </c>
      <c r="H219" s="4">
        <v>12</v>
      </c>
      <c r="I219" s="4">
        <v>11</v>
      </c>
      <c r="J219" s="4">
        <v>12</v>
      </c>
      <c r="K219" s="4">
        <v>8</v>
      </c>
      <c r="L219" s="4">
        <v>3</v>
      </c>
      <c r="M219" s="4">
        <v>5</v>
      </c>
      <c r="N219" s="4">
        <v>4</v>
      </c>
      <c r="O219" s="5">
        <f>SUM(Tabela323910[[#This Row],[jan/23]:[dez/23]])</f>
        <v>105</v>
      </c>
    </row>
    <row r="220" spans="1:15" x14ac:dyDescent="0.25">
      <c r="A220" s="4" t="s">
        <v>439</v>
      </c>
      <c r="B220" s="4" t="s">
        <v>817</v>
      </c>
      <c r="C220" s="4">
        <v>10</v>
      </c>
      <c r="D220" s="4">
        <v>8</v>
      </c>
      <c r="E220" s="4">
        <v>15</v>
      </c>
      <c r="F220" s="4">
        <v>9</v>
      </c>
      <c r="G220" s="4">
        <v>12</v>
      </c>
      <c r="H220" s="4">
        <v>8</v>
      </c>
      <c r="I220" s="4">
        <v>16</v>
      </c>
      <c r="J220" s="4">
        <v>12</v>
      </c>
      <c r="K220" s="4">
        <v>3</v>
      </c>
      <c r="L220" s="4">
        <v>2</v>
      </c>
      <c r="M220" s="4">
        <v>3</v>
      </c>
      <c r="N220" s="4">
        <v>3</v>
      </c>
      <c r="O220" s="5">
        <f>SUM(Tabela323910[[#This Row],[jan/23]:[dez/23]])</f>
        <v>101</v>
      </c>
    </row>
    <row r="221" spans="1:15" x14ac:dyDescent="0.25">
      <c r="A221" s="4" t="s">
        <v>437</v>
      </c>
      <c r="B221" s="4" t="s">
        <v>779</v>
      </c>
      <c r="C221" s="4"/>
      <c r="D221" s="4"/>
      <c r="E221" s="4">
        <v>3</v>
      </c>
      <c r="F221" s="4">
        <v>95</v>
      </c>
      <c r="G221" s="4"/>
      <c r="H221" s="4"/>
      <c r="I221" s="4"/>
      <c r="J221" s="4"/>
      <c r="K221" s="4">
        <v>1</v>
      </c>
      <c r="L221" s="4"/>
      <c r="M221" s="4"/>
      <c r="N221" s="4">
        <v>1</v>
      </c>
      <c r="O221" s="5">
        <f>SUM(Tabela323910[[#This Row],[jan/23]:[dez/23]])</f>
        <v>100</v>
      </c>
    </row>
    <row r="222" spans="1:15" x14ac:dyDescent="0.25">
      <c r="A222" s="4" t="s">
        <v>435</v>
      </c>
      <c r="B222" s="4" t="s">
        <v>682</v>
      </c>
      <c r="C222" s="4">
        <v>3</v>
      </c>
      <c r="D222" s="4">
        <v>5</v>
      </c>
      <c r="E222" s="4">
        <v>3</v>
      </c>
      <c r="F222" s="4">
        <v>11</v>
      </c>
      <c r="G222" s="4">
        <v>22</v>
      </c>
      <c r="H222" s="4">
        <v>11</v>
      </c>
      <c r="I222" s="4">
        <v>11</v>
      </c>
      <c r="J222" s="4">
        <v>5</v>
      </c>
      <c r="K222" s="4">
        <v>6</v>
      </c>
      <c r="L222" s="4">
        <v>12</v>
      </c>
      <c r="M222" s="4">
        <v>8</v>
      </c>
      <c r="N222" s="4">
        <v>3</v>
      </c>
      <c r="O222" s="5">
        <f>SUM(Tabela323910[[#This Row],[jan/23]:[dez/23]])</f>
        <v>100</v>
      </c>
    </row>
    <row r="223" spans="1:15" x14ac:dyDescent="0.25">
      <c r="A223" s="4" t="s">
        <v>433</v>
      </c>
      <c r="B223" s="4" t="s">
        <v>809</v>
      </c>
      <c r="C223" s="4">
        <v>8</v>
      </c>
      <c r="D223" s="4">
        <v>9</v>
      </c>
      <c r="E223" s="4">
        <v>21</v>
      </c>
      <c r="F223" s="4">
        <v>12</v>
      </c>
      <c r="G223" s="4">
        <v>9</v>
      </c>
      <c r="H223" s="4">
        <v>11</v>
      </c>
      <c r="I223" s="4">
        <v>4</v>
      </c>
      <c r="J223" s="4">
        <v>4</v>
      </c>
      <c r="K223" s="4">
        <v>5</v>
      </c>
      <c r="L223" s="4">
        <v>1</v>
      </c>
      <c r="M223" s="4">
        <v>6</v>
      </c>
      <c r="N223" s="4">
        <v>6</v>
      </c>
      <c r="O223" s="5">
        <f>SUM(Tabela323910[[#This Row],[jan/23]:[dez/23]])</f>
        <v>96</v>
      </c>
    </row>
    <row r="224" spans="1:15" x14ac:dyDescent="0.25">
      <c r="A224" s="4" t="s">
        <v>431</v>
      </c>
      <c r="B224" s="4" t="s">
        <v>418</v>
      </c>
      <c r="C224" s="4">
        <v>12</v>
      </c>
      <c r="D224" s="4">
        <v>9</v>
      </c>
      <c r="E224" s="4">
        <v>3</v>
      </c>
      <c r="F224" s="4">
        <v>4</v>
      </c>
      <c r="G224" s="4">
        <v>7</v>
      </c>
      <c r="H224" s="4">
        <v>14</v>
      </c>
      <c r="I224" s="4">
        <v>4</v>
      </c>
      <c r="J224" s="4">
        <v>11</v>
      </c>
      <c r="K224" s="4">
        <v>5</v>
      </c>
      <c r="L224" s="4">
        <v>11</v>
      </c>
      <c r="M224" s="4">
        <v>6</v>
      </c>
      <c r="N224" s="4">
        <v>6</v>
      </c>
      <c r="O224" s="5">
        <f>SUM(Tabela323910[[#This Row],[jan/23]:[dez/23]])</f>
        <v>92</v>
      </c>
    </row>
    <row r="225" spans="1:15" x14ac:dyDescent="0.25">
      <c r="A225" s="4" t="s">
        <v>429</v>
      </c>
      <c r="B225" s="4" t="s">
        <v>308</v>
      </c>
      <c r="C225" s="4">
        <v>4</v>
      </c>
      <c r="D225" s="4">
        <v>7</v>
      </c>
      <c r="E225" s="4">
        <v>5</v>
      </c>
      <c r="F225" s="4">
        <v>6</v>
      </c>
      <c r="G225" s="4">
        <v>7</v>
      </c>
      <c r="H225" s="4">
        <v>5</v>
      </c>
      <c r="I225" s="4">
        <v>13</v>
      </c>
      <c r="J225" s="4">
        <v>7</v>
      </c>
      <c r="K225" s="4">
        <v>7</v>
      </c>
      <c r="L225" s="4">
        <v>15</v>
      </c>
      <c r="M225" s="4">
        <v>4</v>
      </c>
      <c r="N225" s="4">
        <v>4</v>
      </c>
      <c r="O225" s="5">
        <f>SUM(Tabela323910[[#This Row],[jan/23]:[dez/23]])</f>
        <v>84</v>
      </c>
    </row>
    <row r="226" spans="1:15" x14ac:dyDescent="0.25">
      <c r="A226" s="4" t="s">
        <v>473</v>
      </c>
      <c r="B226" s="4" t="s">
        <v>757</v>
      </c>
      <c r="C226" s="4">
        <v>16</v>
      </c>
      <c r="D226" s="4">
        <v>9</v>
      </c>
      <c r="E226" s="4">
        <v>7</v>
      </c>
      <c r="F226" s="4">
        <v>12</v>
      </c>
      <c r="G226" s="4">
        <v>13</v>
      </c>
      <c r="H226" s="4">
        <v>10</v>
      </c>
      <c r="I226" s="4">
        <v>4</v>
      </c>
      <c r="J226" s="4">
        <v>3</v>
      </c>
      <c r="K226" s="4">
        <v>2</v>
      </c>
      <c r="L226" s="4">
        <v>3</v>
      </c>
      <c r="M226" s="4">
        <v>2</v>
      </c>
      <c r="N226" s="4">
        <v>1</v>
      </c>
      <c r="O226" s="5">
        <f>SUM(Tabela323910[[#This Row],[jan/23]:[dez/23]])</f>
        <v>82</v>
      </c>
    </row>
    <row r="227" spans="1:15" x14ac:dyDescent="0.25">
      <c r="A227" s="4" t="s">
        <v>471</v>
      </c>
      <c r="B227" s="4" t="s">
        <v>286</v>
      </c>
      <c r="C227" s="4">
        <v>10</v>
      </c>
      <c r="D227" s="4">
        <v>6</v>
      </c>
      <c r="E227" s="4">
        <v>9</v>
      </c>
      <c r="F227" s="4">
        <v>5</v>
      </c>
      <c r="G227" s="4">
        <v>6</v>
      </c>
      <c r="H227" s="4">
        <v>9</v>
      </c>
      <c r="I227" s="4">
        <v>5</v>
      </c>
      <c r="J227" s="4">
        <v>7</v>
      </c>
      <c r="K227" s="4">
        <v>4</v>
      </c>
      <c r="L227" s="4">
        <v>8</v>
      </c>
      <c r="M227" s="4">
        <v>6</v>
      </c>
      <c r="N227" s="4">
        <v>6</v>
      </c>
      <c r="O227" s="5">
        <f>SUM(Tabela323910[[#This Row],[jan/23]:[dez/23]])</f>
        <v>81</v>
      </c>
    </row>
    <row r="228" spans="1:15" x14ac:dyDescent="0.25">
      <c r="A228" s="4" t="s">
        <v>469</v>
      </c>
      <c r="B228" s="4" t="s">
        <v>832</v>
      </c>
      <c r="C228" s="4"/>
      <c r="D228" s="4"/>
      <c r="E228" s="4">
        <v>79</v>
      </c>
      <c r="F228" s="4"/>
      <c r="G228" s="4"/>
      <c r="H228" s="4"/>
      <c r="I228" s="4"/>
      <c r="J228" s="4"/>
      <c r="K228" s="4"/>
      <c r="L228" s="4"/>
      <c r="M228" s="4"/>
      <c r="N228" s="4"/>
      <c r="O228" s="5">
        <f>SUM(Tabela323910[[#This Row],[jan/23]:[dez/23]])</f>
        <v>79</v>
      </c>
    </row>
    <row r="229" spans="1:15" x14ac:dyDescent="0.25">
      <c r="A229" s="4" t="s">
        <v>467</v>
      </c>
      <c r="B229" s="4" t="s">
        <v>170</v>
      </c>
      <c r="C229" s="4"/>
      <c r="D229" s="4"/>
      <c r="E229" s="4"/>
      <c r="F229" s="4"/>
      <c r="G229" s="4">
        <v>1</v>
      </c>
      <c r="H229" s="4"/>
      <c r="I229" s="4"/>
      <c r="J229" s="4"/>
      <c r="K229" s="4">
        <v>1</v>
      </c>
      <c r="L229" s="4"/>
      <c r="M229" s="4">
        <v>20</v>
      </c>
      <c r="N229" s="4">
        <v>53</v>
      </c>
      <c r="O229" s="5">
        <f>SUM(Tabela323910[[#This Row],[jan/23]:[dez/23]])</f>
        <v>75</v>
      </c>
    </row>
    <row r="230" spans="1:15" x14ac:dyDescent="0.25">
      <c r="A230" s="4" t="s">
        <v>465</v>
      </c>
      <c r="B230" s="4" t="s">
        <v>833</v>
      </c>
      <c r="C230" s="4"/>
      <c r="D230" s="4">
        <v>41</v>
      </c>
      <c r="E230" s="4">
        <v>20</v>
      </c>
      <c r="F230" s="4">
        <v>6</v>
      </c>
      <c r="G230" s="4">
        <v>2</v>
      </c>
      <c r="H230" s="4">
        <v>1</v>
      </c>
      <c r="I230" s="4"/>
      <c r="J230" s="4">
        <v>1</v>
      </c>
      <c r="K230" s="4">
        <v>1</v>
      </c>
      <c r="L230" s="4"/>
      <c r="M230" s="4">
        <v>2</v>
      </c>
      <c r="N230" s="4"/>
      <c r="O230" s="5">
        <f>SUM(Tabela323910[[#This Row],[jan/23]:[dez/23]])</f>
        <v>74</v>
      </c>
    </row>
    <row r="231" spans="1:15" x14ac:dyDescent="0.25">
      <c r="A231" s="4" t="s">
        <v>463</v>
      </c>
      <c r="B231" s="4" t="s">
        <v>627</v>
      </c>
      <c r="C231" s="4">
        <v>4</v>
      </c>
      <c r="D231" s="4">
        <v>6</v>
      </c>
      <c r="E231" s="4">
        <v>5</v>
      </c>
      <c r="F231" s="4">
        <v>7</v>
      </c>
      <c r="G231" s="4">
        <v>11</v>
      </c>
      <c r="H231" s="4">
        <v>6</v>
      </c>
      <c r="I231" s="4">
        <v>7</v>
      </c>
      <c r="J231" s="4">
        <v>4</v>
      </c>
      <c r="K231" s="4">
        <v>4</v>
      </c>
      <c r="L231" s="4">
        <v>9</v>
      </c>
      <c r="M231" s="4">
        <v>4</v>
      </c>
      <c r="N231" s="4">
        <v>7</v>
      </c>
      <c r="O231" s="5">
        <f>SUM(Tabela323910[[#This Row],[jan/23]:[dez/23]])</f>
        <v>74</v>
      </c>
    </row>
    <row r="232" spans="1:15" x14ac:dyDescent="0.25">
      <c r="A232" s="4" t="s">
        <v>461</v>
      </c>
      <c r="B232" s="4" t="s">
        <v>708</v>
      </c>
      <c r="C232" s="4">
        <v>3</v>
      </c>
      <c r="D232" s="4">
        <v>5</v>
      </c>
      <c r="E232" s="4">
        <v>5</v>
      </c>
      <c r="F232" s="4">
        <v>6</v>
      </c>
      <c r="G232" s="4">
        <v>8</v>
      </c>
      <c r="H232" s="4">
        <v>16</v>
      </c>
      <c r="I232" s="4">
        <v>1</v>
      </c>
      <c r="J232" s="4">
        <v>12</v>
      </c>
      <c r="K232" s="4">
        <v>7</v>
      </c>
      <c r="L232" s="4">
        <v>2</v>
      </c>
      <c r="M232" s="4">
        <v>4</v>
      </c>
      <c r="N232" s="4">
        <v>2</v>
      </c>
      <c r="O232" s="5">
        <f>SUM(Tabela323910[[#This Row],[jan/23]:[dez/23]])</f>
        <v>71</v>
      </c>
    </row>
    <row r="233" spans="1:15" x14ac:dyDescent="0.25">
      <c r="A233" s="4" t="s">
        <v>459</v>
      </c>
      <c r="B233" s="4" t="s">
        <v>704</v>
      </c>
      <c r="C233" s="4">
        <v>2</v>
      </c>
      <c r="D233" s="4">
        <v>5</v>
      </c>
      <c r="E233" s="4">
        <v>25</v>
      </c>
      <c r="F233" s="4">
        <v>5</v>
      </c>
      <c r="G233" s="4">
        <v>6</v>
      </c>
      <c r="H233" s="4">
        <v>1</v>
      </c>
      <c r="I233" s="4">
        <v>6</v>
      </c>
      <c r="J233" s="4">
        <v>6</v>
      </c>
      <c r="K233" s="4">
        <v>2</v>
      </c>
      <c r="L233" s="4">
        <v>2</v>
      </c>
      <c r="M233" s="4">
        <v>3</v>
      </c>
      <c r="N233" s="4">
        <v>6</v>
      </c>
      <c r="O233" s="5">
        <f>SUM(Tabela323910[[#This Row],[jan/23]:[dez/23]])</f>
        <v>69</v>
      </c>
    </row>
    <row r="234" spans="1:15" x14ac:dyDescent="0.25">
      <c r="A234" s="4" t="s">
        <v>457</v>
      </c>
      <c r="B234" s="4" t="s">
        <v>676</v>
      </c>
      <c r="C234" s="4">
        <v>10</v>
      </c>
      <c r="D234" s="4">
        <v>9</v>
      </c>
      <c r="E234" s="4">
        <v>4</v>
      </c>
      <c r="F234" s="4">
        <v>6</v>
      </c>
      <c r="G234" s="4">
        <v>4</v>
      </c>
      <c r="H234" s="4">
        <v>13</v>
      </c>
      <c r="I234" s="4">
        <v>4</v>
      </c>
      <c r="J234" s="4">
        <v>3</v>
      </c>
      <c r="K234" s="4">
        <v>4</v>
      </c>
      <c r="L234" s="4">
        <v>3</v>
      </c>
      <c r="M234" s="4">
        <v>3</v>
      </c>
      <c r="N234" s="4">
        <v>5</v>
      </c>
      <c r="O234" s="5">
        <f>SUM(Tabela323910[[#This Row],[jan/23]:[dez/23]])</f>
        <v>68</v>
      </c>
    </row>
    <row r="235" spans="1:15" x14ac:dyDescent="0.25">
      <c r="A235" s="4" t="s">
        <v>455</v>
      </c>
      <c r="B235" s="4" t="s">
        <v>525</v>
      </c>
      <c r="C235" s="4">
        <v>2</v>
      </c>
      <c r="D235" s="4">
        <v>2</v>
      </c>
      <c r="E235" s="4">
        <v>3</v>
      </c>
      <c r="F235" s="4"/>
      <c r="G235" s="4">
        <v>6</v>
      </c>
      <c r="H235" s="4">
        <v>7</v>
      </c>
      <c r="I235" s="4">
        <v>7</v>
      </c>
      <c r="J235" s="4">
        <v>5</v>
      </c>
      <c r="K235" s="4">
        <v>12</v>
      </c>
      <c r="L235" s="4">
        <v>11</v>
      </c>
      <c r="M235" s="4">
        <v>4</v>
      </c>
      <c r="N235" s="4">
        <v>8</v>
      </c>
      <c r="O235" s="5">
        <f>SUM(Tabela323910[[#This Row],[jan/23]:[dez/23]])</f>
        <v>67</v>
      </c>
    </row>
    <row r="236" spans="1:15" x14ac:dyDescent="0.25">
      <c r="A236" s="4" t="s">
        <v>453</v>
      </c>
      <c r="B236" s="4" t="s">
        <v>820</v>
      </c>
      <c r="C236" s="4">
        <v>13</v>
      </c>
      <c r="D236" s="4">
        <v>11</v>
      </c>
      <c r="E236" s="4">
        <v>18</v>
      </c>
      <c r="F236" s="4">
        <v>9</v>
      </c>
      <c r="G236" s="4">
        <v>4</v>
      </c>
      <c r="H236" s="4">
        <v>3</v>
      </c>
      <c r="I236" s="4">
        <v>3</v>
      </c>
      <c r="J236" s="4">
        <v>3</v>
      </c>
      <c r="K236" s="4">
        <v>1</v>
      </c>
      <c r="L236" s="4"/>
      <c r="M236" s="4">
        <v>1</v>
      </c>
      <c r="N236" s="4">
        <v>1</v>
      </c>
      <c r="O236" s="5">
        <f>SUM(Tabela323910[[#This Row],[jan/23]:[dez/23]])</f>
        <v>67</v>
      </c>
    </row>
    <row r="237" spans="1:15" x14ac:dyDescent="0.25">
      <c r="A237" s="4" t="s">
        <v>451</v>
      </c>
      <c r="B237" s="4" t="s">
        <v>808</v>
      </c>
      <c r="C237" s="4">
        <v>18</v>
      </c>
      <c r="D237" s="4">
        <v>20</v>
      </c>
      <c r="E237" s="4">
        <v>6</v>
      </c>
      <c r="F237" s="4">
        <v>6</v>
      </c>
      <c r="G237" s="4">
        <v>3</v>
      </c>
      <c r="H237" s="4">
        <v>1</v>
      </c>
      <c r="I237" s="4">
        <v>2</v>
      </c>
      <c r="J237" s="4">
        <v>1</v>
      </c>
      <c r="K237" s="4">
        <v>2</v>
      </c>
      <c r="L237" s="4">
        <v>5</v>
      </c>
      <c r="M237" s="4">
        <v>1</v>
      </c>
      <c r="N237" s="4">
        <v>1</v>
      </c>
      <c r="O237" s="5">
        <f>SUM(Tabela323910[[#This Row],[jan/23]:[dez/23]])</f>
        <v>66</v>
      </c>
    </row>
    <row r="238" spans="1:15" x14ac:dyDescent="0.25">
      <c r="A238" s="4" t="s">
        <v>449</v>
      </c>
      <c r="B238" s="4" t="s">
        <v>28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>
        <v>65</v>
      </c>
      <c r="O238" s="5">
        <f>SUM(Tabela323910[[#This Row],[jan/23]:[dez/23]])</f>
        <v>65</v>
      </c>
    </row>
    <row r="239" spans="1:15" x14ac:dyDescent="0.25">
      <c r="A239" s="4" t="s">
        <v>447</v>
      </c>
      <c r="B239" s="4" t="s">
        <v>204</v>
      </c>
      <c r="C239" s="4">
        <v>6</v>
      </c>
      <c r="D239" s="4">
        <v>4</v>
      </c>
      <c r="E239" s="4">
        <v>2</v>
      </c>
      <c r="F239" s="4">
        <v>3</v>
      </c>
      <c r="G239" s="4">
        <v>5</v>
      </c>
      <c r="H239" s="4">
        <v>5</v>
      </c>
      <c r="I239" s="4">
        <v>3</v>
      </c>
      <c r="J239" s="4">
        <v>6</v>
      </c>
      <c r="K239" s="4">
        <v>5</v>
      </c>
      <c r="L239" s="4">
        <v>5</v>
      </c>
      <c r="M239" s="4">
        <v>7</v>
      </c>
      <c r="N239" s="4">
        <v>12</v>
      </c>
      <c r="O239" s="5">
        <f>SUM(Tabela323910[[#This Row],[jan/23]:[dez/23]])</f>
        <v>63</v>
      </c>
    </row>
    <row r="240" spans="1:15" x14ac:dyDescent="0.25">
      <c r="A240" s="4" t="s">
        <v>515</v>
      </c>
      <c r="B240" s="4" t="s">
        <v>834</v>
      </c>
      <c r="C240" s="4">
        <v>30</v>
      </c>
      <c r="D240" s="4">
        <v>12</v>
      </c>
      <c r="E240" s="4">
        <v>10</v>
      </c>
      <c r="F240" s="4">
        <v>4</v>
      </c>
      <c r="G240" s="4">
        <v>3</v>
      </c>
      <c r="H240" s="4"/>
      <c r="I240" s="4">
        <v>3</v>
      </c>
      <c r="J240" s="4"/>
      <c r="K240" s="4"/>
      <c r="L240" s="4"/>
      <c r="M240" s="4"/>
      <c r="N240" s="4"/>
      <c r="O240" s="5">
        <f>SUM(Tabela323910[[#This Row],[jan/23]:[dez/23]])</f>
        <v>62</v>
      </c>
    </row>
    <row r="241" spans="1:15" x14ac:dyDescent="0.25">
      <c r="A241" s="4" t="s">
        <v>513</v>
      </c>
      <c r="B241" s="4" t="s">
        <v>823</v>
      </c>
      <c r="C241" s="4">
        <v>12</v>
      </c>
      <c r="D241" s="4">
        <v>5</v>
      </c>
      <c r="E241" s="4">
        <v>9</v>
      </c>
      <c r="F241" s="4">
        <v>7</v>
      </c>
      <c r="G241" s="4">
        <v>5</v>
      </c>
      <c r="H241" s="4">
        <v>9</v>
      </c>
      <c r="I241" s="4">
        <v>8</v>
      </c>
      <c r="J241" s="4">
        <v>2</v>
      </c>
      <c r="K241" s="4">
        <v>1</v>
      </c>
      <c r="L241" s="4">
        <v>3</v>
      </c>
      <c r="M241" s="4"/>
      <c r="N241" s="4"/>
      <c r="O241" s="5">
        <f>SUM(Tabela323910[[#This Row],[jan/23]:[dez/23]])</f>
        <v>61</v>
      </c>
    </row>
    <row r="242" spans="1:15" x14ac:dyDescent="0.25">
      <c r="A242" s="4" t="s">
        <v>511</v>
      </c>
      <c r="B242" s="4" t="s">
        <v>636</v>
      </c>
      <c r="C242" s="4">
        <v>10</v>
      </c>
      <c r="D242" s="4">
        <v>12</v>
      </c>
      <c r="E242" s="4">
        <v>8</v>
      </c>
      <c r="F242" s="4">
        <v>6</v>
      </c>
      <c r="G242" s="4">
        <v>4</v>
      </c>
      <c r="H242" s="4">
        <v>6</v>
      </c>
      <c r="I242" s="4">
        <v>2</v>
      </c>
      <c r="J242" s="4">
        <v>2</v>
      </c>
      <c r="K242" s="4">
        <v>3</v>
      </c>
      <c r="L242" s="4">
        <v>4</v>
      </c>
      <c r="M242" s="4">
        <v>2</v>
      </c>
      <c r="N242" s="4"/>
      <c r="O242" s="5">
        <f>SUM(Tabela323910[[#This Row],[jan/23]:[dez/23]])</f>
        <v>59</v>
      </c>
    </row>
    <row r="243" spans="1:15" x14ac:dyDescent="0.25">
      <c r="A243" s="4" t="s">
        <v>509</v>
      </c>
      <c r="B243" s="4" t="s">
        <v>835</v>
      </c>
      <c r="C243" s="4">
        <v>15</v>
      </c>
      <c r="D243" s="4">
        <v>4</v>
      </c>
      <c r="E243" s="4">
        <v>17</v>
      </c>
      <c r="F243" s="4"/>
      <c r="G243" s="4">
        <v>7</v>
      </c>
      <c r="H243" s="4"/>
      <c r="I243" s="4">
        <v>1</v>
      </c>
      <c r="J243" s="4">
        <v>8</v>
      </c>
      <c r="K243" s="4">
        <v>2</v>
      </c>
      <c r="L243" s="4">
        <v>3</v>
      </c>
      <c r="M243" s="4">
        <v>1</v>
      </c>
      <c r="N243" s="4"/>
      <c r="O243" s="5">
        <f>SUM(Tabela323910[[#This Row],[jan/23]:[dez/23]])</f>
        <v>58</v>
      </c>
    </row>
    <row r="244" spans="1:15" x14ac:dyDescent="0.25">
      <c r="A244" s="4" t="s">
        <v>507</v>
      </c>
      <c r="B244" s="4" t="s">
        <v>697</v>
      </c>
      <c r="C244" s="4">
        <v>4</v>
      </c>
      <c r="D244" s="4">
        <v>1</v>
      </c>
      <c r="E244" s="4"/>
      <c r="F244" s="4"/>
      <c r="G244" s="4"/>
      <c r="H244" s="4"/>
      <c r="I244" s="4"/>
      <c r="J244" s="4"/>
      <c r="K244" s="4"/>
      <c r="L244" s="4">
        <v>7</v>
      </c>
      <c r="M244" s="4">
        <v>2</v>
      </c>
      <c r="N244" s="4">
        <v>43</v>
      </c>
      <c r="O244" s="5">
        <f>SUM(Tabela323910[[#This Row],[jan/23]:[dez/23]])</f>
        <v>57</v>
      </c>
    </row>
    <row r="245" spans="1:15" x14ac:dyDescent="0.25">
      <c r="A245" s="4" t="s">
        <v>505</v>
      </c>
      <c r="B245" s="4" t="s">
        <v>718</v>
      </c>
      <c r="C245" s="4">
        <v>21</v>
      </c>
      <c r="D245" s="4">
        <v>4</v>
      </c>
      <c r="E245" s="4">
        <v>8</v>
      </c>
      <c r="F245" s="4">
        <v>5</v>
      </c>
      <c r="G245" s="4">
        <v>4</v>
      </c>
      <c r="H245" s="4">
        <v>7</v>
      </c>
      <c r="I245" s="4">
        <v>1</v>
      </c>
      <c r="J245" s="4">
        <v>1</v>
      </c>
      <c r="K245" s="4">
        <v>2</v>
      </c>
      <c r="L245" s="4">
        <v>3</v>
      </c>
      <c r="M245" s="4"/>
      <c r="N245" s="4">
        <v>1</v>
      </c>
      <c r="O245" s="5">
        <f>SUM(Tabela323910[[#This Row],[jan/23]:[dez/23]])</f>
        <v>57</v>
      </c>
    </row>
    <row r="246" spans="1:15" x14ac:dyDescent="0.25">
      <c r="A246" s="4" t="s">
        <v>503</v>
      </c>
      <c r="B246" s="4" t="s">
        <v>358</v>
      </c>
      <c r="C246" s="4">
        <v>8</v>
      </c>
      <c r="D246" s="4">
        <v>9</v>
      </c>
      <c r="E246" s="4">
        <v>7</v>
      </c>
      <c r="F246" s="4">
        <v>2</v>
      </c>
      <c r="G246" s="4">
        <v>5</v>
      </c>
      <c r="H246" s="4">
        <v>8</v>
      </c>
      <c r="I246" s="4">
        <v>3</v>
      </c>
      <c r="J246" s="4">
        <v>1</v>
      </c>
      <c r="K246" s="4">
        <v>5</v>
      </c>
      <c r="L246" s="4">
        <v>5</v>
      </c>
      <c r="M246" s="4"/>
      <c r="N246" s="4">
        <v>1</v>
      </c>
      <c r="O246" s="5">
        <f>SUM(Tabela323910[[#This Row],[jan/23]:[dez/23]])</f>
        <v>54</v>
      </c>
    </row>
    <row r="247" spans="1:15" x14ac:dyDescent="0.25">
      <c r="A247" s="4" t="s">
        <v>501</v>
      </c>
      <c r="B247" s="4" t="s">
        <v>605</v>
      </c>
      <c r="C247" s="4">
        <v>12</v>
      </c>
      <c r="D247" s="4">
        <v>7</v>
      </c>
      <c r="E247" s="4">
        <v>7</v>
      </c>
      <c r="F247" s="4">
        <v>4</v>
      </c>
      <c r="G247" s="4">
        <v>5</v>
      </c>
      <c r="H247" s="4">
        <v>3</v>
      </c>
      <c r="I247" s="4">
        <v>1</v>
      </c>
      <c r="J247" s="4">
        <v>3</v>
      </c>
      <c r="K247" s="4">
        <v>4</v>
      </c>
      <c r="L247" s="4">
        <v>1</v>
      </c>
      <c r="M247" s="4"/>
      <c r="N247" s="4">
        <v>3</v>
      </c>
      <c r="O247" s="5">
        <f>SUM(Tabela323910[[#This Row],[jan/23]:[dez/23]])</f>
        <v>50</v>
      </c>
    </row>
    <row r="248" spans="1:15" x14ac:dyDescent="0.25">
      <c r="A248" s="4" t="s">
        <v>499</v>
      </c>
      <c r="B248" s="4" t="s">
        <v>836</v>
      </c>
      <c r="C248" s="4">
        <v>20</v>
      </c>
      <c r="D248" s="4">
        <v>7</v>
      </c>
      <c r="E248" s="4">
        <v>7</v>
      </c>
      <c r="F248" s="4">
        <v>3</v>
      </c>
      <c r="G248" s="4">
        <v>1</v>
      </c>
      <c r="H248" s="4">
        <v>11</v>
      </c>
      <c r="I248" s="4">
        <v>1</v>
      </c>
      <c r="J248" s="4"/>
      <c r="K248" s="4"/>
      <c r="L248" s="4"/>
      <c r="M248" s="4"/>
      <c r="N248" s="4"/>
      <c r="O248" s="5">
        <f>SUM(Tabela323910[[#This Row],[jan/23]:[dez/23]])</f>
        <v>50</v>
      </c>
    </row>
    <row r="249" spans="1:15" x14ac:dyDescent="0.25">
      <c r="A249" s="4" t="s">
        <v>497</v>
      </c>
      <c r="B249" s="4" t="s">
        <v>340</v>
      </c>
      <c r="C249" s="4">
        <v>6</v>
      </c>
      <c r="D249" s="4">
        <v>2</v>
      </c>
      <c r="E249" s="4">
        <v>2</v>
      </c>
      <c r="F249" s="4">
        <v>11</v>
      </c>
      <c r="G249" s="4">
        <v>5</v>
      </c>
      <c r="H249" s="4">
        <v>2</v>
      </c>
      <c r="I249" s="4">
        <v>3</v>
      </c>
      <c r="J249" s="4">
        <v>8</v>
      </c>
      <c r="K249" s="4">
        <v>5</v>
      </c>
      <c r="L249" s="4">
        <v>5</v>
      </c>
      <c r="M249" s="4"/>
      <c r="N249" s="4"/>
      <c r="O249" s="5">
        <f>SUM(Tabela323910[[#This Row],[jan/23]:[dez/23]])</f>
        <v>49</v>
      </c>
    </row>
    <row r="250" spans="1:15" x14ac:dyDescent="0.25">
      <c r="A250" s="4" t="s">
        <v>495</v>
      </c>
      <c r="B250" s="4" t="s">
        <v>342</v>
      </c>
      <c r="C250" s="4">
        <v>7</v>
      </c>
      <c r="D250" s="4">
        <v>2</v>
      </c>
      <c r="E250" s="4">
        <v>3</v>
      </c>
      <c r="F250" s="4">
        <v>3</v>
      </c>
      <c r="G250" s="4">
        <v>4</v>
      </c>
      <c r="H250" s="4"/>
      <c r="I250" s="4">
        <v>4</v>
      </c>
      <c r="J250" s="4">
        <v>6</v>
      </c>
      <c r="K250" s="4">
        <v>5</v>
      </c>
      <c r="L250" s="4">
        <v>7</v>
      </c>
      <c r="M250" s="4">
        <v>4</v>
      </c>
      <c r="N250" s="4">
        <v>1</v>
      </c>
      <c r="O250" s="5">
        <f>SUM(Tabela323910[[#This Row],[jan/23]:[dez/23]])</f>
        <v>46</v>
      </c>
    </row>
    <row r="251" spans="1:15" x14ac:dyDescent="0.25">
      <c r="A251" s="4" t="s">
        <v>493</v>
      </c>
      <c r="B251" s="4" t="s">
        <v>304</v>
      </c>
      <c r="C251" s="4">
        <v>3</v>
      </c>
      <c r="D251" s="4">
        <v>1</v>
      </c>
      <c r="E251" s="4"/>
      <c r="F251" s="4">
        <v>1</v>
      </c>
      <c r="G251" s="4">
        <v>3</v>
      </c>
      <c r="H251" s="4">
        <v>5</v>
      </c>
      <c r="I251" s="4">
        <v>1</v>
      </c>
      <c r="J251" s="4">
        <v>3</v>
      </c>
      <c r="K251" s="4">
        <v>10</v>
      </c>
      <c r="L251" s="4">
        <v>3</v>
      </c>
      <c r="M251" s="4">
        <v>3</v>
      </c>
      <c r="N251" s="4">
        <v>7</v>
      </c>
      <c r="O251" s="5">
        <f>SUM(Tabela323910[[#This Row],[jan/23]:[dez/23]])</f>
        <v>40</v>
      </c>
    </row>
    <row r="252" spans="1:15" x14ac:dyDescent="0.25">
      <c r="A252" s="4" t="s">
        <v>491</v>
      </c>
      <c r="B252" s="4" t="s">
        <v>813</v>
      </c>
      <c r="C252" s="4">
        <v>5</v>
      </c>
      <c r="D252" s="4">
        <v>3</v>
      </c>
      <c r="E252" s="4">
        <v>2</v>
      </c>
      <c r="F252" s="4">
        <v>2</v>
      </c>
      <c r="G252" s="4">
        <v>5</v>
      </c>
      <c r="H252" s="4">
        <v>5</v>
      </c>
      <c r="I252" s="4">
        <v>9</v>
      </c>
      <c r="J252" s="4">
        <v>2</v>
      </c>
      <c r="K252" s="4">
        <v>1</v>
      </c>
      <c r="L252" s="4">
        <v>2</v>
      </c>
      <c r="M252" s="4">
        <v>1</v>
      </c>
      <c r="N252" s="4">
        <v>3</v>
      </c>
      <c r="O252" s="5">
        <f>SUM(Tabela323910[[#This Row],[jan/23]:[dez/23]])</f>
        <v>40</v>
      </c>
    </row>
    <row r="253" spans="1:15" x14ac:dyDescent="0.25">
      <c r="A253" s="4" t="s">
        <v>489</v>
      </c>
      <c r="B253" s="4" t="s">
        <v>134</v>
      </c>
      <c r="C253" s="4">
        <v>2</v>
      </c>
      <c r="D253" s="4">
        <v>8</v>
      </c>
      <c r="E253" s="4">
        <v>16</v>
      </c>
      <c r="F253" s="4">
        <v>4</v>
      </c>
      <c r="G253" s="4">
        <v>1</v>
      </c>
      <c r="H253" s="4">
        <v>1</v>
      </c>
      <c r="I253" s="4">
        <v>3</v>
      </c>
      <c r="J253" s="4">
        <v>3</v>
      </c>
      <c r="K253" s="4"/>
      <c r="L253" s="4"/>
      <c r="M253" s="4">
        <v>1</v>
      </c>
      <c r="N253" s="4"/>
      <c r="O253" s="5">
        <f>SUM(Tabela323910[[#This Row],[jan/23]:[dez/23]])</f>
        <v>39</v>
      </c>
    </row>
    <row r="254" spans="1:15" x14ac:dyDescent="0.25">
      <c r="A254" s="4" t="s">
        <v>487</v>
      </c>
      <c r="B254" s="4" t="s">
        <v>781</v>
      </c>
      <c r="C254" s="4">
        <v>3</v>
      </c>
      <c r="D254" s="4">
        <v>3</v>
      </c>
      <c r="E254" s="4">
        <v>2</v>
      </c>
      <c r="F254" s="4">
        <v>5</v>
      </c>
      <c r="G254" s="4">
        <v>4</v>
      </c>
      <c r="H254" s="4">
        <v>2</v>
      </c>
      <c r="I254" s="4">
        <v>2</v>
      </c>
      <c r="J254" s="4">
        <v>9</v>
      </c>
      <c r="K254" s="4">
        <v>4</v>
      </c>
      <c r="L254" s="4">
        <v>2</v>
      </c>
      <c r="M254" s="4">
        <v>2</v>
      </c>
      <c r="N254" s="4"/>
      <c r="O254" s="5">
        <f>SUM(Tabela323910[[#This Row],[jan/23]:[dez/23]])</f>
        <v>38</v>
      </c>
    </row>
    <row r="255" spans="1:15" x14ac:dyDescent="0.25">
      <c r="A255" s="4" t="s">
        <v>485</v>
      </c>
      <c r="B255" s="4" t="s">
        <v>548</v>
      </c>
      <c r="C255" s="4">
        <v>2</v>
      </c>
      <c r="D255" s="4">
        <v>4</v>
      </c>
      <c r="E255" s="4">
        <v>2</v>
      </c>
      <c r="F255" s="4">
        <v>8</v>
      </c>
      <c r="G255" s="4"/>
      <c r="H255" s="4">
        <v>3</v>
      </c>
      <c r="I255" s="4">
        <v>3</v>
      </c>
      <c r="J255" s="4">
        <v>2</v>
      </c>
      <c r="K255" s="4">
        <v>2</v>
      </c>
      <c r="L255" s="4">
        <v>4</v>
      </c>
      <c r="M255" s="4">
        <v>5</v>
      </c>
      <c r="N255" s="4">
        <v>2</v>
      </c>
      <c r="O255" s="5">
        <f>SUM(Tabela323910[[#This Row],[jan/23]:[dez/23]])</f>
        <v>37</v>
      </c>
    </row>
    <row r="256" spans="1:15" x14ac:dyDescent="0.25">
      <c r="A256" s="4" t="s">
        <v>483</v>
      </c>
      <c r="B256" s="4" t="s">
        <v>806</v>
      </c>
      <c r="C256" s="4"/>
      <c r="D256" s="4">
        <v>27</v>
      </c>
      <c r="E256" s="4"/>
      <c r="F256" s="4"/>
      <c r="G256" s="4">
        <v>3</v>
      </c>
      <c r="H256" s="4"/>
      <c r="I256" s="4">
        <v>3</v>
      </c>
      <c r="J256" s="4">
        <v>2</v>
      </c>
      <c r="K256" s="4"/>
      <c r="L256" s="4"/>
      <c r="M256" s="4">
        <v>2</v>
      </c>
      <c r="N256" s="4"/>
      <c r="O256" s="5">
        <f>SUM(Tabela323910[[#This Row],[jan/23]:[dez/23]])</f>
        <v>37</v>
      </c>
    </row>
    <row r="257" spans="1:15" x14ac:dyDescent="0.25">
      <c r="A257" s="4" t="s">
        <v>481</v>
      </c>
      <c r="B257" s="4" t="s">
        <v>394</v>
      </c>
      <c r="C257" s="4">
        <v>3</v>
      </c>
      <c r="D257" s="4">
        <v>3</v>
      </c>
      <c r="E257" s="4">
        <v>3</v>
      </c>
      <c r="F257" s="4">
        <v>1</v>
      </c>
      <c r="G257" s="4">
        <v>5</v>
      </c>
      <c r="H257" s="4">
        <v>4</v>
      </c>
      <c r="I257" s="4">
        <v>3</v>
      </c>
      <c r="J257" s="4">
        <v>3</v>
      </c>
      <c r="K257" s="4"/>
      <c r="L257" s="4">
        <v>1</v>
      </c>
      <c r="M257" s="4">
        <v>1</v>
      </c>
      <c r="N257" s="4">
        <v>9</v>
      </c>
      <c r="O257" s="5">
        <f>SUM(Tabela323910[[#This Row],[jan/23]:[dez/23]])</f>
        <v>36</v>
      </c>
    </row>
    <row r="258" spans="1:15" x14ac:dyDescent="0.25">
      <c r="A258" s="4" t="s">
        <v>479</v>
      </c>
      <c r="B258" s="4" t="s">
        <v>586</v>
      </c>
      <c r="C258" s="4">
        <v>1</v>
      </c>
      <c r="D258" s="4">
        <v>2</v>
      </c>
      <c r="E258" s="4">
        <v>3</v>
      </c>
      <c r="F258" s="4">
        <v>5</v>
      </c>
      <c r="G258" s="4">
        <v>2</v>
      </c>
      <c r="H258" s="4">
        <v>5</v>
      </c>
      <c r="I258" s="4">
        <v>4</v>
      </c>
      <c r="J258" s="4">
        <v>3</v>
      </c>
      <c r="K258" s="4">
        <v>2</v>
      </c>
      <c r="L258" s="4">
        <v>3</v>
      </c>
      <c r="M258" s="4">
        <v>2</v>
      </c>
      <c r="N258" s="4">
        <v>2</v>
      </c>
      <c r="O258" s="5">
        <f>SUM(Tabela323910[[#This Row],[jan/23]:[dez/23]])</f>
        <v>34</v>
      </c>
    </row>
    <row r="259" spans="1:15" x14ac:dyDescent="0.25">
      <c r="A259" s="4" t="s">
        <v>477</v>
      </c>
      <c r="B259" s="4" t="s">
        <v>705</v>
      </c>
      <c r="C259" s="4">
        <v>3</v>
      </c>
      <c r="D259" s="4"/>
      <c r="E259" s="4"/>
      <c r="F259" s="4">
        <v>2</v>
      </c>
      <c r="G259" s="4">
        <v>2</v>
      </c>
      <c r="H259" s="4">
        <v>1</v>
      </c>
      <c r="I259" s="4">
        <v>4</v>
      </c>
      <c r="J259" s="4">
        <v>5</v>
      </c>
      <c r="K259" s="4">
        <v>1</v>
      </c>
      <c r="L259" s="4">
        <v>3</v>
      </c>
      <c r="M259" s="4">
        <v>7</v>
      </c>
      <c r="N259" s="4">
        <v>4</v>
      </c>
      <c r="O259" s="5">
        <f>SUM(Tabela323910[[#This Row],[jan/23]:[dez/23]])</f>
        <v>32</v>
      </c>
    </row>
    <row r="260" spans="1:15" x14ac:dyDescent="0.25">
      <c r="A260" s="4" t="s">
        <v>475</v>
      </c>
      <c r="B260" s="4" t="s">
        <v>611</v>
      </c>
      <c r="C260" s="4">
        <v>7</v>
      </c>
      <c r="D260" s="4">
        <v>4</v>
      </c>
      <c r="E260" s="4">
        <v>1</v>
      </c>
      <c r="F260" s="4">
        <v>4</v>
      </c>
      <c r="G260" s="4">
        <v>1</v>
      </c>
      <c r="H260" s="4">
        <v>2</v>
      </c>
      <c r="I260" s="4">
        <v>3</v>
      </c>
      <c r="J260" s="4">
        <v>2</v>
      </c>
      <c r="K260" s="4"/>
      <c r="L260" s="4">
        <v>3</v>
      </c>
      <c r="M260" s="4"/>
      <c r="N260" s="4"/>
      <c r="O260" s="5">
        <f>SUM(Tabela323910[[#This Row],[jan/23]:[dez/23]])</f>
        <v>27</v>
      </c>
    </row>
    <row r="261" spans="1:15" x14ac:dyDescent="0.25">
      <c r="A261" s="4" t="s">
        <v>555</v>
      </c>
      <c r="B261" s="4" t="s">
        <v>669</v>
      </c>
      <c r="C261" s="4">
        <v>1</v>
      </c>
      <c r="D261" s="4">
        <v>3</v>
      </c>
      <c r="E261" s="4">
        <v>2</v>
      </c>
      <c r="F261" s="4">
        <v>6</v>
      </c>
      <c r="G261" s="4">
        <v>4</v>
      </c>
      <c r="H261" s="4">
        <v>1</v>
      </c>
      <c r="I261" s="4">
        <v>1</v>
      </c>
      <c r="J261" s="4">
        <v>2</v>
      </c>
      <c r="K261" s="4">
        <v>4</v>
      </c>
      <c r="L261" s="4">
        <v>2</v>
      </c>
      <c r="M261" s="4"/>
      <c r="N261" s="4"/>
      <c r="O261" s="5">
        <f>SUM(Tabela323910[[#This Row],[jan/23]:[dez/23]])</f>
        <v>26</v>
      </c>
    </row>
    <row r="262" spans="1:15" x14ac:dyDescent="0.25">
      <c r="A262" s="4" t="s">
        <v>556</v>
      </c>
      <c r="B262" s="4" t="s">
        <v>678</v>
      </c>
      <c r="C262" s="4">
        <v>5</v>
      </c>
      <c r="D262" s="4">
        <v>1</v>
      </c>
      <c r="E262" s="4">
        <v>4</v>
      </c>
      <c r="F262" s="4">
        <v>4</v>
      </c>
      <c r="G262" s="4">
        <v>1</v>
      </c>
      <c r="H262" s="4">
        <v>3</v>
      </c>
      <c r="I262" s="4">
        <v>4</v>
      </c>
      <c r="J262" s="4"/>
      <c r="K262" s="4"/>
      <c r="L262" s="4">
        <v>1</v>
      </c>
      <c r="M262" s="4"/>
      <c r="N262" s="4">
        <v>1</v>
      </c>
      <c r="O262" s="5">
        <f>SUM(Tabela323910[[#This Row],[jan/23]:[dez/23]])</f>
        <v>24</v>
      </c>
    </row>
    <row r="263" spans="1:15" x14ac:dyDescent="0.25">
      <c r="A263" s="4" t="s">
        <v>557</v>
      </c>
      <c r="B263" s="4" t="s">
        <v>728</v>
      </c>
      <c r="C263" s="4">
        <v>2</v>
      </c>
      <c r="D263" s="4"/>
      <c r="E263" s="4">
        <v>3</v>
      </c>
      <c r="F263" s="4">
        <v>3</v>
      </c>
      <c r="G263" s="4">
        <v>1</v>
      </c>
      <c r="H263" s="4">
        <v>2</v>
      </c>
      <c r="I263" s="4">
        <v>5</v>
      </c>
      <c r="J263" s="4">
        <v>3</v>
      </c>
      <c r="K263" s="4">
        <v>1</v>
      </c>
      <c r="L263" s="4">
        <v>2</v>
      </c>
      <c r="M263" s="4">
        <v>1</v>
      </c>
      <c r="N263" s="4"/>
      <c r="O263" s="5">
        <f>SUM(Tabela323910[[#This Row],[jan/23]:[dez/23]])</f>
        <v>23</v>
      </c>
    </row>
    <row r="264" spans="1:15" x14ac:dyDescent="0.25">
      <c r="A264" s="4" t="s">
        <v>558</v>
      </c>
      <c r="B264" s="4" t="s">
        <v>406</v>
      </c>
      <c r="C264" s="4">
        <v>3</v>
      </c>
      <c r="D264" s="4"/>
      <c r="E264" s="4">
        <v>3</v>
      </c>
      <c r="F264" s="4">
        <v>1</v>
      </c>
      <c r="G264" s="4">
        <v>1</v>
      </c>
      <c r="H264" s="4">
        <v>3</v>
      </c>
      <c r="I264" s="4">
        <v>2</v>
      </c>
      <c r="J264" s="4">
        <v>4</v>
      </c>
      <c r="K264" s="4"/>
      <c r="L264" s="4">
        <v>1</v>
      </c>
      <c r="M264" s="4">
        <v>2</v>
      </c>
      <c r="N264" s="4">
        <v>2</v>
      </c>
      <c r="O264" s="5">
        <f>SUM(Tabela323910[[#This Row],[jan/23]:[dez/23]])</f>
        <v>22</v>
      </c>
    </row>
    <row r="265" spans="1:15" x14ac:dyDescent="0.25">
      <c r="A265" s="4" t="s">
        <v>559</v>
      </c>
      <c r="B265" s="4" t="s">
        <v>547</v>
      </c>
      <c r="C265" s="4">
        <v>4</v>
      </c>
      <c r="D265" s="4"/>
      <c r="E265" s="4">
        <v>2</v>
      </c>
      <c r="F265" s="4"/>
      <c r="G265" s="4">
        <v>2</v>
      </c>
      <c r="H265" s="4"/>
      <c r="I265" s="4">
        <v>2</v>
      </c>
      <c r="J265" s="4">
        <v>3</v>
      </c>
      <c r="K265" s="4">
        <v>4</v>
      </c>
      <c r="L265" s="4">
        <v>1</v>
      </c>
      <c r="M265" s="4">
        <v>1</v>
      </c>
      <c r="N265" s="4">
        <v>2</v>
      </c>
      <c r="O265" s="5">
        <f>SUM(Tabela323910[[#This Row],[jan/23]:[dez/23]])</f>
        <v>21</v>
      </c>
    </row>
    <row r="266" spans="1:15" x14ac:dyDescent="0.25">
      <c r="A266" s="4" t="s">
        <v>561</v>
      </c>
      <c r="B266" s="4" t="s">
        <v>837</v>
      </c>
      <c r="C266" s="4">
        <v>12</v>
      </c>
      <c r="D266" s="4">
        <v>5</v>
      </c>
      <c r="E266" s="4">
        <v>1</v>
      </c>
      <c r="F266" s="4"/>
      <c r="G266" s="4">
        <v>1</v>
      </c>
      <c r="H266" s="4"/>
      <c r="I266" s="4">
        <v>1</v>
      </c>
      <c r="J266" s="4">
        <v>1</v>
      </c>
      <c r="K266" s="4"/>
      <c r="L266" s="4"/>
      <c r="M266" s="4"/>
      <c r="N266" s="4"/>
      <c r="O266" s="5">
        <f>SUM(Tabela323910[[#This Row],[jan/23]:[dez/23]])</f>
        <v>21</v>
      </c>
    </row>
    <row r="267" spans="1:15" x14ac:dyDescent="0.25">
      <c r="A267" s="4" t="s">
        <v>563</v>
      </c>
      <c r="B267" s="4" t="s">
        <v>262</v>
      </c>
      <c r="C267" s="4">
        <v>4</v>
      </c>
      <c r="D267" s="4">
        <v>1</v>
      </c>
      <c r="E267" s="4">
        <v>2</v>
      </c>
      <c r="F267" s="4">
        <v>4</v>
      </c>
      <c r="G267" s="4"/>
      <c r="H267" s="4">
        <v>2</v>
      </c>
      <c r="I267" s="4"/>
      <c r="J267" s="4"/>
      <c r="K267" s="4"/>
      <c r="L267" s="4">
        <v>4</v>
      </c>
      <c r="M267" s="4">
        <v>1</v>
      </c>
      <c r="N267" s="4">
        <v>2</v>
      </c>
      <c r="O267" s="5">
        <f>SUM(Tabela323910[[#This Row],[jan/23]:[dez/23]])</f>
        <v>20</v>
      </c>
    </row>
    <row r="268" spans="1:15" x14ac:dyDescent="0.25">
      <c r="A268" s="4" t="s">
        <v>564</v>
      </c>
      <c r="B268" s="4" t="s">
        <v>474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>
        <v>15</v>
      </c>
      <c r="N268" s="4"/>
      <c r="O268" s="5">
        <f>SUM(Tabela323910[[#This Row],[jan/23]:[dez/23]])</f>
        <v>15</v>
      </c>
    </row>
    <row r="269" spans="1:15" x14ac:dyDescent="0.25">
      <c r="A269" s="4" t="s">
        <v>566</v>
      </c>
      <c r="B269" s="4" t="s">
        <v>805</v>
      </c>
      <c r="C269" s="4"/>
      <c r="D269" s="4"/>
      <c r="E269" s="4"/>
      <c r="F269" s="4">
        <v>11</v>
      </c>
      <c r="G269" s="4"/>
      <c r="H269" s="4"/>
      <c r="I269" s="4"/>
      <c r="J269" s="4"/>
      <c r="K269" s="4"/>
      <c r="L269" s="4"/>
      <c r="M269" s="4">
        <v>2</v>
      </c>
      <c r="N269" s="4"/>
      <c r="O269" s="5">
        <f>SUM(Tabela323910[[#This Row],[jan/23]:[dez/23]])</f>
        <v>13</v>
      </c>
    </row>
    <row r="270" spans="1:15" x14ac:dyDescent="0.25">
      <c r="A270" s="4" t="s">
        <v>567</v>
      </c>
      <c r="B270" s="4" t="s">
        <v>674</v>
      </c>
      <c r="C270" s="4">
        <v>1</v>
      </c>
      <c r="D270" s="4"/>
      <c r="E270" s="4">
        <v>1</v>
      </c>
      <c r="F270" s="4">
        <v>1</v>
      </c>
      <c r="G270" s="4">
        <v>1</v>
      </c>
      <c r="H270" s="4">
        <v>3</v>
      </c>
      <c r="I270" s="4">
        <v>2</v>
      </c>
      <c r="J270" s="4">
        <v>1</v>
      </c>
      <c r="K270" s="4">
        <v>1</v>
      </c>
      <c r="L270" s="4">
        <v>1</v>
      </c>
      <c r="M270" s="4">
        <v>1</v>
      </c>
      <c r="N270" s="4"/>
      <c r="O270" s="5">
        <f>SUM(Tabela323910[[#This Row],[jan/23]:[dez/23]])</f>
        <v>13</v>
      </c>
    </row>
    <row r="271" spans="1:15" x14ac:dyDescent="0.25">
      <c r="A271" s="4" t="s">
        <v>569</v>
      </c>
      <c r="B271" s="4" t="s">
        <v>838</v>
      </c>
      <c r="C271" s="4">
        <v>6</v>
      </c>
      <c r="D271" s="4">
        <v>1</v>
      </c>
      <c r="E271" s="4">
        <v>1</v>
      </c>
      <c r="F271" s="4">
        <v>1</v>
      </c>
      <c r="G271" s="4">
        <v>3</v>
      </c>
      <c r="H271" s="4">
        <v>1</v>
      </c>
      <c r="I271" s="4"/>
      <c r="J271" s="4"/>
      <c r="K271" s="4"/>
      <c r="L271" s="4"/>
      <c r="M271" s="4"/>
      <c r="N271" s="4"/>
      <c r="O271" s="5">
        <f>SUM(Tabela323910[[#This Row],[jan/23]:[dez/23]])</f>
        <v>13</v>
      </c>
    </row>
    <row r="272" spans="1:15" x14ac:dyDescent="0.25">
      <c r="A272" s="4" t="s">
        <v>571</v>
      </c>
      <c r="B272" s="4" t="s">
        <v>822</v>
      </c>
      <c r="C272" s="4">
        <v>1</v>
      </c>
      <c r="D272" s="4">
        <v>2</v>
      </c>
      <c r="E272" s="4">
        <v>2</v>
      </c>
      <c r="F272" s="4"/>
      <c r="G272" s="4">
        <v>1</v>
      </c>
      <c r="H272" s="4">
        <v>2</v>
      </c>
      <c r="I272" s="4">
        <v>2</v>
      </c>
      <c r="J272" s="4"/>
      <c r="K272" s="4">
        <v>1</v>
      </c>
      <c r="L272" s="4"/>
      <c r="M272" s="4">
        <v>1</v>
      </c>
      <c r="N272" s="4"/>
      <c r="O272" s="5">
        <f>SUM(Tabela323910[[#This Row],[jan/23]:[dez/23]])</f>
        <v>12</v>
      </c>
    </row>
    <row r="273" spans="1:15" x14ac:dyDescent="0.25">
      <c r="A273" s="4" t="s">
        <v>572</v>
      </c>
      <c r="B273" s="4" t="s">
        <v>592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>
        <v>3</v>
      </c>
      <c r="N273" s="4">
        <v>8</v>
      </c>
      <c r="O273" s="5">
        <f>SUM(Tabela323910[[#This Row],[jan/23]:[dez/23]])</f>
        <v>11</v>
      </c>
    </row>
    <row r="274" spans="1:15" x14ac:dyDescent="0.25">
      <c r="A274" s="4" t="s">
        <v>617</v>
      </c>
      <c r="B274" s="4" t="s">
        <v>839</v>
      </c>
      <c r="C274" s="4"/>
      <c r="D274" s="4"/>
      <c r="E274" s="4"/>
      <c r="F274" s="4"/>
      <c r="G274" s="4">
        <v>1</v>
      </c>
      <c r="H274" s="4">
        <v>3</v>
      </c>
      <c r="I274" s="4">
        <v>1</v>
      </c>
      <c r="J274" s="4">
        <v>5</v>
      </c>
      <c r="K274" s="4"/>
      <c r="L274" s="4">
        <v>1</v>
      </c>
      <c r="M274" s="4"/>
      <c r="N274" s="4"/>
      <c r="O274" s="5">
        <f>SUM(Tabela323910[[#This Row],[jan/23]:[dez/23]])</f>
        <v>11</v>
      </c>
    </row>
    <row r="275" spans="1:15" x14ac:dyDescent="0.25">
      <c r="A275" s="4" t="s">
        <v>618</v>
      </c>
      <c r="B275" s="4" t="s">
        <v>671</v>
      </c>
      <c r="C275" s="4">
        <v>1</v>
      </c>
      <c r="D275" s="4">
        <v>3</v>
      </c>
      <c r="E275" s="4">
        <v>2</v>
      </c>
      <c r="F275" s="4">
        <v>2</v>
      </c>
      <c r="G275" s="4">
        <v>1</v>
      </c>
      <c r="H275" s="4"/>
      <c r="I275" s="4"/>
      <c r="J275" s="4"/>
      <c r="K275" s="4"/>
      <c r="L275" s="4">
        <v>1</v>
      </c>
      <c r="M275" s="4"/>
      <c r="N275" s="4"/>
      <c r="O275" s="5">
        <f>SUM(Tabela323910[[#This Row],[jan/23]:[dez/23]])</f>
        <v>10</v>
      </c>
    </row>
    <row r="276" spans="1:15" x14ac:dyDescent="0.25">
      <c r="A276" s="4" t="s">
        <v>619</v>
      </c>
      <c r="B276" s="4" t="s">
        <v>526</v>
      </c>
      <c r="C276" s="4">
        <v>9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>
        <f>SUM(Tabela323910[[#This Row],[jan/23]:[dez/23]])</f>
        <v>9</v>
      </c>
    </row>
    <row r="277" spans="1:15" x14ac:dyDescent="0.25">
      <c r="A277" s="4" t="s">
        <v>620</v>
      </c>
      <c r="B277" s="4" t="s">
        <v>614</v>
      </c>
      <c r="C277" s="4">
        <v>1</v>
      </c>
      <c r="D277" s="4">
        <v>2</v>
      </c>
      <c r="E277" s="4">
        <v>1</v>
      </c>
      <c r="F277" s="4"/>
      <c r="G277" s="4">
        <v>1</v>
      </c>
      <c r="H277" s="4">
        <v>1</v>
      </c>
      <c r="I277" s="4">
        <v>1</v>
      </c>
      <c r="J277" s="4"/>
      <c r="K277" s="4">
        <v>1</v>
      </c>
      <c r="L277" s="4">
        <v>1</v>
      </c>
      <c r="M277" s="4"/>
      <c r="N277" s="4"/>
      <c r="O277" s="5">
        <f>SUM(Tabela323910[[#This Row],[jan/23]:[dez/23]])</f>
        <v>9</v>
      </c>
    </row>
    <row r="278" spans="1:15" x14ac:dyDescent="0.25">
      <c r="A278" s="4" t="s">
        <v>621</v>
      </c>
      <c r="B278" s="4" t="s">
        <v>752</v>
      </c>
      <c r="C278" s="4"/>
      <c r="D278" s="4"/>
      <c r="E278" s="4">
        <v>1</v>
      </c>
      <c r="F278" s="4"/>
      <c r="G278" s="4"/>
      <c r="H278" s="4"/>
      <c r="I278" s="4"/>
      <c r="J278" s="4"/>
      <c r="K278" s="4"/>
      <c r="L278" s="4"/>
      <c r="M278" s="4">
        <v>7</v>
      </c>
      <c r="N278" s="4">
        <v>1</v>
      </c>
      <c r="O278" s="5">
        <f>SUM(Tabela323910[[#This Row],[jan/23]:[dez/23]])</f>
        <v>9</v>
      </c>
    </row>
    <row r="279" spans="1:15" x14ac:dyDescent="0.25">
      <c r="A279" s="4" t="s">
        <v>623</v>
      </c>
      <c r="B279" s="4" t="s">
        <v>765</v>
      </c>
      <c r="C279" s="4"/>
      <c r="D279" s="4">
        <v>1</v>
      </c>
      <c r="E279" s="4"/>
      <c r="F279" s="4"/>
      <c r="G279" s="4"/>
      <c r="H279" s="4">
        <v>1</v>
      </c>
      <c r="I279" s="4">
        <v>1</v>
      </c>
      <c r="J279" s="4">
        <v>2</v>
      </c>
      <c r="K279" s="4">
        <v>1</v>
      </c>
      <c r="L279" s="4"/>
      <c r="M279" s="4"/>
      <c r="N279" s="4">
        <v>2</v>
      </c>
      <c r="O279" s="5">
        <f>SUM(Tabela323910[[#This Row],[jan/23]:[dez/23]])</f>
        <v>8</v>
      </c>
    </row>
    <row r="280" spans="1:15" x14ac:dyDescent="0.25">
      <c r="A280" s="4" t="s">
        <v>624</v>
      </c>
      <c r="B280" s="4" t="s">
        <v>840</v>
      </c>
      <c r="C280" s="4"/>
      <c r="D280" s="4"/>
      <c r="E280" s="4"/>
      <c r="F280" s="4">
        <v>2</v>
      </c>
      <c r="G280" s="4"/>
      <c r="H280" s="4"/>
      <c r="I280" s="4">
        <v>1</v>
      </c>
      <c r="J280" s="4">
        <v>1</v>
      </c>
      <c r="K280" s="4">
        <v>2</v>
      </c>
      <c r="L280" s="4">
        <v>2</v>
      </c>
      <c r="M280" s="4"/>
      <c r="N280" s="4"/>
      <c r="O280" s="5">
        <f>SUM(Tabela323910[[#This Row],[jan/23]:[dez/23]])</f>
        <v>8</v>
      </c>
    </row>
    <row r="281" spans="1:15" x14ac:dyDescent="0.25">
      <c r="A281" s="4" t="s">
        <v>626</v>
      </c>
      <c r="B281" s="4" t="s">
        <v>770</v>
      </c>
      <c r="C281" s="4">
        <v>1</v>
      </c>
      <c r="D281" s="4"/>
      <c r="E281" s="4"/>
      <c r="F281" s="4"/>
      <c r="G281" s="4">
        <v>2</v>
      </c>
      <c r="H281" s="4"/>
      <c r="I281" s="4"/>
      <c r="J281" s="4">
        <v>1</v>
      </c>
      <c r="K281" s="4">
        <v>1</v>
      </c>
      <c r="L281" s="4">
        <v>2</v>
      </c>
      <c r="M281" s="4">
        <v>1</v>
      </c>
      <c r="N281" s="4"/>
      <c r="O281" s="5">
        <f>SUM(Tabela323910[[#This Row],[jan/23]:[dez/23]])</f>
        <v>8</v>
      </c>
    </row>
    <row r="282" spans="1:15" x14ac:dyDescent="0.25">
      <c r="A282" s="4" t="s">
        <v>628</v>
      </c>
      <c r="B282" s="4" t="s">
        <v>714</v>
      </c>
      <c r="C282" s="4">
        <v>3</v>
      </c>
      <c r="D282" s="4"/>
      <c r="E282" s="4">
        <v>1</v>
      </c>
      <c r="F282" s="4"/>
      <c r="G282" s="4"/>
      <c r="H282" s="4"/>
      <c r="I282" s="4">
        <v>1</v>
      </c>
      <c r="J282" s="4">
        <v>1</v>
      </c>
      <c r="K282" s="4">
        <v>1</v>
      </c>
      <c r="L282" s="4"/>
      <c r="M282" s="4"/>
      <c r="N282" s="4"/>
      <c r="O282" s="5">
        <f>SUM(Tabela323910[[#This Row],[jan/23]:[dez/23]])</f>
        <v>7</v>
      </c>
    </row>
    <row r="283" spans="1:15" x14ac:dyDescent="0.25">
      <c r="A283" s="4" t="s">
        <v>630</v>
      </c>
      <c r="B283" s="4" t="s">
        <v>804</v>
      </c>
      <c r="C283" s="4"/>
      <c r="D283" s="4">
        <v>1</v>
      </c>
      <c r="E283" s="4"/>
      <c r="F283" s="4">
        <v>2</v>
      </c>
      <c r="G283" s="4"/>
      <c r="H283" s="4"/>
      <c r="I283" s="4">
        <v>3</v>
      </c>
      <c r="J283" s="4"/>
      <c r="K283" s="4">
        <v>1</v>
      </c>
      <c r="L283" s="4"/>
      <c r="M283" s="4"/>
      <c r="N283" s="4"/>
      <c r="O283" s="5">
        <f>SUM(Tabela323910[[#This Row],[jan/23]:[dez/23]])</f>
        <v>7</v>
      </c>
    </row>
    <row r="284" spans="1:15" x14ac:dyDescent="0.25">
      <c r="A284" s="4" t="s">
        <v>631</v>
      </c>
      <c r="B284" s="4" t="s">
        <v>634</v>
      </c>
      <c r="C284" s="4">
        <v>7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>
        <f>SUM(Tabela323910[[#This Row],[jan/23]:[dez/23]])</f>
        <v>7</v>
      </c>
    </row>
    <row r="285" spans="1:15" x14ac:dyDescent="0.25">
      <c r="A285" s="4" t="s">
        <v>633</v>
      </c>
      <c r="B285" s="4" t="s">
        <v>841</v>
      </c>
      <c r="C285" s="4">
        <v>1</v>
      </c>
      <c r="D285" s="4"/>
      <c r="E285" s="4"/>
      <c r="F285" s="4"/>
      <c r="G285" s="4">
        <v>1</v>
      </c>
      <c r="H285" s="4">
        <v>3</v>
      </c>
      <c r="I285" s="4">
        <v>1</v>
      </c>
      <c r="J285" s="4"/>
      <c r="K285" s="4"/>
      <c r="L285" s="4"/>
      <c r="M285" s="4"/>
      <c r="N285" s="4"/>
      <c r="O285" s="5">
        <f>SUM(Tabela323910[[#This Row],[jan/23]:[dez/23]])</f>
        <v>6</v>
      </c>
    </row>
    <row r="286" spans="1:15" x14ac:dyDescent="0.25">
      <c r="A286" s="4" t="s">
        <v>635</v>
      </c>
      <c r="B286" s="4" t="s">
        <v>763</v>
      </c>
      <c r="C286" s="4"/>
      <c r="D286" s="4"/>
      <c r="E286" s="4"/>
      <c r="F286" s="4"/>
      <c r="G286" s="4"/>
      <c r="H286" s="4"/>
      <c r="I286" s="4"/>
      <c r="J286" s="4"/>
      <c r="K286" s="4"/>
      <c r="L286" s="4">
        <v>5</v>
      </c>
      <c r="M286" s="4">
        <v>1</v>
      </c>
      <c r="N286" s="4"/>
      <c r="O286" s="5">
        <f>SUM(Tabela323910[[#This Row],[jan/23]:[dez/23]])</f>
        <v>6</v>
      </c>
    </row>
    <row r="287" spans="1:15" x14ac:dyDescent="0.25">
      <c r="A287" s="4" t="s">
        <v>637</v>
      </c>
      <c r="B287" s="4" t="s">
        <v>842</v>
      </c>
      <c r="C287" s="4">
        <v>1</v>
      </c>
      <c r="D287" s="4">
        <v>1</v>
      </c>
      <c r="E287" s="4">
        <v>1</v>
      </c>
      <c r="F287" s="4"/>
      <c r="G287" s="4">
        <v>1</v>
      </c>
      <c r="H287" s="4"/>
      <c r="I287" s="4"/>
      <c r="J287" s="4"/>
      <c r="K287" s="4"/>
      <c r="L287" s="4"/>
      <c r="M287" s="4"/>
      <c r="N287" s="4"/>
      <c r="O287" s="5">
        <f>SUM(Tabela323910[[#This Row],[jan/23]:[dez/23]])</f>
        <v>4</v>
      </c>
    </row>
    <row r="288" spans="1:15" x14ac:dyDescent="0.25">
      <c r="A288" s="4" t="s">
        <v>638</v>
      </c>
      <c r="B288" s="4" t="s">
        <v>843</v>
      </c>
      <c r="C288" s="4"/>
      <c r="D288" s="4">
        <v>1</v>
      </c>
      <c r="E288" s="4">
        <v>2</v>
      </c>
      <c r="F288" s="4"/>
      <c r="G288" s="4"/>
      <c r="H288" s="4"/>
      <c r="I288" s="4"/>
      <c r="J288" s="4"/>
      <c r="K288" s="4"/>
      <c r="L288" s="4"/>
      <c r="M288" s="4">
        <v>1</v>
      </c>
      <c r="N288" s="4"/>
      <c r="O288" s="5">
        <f>SUM(Tabela323910[[#This Row],[jan/23]:[dez/23]])</f>
        <v>4</v>
      </c>
    </row>
    <row r="289" spans="1:15" x14ac:dyDescent="0.25">
      <c r="A289" s="4" t="s">
        <v>639</v>
      </c>
      <c r="B289" s="4" t="s">
        <v>783</v>
      </c>
      <c r="C289" s="4"/>
      <c r="D289" s="4">
        <v>1</v>
      </c>
      <c r="E289" s="4"/>
      <c r="F289" s="4">
        <v>1</v>
      </c>
      <c r="G289" s="4">
        <v>1</v>
      </c>
      <c r="H289" s="4"/>
      <c r="I289" s="4"/>
      <c r="J289" s="4">
        <v>1</v>
      </c>
      <c r="K289" s="4"/>
      <c r="L289" s="4"/>
      <c r="M289" s="4"/>
      <c r="N289" s="4"/>
      <c r="O289" s="5">
        <f>SUM(Tabela323910[[#This Row],[jan/23]:[dez/23]])</f>
        <v>4</v>
      </c>
    </row>
    <row r="290" spans="1:15" x14ac:dyDescent="0.25">
      <c r="A290" s="4" t="s">
        <v>641</v>
      </c>
      <c r="B290" s="4" t="s">
        <v>706</v>
      </c>
      <c r="C290" s="4">
        <v>1</v>
      </c>
      <c r="D290" s="4">
        <v>1</v>
      </c>
      <c r="E290" s="4"/>
      <c r="F290" s="4">
        <v>1</v>
      </c>
      <c r="G290" s="4"/>
      <c r="H290" s="4"/>
      <c r="I290" s="4">
        <v>1</v>
      </c>
      <c r="J290" s="4"/>
      <c r="K290" s="4"/>
      <c r="L290" s="4"/>
      <c r="M290" s="4"/>
      <c r="N290" s="4"/>
      <c r="O290" s="5">
        <f>SUM(Tabela323910[[#This Row],[jan/23]:[dez/23]])</f>
        <v>4</v>
      </c>
    </row>
    <row r="291" spans="1:15" x14ac:dyDescent="0.25">
      <c r="A291" s="4" t="s">
        <v>642</v>
      </c>
      <c r="B291" s="4" t="s">
        <v>844</v>
      </c>
      <c r="C291" s="4">
        <v>2</v>
      </c>
      <c r="D291" s="4"/>
      <c r="E291" s="4"/>
      <c r="F291" s="4">
        <v>1</v>
      </c>
      <c r="G291" s="4"/>
      <c r="H291" s="4"/>
      <c r="I291" s="4"/>
      <c r="J291" s="4"/>
      <c r="K291" s="4"/>
      <c r="L291" s="4"/>
      <c r="M291" s="4"/>
      <c r="N291" s="4"/>
      <c r="O291" s="5">
        <f>SUM(Tabela323910[[#This Row],[jan/23]:[dez/23]])</f>
        <v>3</v>
      </c>
    </row>
    <row r="292" spans="1:15" x14ac:dyDescent="0.25">
      <c r="A292" s="4" t="s">
        <v>644</v>
      </c>
      <c r="B292" s="4" t="s">
        <v>845</v>
      </c>
      <c r="C292" s="4"/>
      <c r="D292" s="4">
        <v>1</v>
      </c>
      <c r="E292" s="4"/>
      <c r="F292" s="4">
        <v>1</v>
      </c>
      <c r="G292" s="4">
        <v>1</v>
      </c>
      <c r="H292" s="4"/>
      <c r="I292" s="4"/>
      <c r="J292" s="4"/>
      <c r="K292" s="4"/>
      <c r="L292" s="4"/>
      <c r="M292" s="4"/>
      <c r="N292" s="4"/>
      <c r="O292" s="5">
        <f>SUM(Tabela323910[[#This Row],[jan/23]:[dez/23]])</f>
        <v>3</v>
      </c>
    </row>
    <row r="293" spans="1:15" x14ac:dyDescent="0.25">
      <c r="A293" s="4" t="s">
        <v>646</v>
      </c>
      <c r="B293" s="4" t="s">
        <v>846</v>
      </c>
      <c r="C293" s="4"/>
      <c r="D293" s="4"/>
      <c r="E293" s="4">
        <v>1</v>
      </c>
      <c r="F293" s="4">
        <v>1</v>
      </c>
      <c r="G293" s="4"/>
      <c r="H293" s="4"/>
      <c r="I293" s="4"/>
      <c r="J293" s="4">
        <v>1</v>
      </c>
      <c r="K293" s="4"/>
      <c r="L293" s="4"/>
      <c r="M293" s="4"/>
      <c r="N293" s="4"/>
      <c r="O293" s="5">
        <f>SUM(Tabela323910[[#This Row],[jan/23]:[dez/23]])</f>
        <v>3</v>
      </c>
    </row>
    <row r="294" spans="1:15" x14ac:dyDescent="0.25">
      <c r="A294" s="4" t="s">
        <v>648</v>
      </c>
      <c r="B294" s="4" t="s">
        <v>182</v>
      </c>
      <c r="C294" s="4"/>
      <c r="D294" s="4"/>
      <c r="E294" s="4"/>
      <c r="F294" s="4"/>
      <c r="G294" s="4"/>
      <c r="H294" s="4"/>
      <c r="I294" s="4"/>
      <c r="J294" s="4"/>
      <c r="K294" s="4">
        <v>2</v>
      </c>
      <c r="L294" s="4">
        <v>1</v>
      </c>
      <c r="M294" s="4"/>
      <c r="N294" s="4"/>
      <c r="O294" s="5">
        <f>SUM(Tabela323910[[#This Row],[jan/23]:[dez/23]])</f>
        <v>3</v>
      </c>
    </row>
    <row r="295" spans="1:15" x14ac:dyDescent="0.25">
      <c r="A295" s="4" t="s">
        <v>650</v>
      </c>
      <c r="B295" s="4" t="s">
        <v>543</v>
      </c>
      <c r="C295" s="4">
        <v>3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>
        <f>SUM(Tabela323910[[#This Row],[jan/23]:[dez/23]])</f>
        <v>3</v>
      </c>
    </row>
    <row r="296" spans="1:15" x14ac:dyDescent="0.25">
      <c r="A296" s="4" t="s">
        <v>651</v>
      </c>
      <c r="B296" s="4" t="s">
        <v>492</v>
      </c>
      <c r="C296" s="4"/>
      <c r="D296" s="4">
        <v>2</v>
      </c>
      <c r="E296" s="4"/>
      <c r="F296" s="4"/>
      <c r="G296" s="4"/>
      <c r="H296" s="4"/>
      <c r="I296" s="4"/>
      <c r="J296" s="4"/>
      <c r="K296" s="4"/>
      <c r="L296" s="4"/>
      <c r="M296" s="4">
        <v>1</v>
      </c>
      <c r="N296" s="4"/>
      <c r="O296" s="5">
        <f>SUM(Tabela323910[[#This Row],[jan/23]:[dez/23]])</f>
        <v>3</v>
      </c>
    </row>
    <row r="297" spans="1:15" x14ac:dyDescent="0.25">
      <c r="A297" s="4" t="s">
        <v>653</v>
      </c>
      <c r="B297" s="4" t="s">
        <v>759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>
        <v>3</v>
      </c>
      <c r="N297" s="4"/>
      <c r="O297" s="5">
        <f>SUM(Tabela323910[[#This Row],[jan/23]:[dez/23]])</f>
        <v>3</v>
      </c>
    </row>
    <row r="298" spans="1:15" x14ac:dyDescent="0.25">
      <c r="A298" s="4" t="s">
        <v>655</v>
      </c>
      <c r="B298" s="4" t="s">
        <v>847</v>
      </c>
      <c r="C298" s="4"/>
      <c r="D298" s="4"/>
      <c r="E298" s="4"/>
      <c r="F298" s="4"/>
      <c r="G298" s="4"/>
      <c r="H298" s="4">
        <v>2</v>
      </c>
      <c r="I298" s="4"/>
      <c r="J298" s="4"/>
      <c r="K298" s="4"/>
      <c r="L298" s="4"/>
      <c r="M298" s="4"/>
      <c r="N298" s="4"/>
      <c r="O298" s="5">
        <f>SUM(Tabela323910[[#This Row],[jan/23]:[dez/23]])</f>
        <v>2</v>
      </c>
    </row>
    <row r="299" spans="1:15" x14ac:dyDescent="0.25">
      <c r="A299" s="4" t="s">
        <v>657</v>
      </c>
      <c r="B299" s="4" t="s">
        <v>760</v>
      </c>
      <c r="C299" s="4">
        <v>2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>
        <f>SUM(Tabela323910[[#This Row],[jan/23]:[dez/23]])</f>
        <v>2</v>
      </c>
    </row>
    <row r="300" spans="1:15" x14ac:dyDescent="0.25">
      <c r="A300" s="4" t="s">
        <v>658</v>
      </c>
      <c r="B300" s="4" t="s">
        <v>848</v>
      </c>
      <c r="C300" s="4"/>
      <c r="D300" s="4"/>
      <c r="E300" s="4"/>
      <c r="F300" s="4">
        <v>1</v>
      </c>
      <c r="G300" s="4">
        <v>1</v>
      </c>
      <c r="H300" s="4"/>
      <c r="I300" s="4"/>
      <c r="J300" s="4"/>
      <c r="K300" s="4"/>
      <c r="L300" s="4"/>
      <c r="M300" s="4"/>
      <c r="N300" s="4"/>
      <c r="O300" s="5">
        <f>SUM(Tabela323910[[#This Row],[jan/23]:[dez/23]])</f>
        <v>2</v>
      </c>
    </row>
    <row r="301" spans="1:15" x14ac:dyDescent="0.25">
      <c r="A301" s="4" t="s">
        <v>660</v>
      </c>
      <c r="B301" s="4" t="s">
        <v>687</v>
      </c>
      <c r="C301" s="4">
        <v>1</v>
      </c>
      <c r="D301" s="4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>
        <f>SUM(Tabela323910[[#This Row],[jan/23]:[dez/23]])</f>
        <v>2</v>
      </c>
    </row>
    <row r="302" spans="1:15" s="9" customFormat="1" x14ac:dyDescent="0.25">
      <c r="A302" s="10" t="s">
        <v>693</v>
      </c>
      <c r="B302" s="10" t="s">
        <v>849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>
        <v>2</v>
      </c>
      <c r="O302" s="5">
        <f>SUM(Tabela323910[[#This Row],[jan/23]:[dez/23]])</f>
        <v>2</v>
      </c>
    </row>
    <row r="303" spans="1:15" s="9" customFormat="1" x14ac:dyDescent="0.25">
      <c r="A303" s="10" t="s">
        <v>720</v>
      </c>
      <c r="B303" s="10" t="s">
        <v>824</v>
      </c>
      <c r="C303" s="10"/>
      <c r="D303" s="10"/>
      <c r="E303" s="10">
        <v>1</v>
      </c>
      <c r="F303" s="10"/>
      <c r="G303" s="10"/>
      <c r="H303" s="10"/>
      <c r="I303" s="10">
        <v>1</v>
      </c>
      <c r="J303" s="10"/>
      <c r="K303" s="10"/>
      <c r="L303" s="10"/>
      <c r="M303" s="10"/>
      <c r="N303" s="10"/>
      <c r="O303" s="5">
        <f>SUM(Tabela323910[[#This Row],[jan/23]:[dez/23]])</f>
        <v>2</v>
      </c>
    </row>
    <row r="304" spans="1:15" s="9" customFormat="1" x14ac:dyDescent="0.25">
      <c r="A304" s="10" t="s">
        <v>722</v>
      </c>
      <c r="B304" s="10" t="s">
        <v>724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>
        <v>2</v>
      </c>
      <c r="O304" s="5">
        <f>SUM(Tabela323910[[#This Row],[jan/23]:[dez/23]])</f>
        <v>2</v>
      </c>
    </row>
    <row r="305" spans="1:15" s="9" customFormat="1" x14ac:dyDescent="0.25">
      <c r="A305" s="10" t="s">
        <v>723</v>
      </c>
      <c r="B305" s="10" t="s">
        <v>549</v>
      </c>
      <c r="C305" s="10">
        <v>2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5">
        <f>SUM(Tabela323910[[#This Row],[jan/23]:[dez/23]])</f>
        <v>2</v>
      </c>
    </row>
    <row r="306" spans="1:15" s="9" customFormat="1" x14ac:dyDescent="0.25">
      <c r="A306" s="10" t="s">
        <v>725</v>
      </c>
      <c r="B306" s="10" t="s">
        <v>684</v>
      </c>
      <c r="C306" s="10"/>
      <c r="D306" s="10">
        <v>1</v>
      </c>
      <c r="E306" s="10"/>
      <c r="F306" s="10"/>
      <c r="G306" s="10">
        <v>1</v>
      </c>
      <c r="H306" s="10"/>
      <c r="I306" s="10"/>
      <c r="J306" s="10"/>
      <c r="K306" s="10"/>
      <c r="L306" s="10"/>
      <c r="M306" s="10"/>
      <c r="N306" s="10"/>
      <c r="O306" s="5">
        <f>SUM(Tabela323910[[#This Row],[jan/23]:[dez/23]])</f>
        <v>2</v>
      </c>
    </row>
    <row r="307" spans="1:15" s="9" customFormat="1" x14ac:dyDescent="0.25">
      <c r="A307" s="10" t="s">
        <v>726</v>
      </c>
      <c r="B307" s="10" t="s">
        <v>755</v>
      </c>
      <c r="C307" s="10"/>
      <c r="D307" s="10"/>
      <c r="E307" s="10"/>
      <c r="F307" s="10"/>
      <c r="G307" s="10">
        <v>1</v>
      </c>
      <c r="H307" s="10"/>
      <c r="I307" s="10"/>
      <c r="J307" s="10"/>
      <c r="K307" s="10"/>
      <c r="L307" s="10">
        <v>1</v>
      </c>
      <c r="M307" s="10"/>
      <c r="N307" s="10"/>
      <c r="O307" s="5">
        <f>SUM(Tabela323910[[#This Row],[jan/23]:[dez/23]])</f>
        <v>2</v>
      </c>
    </row>
    <row r="308" spans="1:15" s="9" customFormat="1" x14ac:dyDescent="0.25">
      <c r="A308" s="10" t="s">
        <v>727</v>
      </c>
      <c r="B308" s="10" t="s">
        <v>812</v>
      </c>
      <c r="C308" s="10">
        <v>1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5">
        <f>SUM(Tabela323910[[#This Row],[jan/23]:[dez/23]])</f>
        <v>1</v>
      </c>
    </row>
    <row r="309" spans="1:15" s="9" customFormat="1" x14ac:dyDescent="0.25">
      <c r="A309" s="10" t="s">
        <v>768</v>
      </c>
      <c r="B309" s="10" t="s">
        <v>719</v>
      </c>
      <c r="C309" s="10">
        <v>1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5">
        <f>SUM(Tabela323910[[#This Row],[jan/23]:[dez/23]])</f>
        <v>1</v>
      </c>
    </row>
    <row r="310" spans="1:15" s="9" customFormat="1" x14ac:dyDescent="0.25">
      <c r="A310" s="10" t="s">
        <v>769</v>
      </c>
      <c r="B310" s="10" t="s">
        <v>850</v>
      </c>
      <c r="C310" s="10"/>
      <c r="D310" s="10"/>
      <c r="E310" s="10"/>
      <c r="F310" s="10"/>
      <c r="G310" s="10"/>
      <c r="H310" s="10"/>
      <c r="I310" s="10">
        <v>1</v>
      </c>
      <c r="J310" s="10"/>
      <c r="K310" s="10"/>
      <c r="L310" s="10"/>
      <c r="M310" s="10"/>
      <c r="N310" s="10"/>
      <c r="O310" s="5">
        <f>SUM(Tabela323910[[#This Row],[jan/23]:[dez/23]])</f>
        <v>1</v>
      </c>
    </row>
    <row r="311" spans="1:15" s="9" customFormat="1" x14ac:dyDescent="0.25">
      <c r="A311" s="10" t="s">
        <v>771</v>
      </c>
      <c r="B311" s="10" t="s">
        <v>851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>
        <v>1</v>
      </c>
      <c r="M311" s="10"/>
      <c r="N311" s="10"/>
      <c r="O311" s="5">
        <f>SUM(Tabela323910[[#This Row],[jan/23]:[dez/23]])</f>
        <v>1</v>
      </c>
    </row>
    <row r="312" spans="1:15" s="9" customFormat="1" x14ac:dyDescent="0.25">
      <c r="A312" s="10" t="s">
        <v>773</v>
      </c>
      <c r="B312" s="10" t="s">
        <v>852</v>
      </c>
      <c r="C312" s="10">
        <v>1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5">
        <f>SUM(Tabela323910[[#This Row],[jan/23]:[dez/23]])</f>
        <v>1</v>
      </c>
    </row>
    <row r="313" spans="1:15" s="9" customFormat="1" x14ac:dyDescent="0.25">
      <c r="A313" s="10" t="s">
        <v>775</v>
      </c>
      <c r="B313" s="10" t="s">
        <v>853</v>
      </c>
      <c r="C313" s="10"/>
      <c r="D313" s="10">
        <v>1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5">
        <f>SUM(Tabela323910[[#This Row],[jan/23]:[dez/23]])</f>
        <v>1</v>
      </c>
    </row>
    <row r="314" spans="1:15" s="9" customFormat="1" x14ac:dyDescent="0.25">
      <c r="A314" s="10" t="s">
        <v>776</v>
      </c>
      <c r="B314" s="10" t="s">
        <v>326</v>
      </c>
      <c r="C314" s="10">
        <v>1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5">
        <f>SUM(Tabela323910[[#This Row],[jan/23]:[dez/23]])</f>
        <v>1</v>
      </c>
    </row>
    <row r="315" spans="1:15" s="9" customFormat="1" x14ac:dyDescent="0.25">
      <c r="A315" s="10" t="s">
        <v>778</v>
      </c>
      <c r="B315" s="10" t="s">
        <v>712</v>
      </c>
      <c r="C315" s="10"/>
      <c r="D315" s="10"/>
      <c r="E315" s="10"/>
      <c r="F315" s="10"/>
      <c r="G315" s="10"/>
      <c r="H315" s="10"/>
      <c r="I315" s="10"/>
      <c r="J315" s="10">
        <v>1</v>
      </c>
      <c r="K315" s="10"/>
      <c r="L315" s="10"/>
      <c r="M315" s="10"/>
      <c r="N315" s="10"/>
      <c r="O315" s="5">
        <f>SUM(Tabela323910[[#This Row],[jan/23]:[dez/23]])</f>
        <v>1</v>
      </c>
    </row>
    <row r="316" spans="1:15" s="9" customFormat="1" x14ac:dyDescent="0.25">
      <c r="A316" s="10" t="s">
        <v>780</v>
      </c>
      <c r="B316" s="10" t="s">
        <v>751</v>
      </c>
      <c r="C316" s="10"/>
      <c r="D316" s="10"/>
      <c r="E316" s="10"/>
      <c r="F316" s="10"/>
      <c r="G316" s="10"/>
      <c r="H316" s="10"/>
      <c r="I316" s="10"/>
      <c r="J316" s="10"/>
      <c r="K316" s="10">
        <v>1</v>
      </c>
      <c r="L316" s="10"/>
      <c r="M316" s="10"/>
      <c r="N316" s="10"/>
      <c r="O316" s="5">
        <f>SUM(Tabela323910[[#This Row],[jan/23]:[dez/23]])</f>
        <v>1</v>
      </c>
    </row>
    <row r="317" spans="1:15" s="9" customFormat="1" x14ac:dyDescent="0.25">
      <c r="A317" s="10" t="s">
        <v>782</v>
      </c>
      <c r="B317" s="10" t="s">
        <v>680</v>
      </c>
      <c r="C317" s="10"/>
      <c r="D317" s="10"/>
      <c r="E317" s="10">
        <v>1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5">
        <f>SUM(Tabela323910[[#This Row],[jan/23]:[dez/23]])</f>
        <v>1</v>
      </c>
    </row>
    <row r="318" spans="1:15" s="9" customFormat="1" x14ac:dyDescent="0.25">
      <c r="A318" s="10" t="s">
        <v>784</v>
      </c>
      <c r="B318" s="10" t="s">
        <v>854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>
        <v>1</v>
      </c>
      <c r="N318" s="10"/>
      <c r="O318" s="5">
        <f>SUM(Tabela323910[[#This Row],[jan/23]:[dez/23]])</f>
        <v>1</v>
      </c>
    </row>
    <row r="319" spans="1:15" s="9" customFormat="1" x14ac:dyDescent="0.25">
      <c r="A319" s="10" t="s">
        <v>785</v>
      </c>
      <c r="B319" s="10" t="s">
        <v>786</v>
      </c>
      <c r="C319" s="10"/>
      <c r="D319" s="10"/>
      <c r="E319" s="10"/>
      <c r="F319" s="10"/>
      <c r="G319" s="10">
        <v>1</v>
      </c>
      <c r="H319" s="10"/>
      <c r="I319" s="10"/>
      <c r="J319" s="10"/>
      <c r="K319" s="10"/>
      <c r="L319" s="10"/>
      <c r="M319" s="10"/>
      <c r="N319" s="10"/>
      <c r="O319" s="5">
        <f>SUM(Tabela323910[[#This Row],[jan/23]:[dez/23]])</f>
        <v>1</v>
      </c>
    </row>
    <row r="320" spans="1:15" s="9" customFormat="1" x14ac:dyDescent="0.25">
      <c r="A320" s="10" t="s">
        <v>855</v>
      </c>
      <c r="B320" s="10" t="s">
        <v>686</v>
      </c>
      <c r="C320" s="10"/>
      <c r="D320" s="10"/>
      <c r="E320" s="10"/>
      <c r="F320" s="10">
        <v>1</v>
      </c>
      <c r="G320" s="10"/>
      <c r="H320" s="10"/>
      <c r="I320" s="10"/>
      <c r="J320" s="10"/>
      <c r="K320" s="10"/>
      <c r="L320" s="10"/>
      <c r="M320" s="10"/>
      <c r="N320" s="10"/>
      <c r="O320" s="5">
        <f>SUM(Tabela323910[[#This Row],[jan/23]:[dez/23]])</f>
        <v>1</v>
      </c>
    </row>
    <row r="321" spans="1:15" s="9" customFormat="1" x14ac:dyDescent="0.25">
      <c r="A321" s="10" t="s">
        <v>856</v>
      </c>
      <c r="B321" s="10" t="s">
        <v>710</v>
      </c>
      <c r="C321" s="10"/>
      <c r="D321" s="10"/>
      <c r="E321" s="10">
        <v>1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5">
        <f>SUM(Tabela323910[[#This Row],[jan/23]:[dez/23]])</f>
        <v>1</v>
      </c>
    </row>
    <row r="322" spans="1:15" s="9" customFormat="1" x14ac:dyDescent="0.25">
      <c r="A322" s="10" t="s">
        <v>857</v>
      </c>
      <c r="B322" s="10" t="s">
        <v>858</v>
      </c>
      <c r="C322" s="10"/>
      <c r="D322" s="10"/>
      <c r="E322" s="10"/>
      <c r="F322" s="10">
        <v>1</v>
      </c>
      <c r="G322" s="10"/>
      <c r="H322" s="10"/>
      <c r="I322" s="10"/>
      <c r="J322" s="10"/>
      <c r="K322" s="10"/>
      <c r="L322" s="10"/>
      <c r="M322" s="10"/>
      <c r="N322" s="10"/>
      <c r="O322" s="5">
        <f>SUM(Tabela323910[[#This Row],[jan/23]:[dez/23]])</f>
        <v>1</v>
      </c>
    </row>
    <row r="323" spans="1:15" s="9" customFormat="1" x14ac:dyDescent="0.25">
      <c r="A323" s="10" t="s">
        <v>859</v>
      </c>
      <c r="B323" s="10" t="s">
        <v>661</v>
      </c>
      <c r="C323" s="10"/>
      <c r="D323" s="10"/>
      <c r="E323" s="10">
        <v>1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5">
        <f>SUM(Tabela323910[[#This Row],[jan/23]:[dez/23]])</f>
        <v>1</v>
      </c>
    </row>
    <row r="324" spans="1:15" s="8" customForma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7"/>
    </row>
    <row r="325" spans="1:15" s="8" customForma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7"/>
    </row>
    <row r="326" spans="1:15" s="8" customForma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7"/>
    </row>
    <row r="327" spans="1:15" s="8" customForma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10E5-8314-4BB2-9B76-898A34A6E53E}">
  <dimension ref="A1:O326"/>
  <sheetViews>
    <sheetView workbookViewId="0">
      <selection activeCell="Z28" sqref="Z28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8.85546875" bestFit="1" customWidth="1"/>
    <col min="4" max="4" width="9" bestFit="1" customWidth="1"/>
    <col min="5" max="5" width="9.5703125" bestFit="1" customWidth="1"/>
    <col min="6" max="6" width="9" bestFit="1" customWidth="1"/>
    <col min="7" max="7" width="9.42578125" bestFit="1" customWidth="1"/>
    <col min="8" max="8" width="9" bestFit="1" customWidth="1"/>
    <col min="9" max="9" width="8.42578125" bestFit="1" customWidth="1"/>
    <col min="10" max="10" width="9.28515625" bestFit="1" customWidth="1"/>
    <col min="11" max="11" width="8.85546875" bestFit="1" customWidth="1"/>
    <col min="13" max="13" width="9.42578125" bestFit="1" customWidth="1"/>
    <col min="14" max="14" width="9.28515625" bestFit="1" customWidth="1"/>
    <col min="15" max="15" width="8.85546875" bestFit="1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3</v>
      </c>
      <c r="C2" s="5">
        <v>12950</v>
      </c>
      <c r="D2" s="5">
        <v>10325</v>
      </c>
      <c r="E2" s="5">
        <v>12192</v>
      </c>
      <c r="F2" s="5">
        <v>10607</v>
      </c>
      <c r="G2" s="5">
        <v>10896</v>
      </c>
      <c r="H2" s="5">
        <v>11586</v>
      </c>
      <c r="I2" s="5">
        <v>11591</v>
      </c>
      <c r="J2" s="5">
        <v>12422</v>
      </c>
      <c r="K2" s="5">
        <v>12592</v>
      </c>
      <c r="L2" s="5">
        <v>14087</v>
      </c>
      <c r="M2" s="5">
        <v>15700</v>
      </c>
      <c r="N2" s="5">
        <v>18432</v>
      </c>
      <c r="O2" s="5">
        <f>SUM(Tabela3239[[#This Row],[jan/23]:[dez/23]])</f>
        <v>153380</v>
      </c>
    </row>
    <row r="3" spans="1:15" x14ac:dyDescent="0.25">
      <c r="A3" s="4" t="s">
        <v>2</v>
      </c>
      <c r="B3" s="4" t="s">
        <v>7</v>
      </c>
      <c r="C3" s="5">
        <v>8965</v>
      </c>
      <c r="D3" s="5">
        <v>7849</v>
      </c>
      <c r="E3" s="5">
        <v>10475</v>
      </c>
      <c r="F3" s="5">
        <v>9832</v>
      </c>
      <c r="G3" s="5">
        <v>9249</v>
      </c>
      <c r="H3" s="5">
        <v>9533</v>
      </c>
      <c r="I3" s="5">
        <v>9697</v>
      </c>
      <c r="J3" s="5">
        <v>10263</v>
      </c>
      <c r="K3" s="5">
        <v>10020</v>
      </c>
      <c r="L3" s="5">
        <v>11350</v>
      </c>
      <c r="M3" s="5">
        <v>12136</v>
      </c>
      <c r="N3" s="5">
        <v>12234</v>
      </c>
      <c r="O3" s="5">
        <f>SUM(Tabela3239[[#This Row],[jan/23]:[dez/23]])</f>
        <v>121603</v>
      </c>
    </row>
    <row r="4" spans="1:15" x14ac:dyDescent="0.25">
      <c r="A4" s="4" t="s">
        <v>4</v>
      </c>
      <c r="B4" s="4" t="s">
        <v>404</v>
      </c>
      <c r="C4" s="5">
        <v>4345</v>
      </c>
      <c r="D4" s="5">
        <v>5549</v>
      </c>
      <c r="E4" s="5">
        <v>7223</v>
      </c>
      <c r="F4" s="5">
        <v>5191</v>
      </c>
      <c r="G4" s="5">
        <v>6358</v>
      </c>
      <c r="H4" s="5">
        <v>5811</v>
      </c>
      <c r="I4" s="5">
        <v>7235</v>
      </c>
      <c r="J4" s="5">
        <v>7043</v>
      </c>
      <c r="K4" s="5">
        <v>6611</v>
      </c>
      <c r="L4" s="5">
        <v>6193</v>
      </c>
      <c r="M4" s="5">
        <v>7636</v>
      </c>
      <c r="N4" s="5">
        <v>7421</v>
      </c>
      <c r="O4" s="5">
        <f>SUM(Tabela3239[[#This Row],[jan/23]:[dez/23]])</f>
        <v>76616</v>
      </c>
    </row>
    <row r="5" spans="1:15" x14ac:dyDescent="0.25">
      <c r="A5" s="4" t="s">
        <v>6</v>
      </c>
      <c r="B5" s="4" t="s">
        <v>593</v>
      </c>
      <c r="C5" s="5">
        <v>5467</v>
      </c>
      <c r="D5" s="5">
        <v>4408</v>
      </c>
      <c r="E5" s="5">
        <v>5411</v>
      </c>
      <c r="F5" s="5">
        <v>4998</v>
      </c>
      <c r="G5" s="5">
        <v>5356</v>
      </c>
      <c r="H5" s="5">
        <v>5525</v>
      </c>
      <c r="I5" s="5">
        <v>5932</v>
      </c>
      <c r="J5" s="5">
        <v>5848</v>
      </c>
      <c r="K5" s="5">
        <v>5344</v>
      </c>
      <c r="L5" s="5">
        <v>5313</v>
      </c>
      <c r="M5" s="5">
        <v>5927</v>
      </c>
      <c r="N5" s="5">
        <v>6811</v>
      </c>
      <c r="O5" s="5">
        <f>SUM(Tabela3239[[#This Row],[jan/23]:[dez/23]])</f>
        <v>66340</v>
      </c>
    </row>
    <row r="6" spans="1:15" x14ac:dyDescent="0.25">
      <c r="A6" s="4" t="s">
        <v>8</v>
      </c>
      <c r="B6" s="4" t="s">
        <v>48</v>
      </c>
      <c r="C6" s="5">
        <v>4243</v>
      </c>
      <c r="D6" s="5">
        <v>4997</v>
      </c>
      <c r="E6" s="5">
        <v>5984</v>
      </c>
      <c r="F6" s="5">
        <v>5825</v>
      </c>
      <c r="G6" s="5">
        <v>5428</v>
      </c>
      <c r="H6" s="5">
        <v>5417</v>
      </c>
      <c r="I6" s="5">
        <v>5919</v>
      </c>
      <c r="J6" s="5">
        <v>6030</v>
      </c>
      <c r="K6" s="5">
        <v>4797</v>
      </c>
      <c r="L6" s="5">
        <v>5119</v>
      </c>
      <c r="M6" s="5">
        <v>4970</v>
      </c>
      <c r="N6" s="5">
        <v>6015</v>
      </c>
      <c r="O6" s="5">
        <f>SUM(Tabela3239[[#This Row],[jan/23]:[dez/23]])</f>
        <v>64744</v>
      </c>
    </row>
    <row r="7" spans="1:15" x14ac:dyDescent="0.25">
      <c r="A7" s="4" t="s">
        <v>10</v>
      </c>
      <c r="B7" s="4" t="s">
        <v>599</v>
      </c>
      <c r="C7" s="5">
        <v>8011</v>
      </c>
      <c r="D7" s="5">
        <v>5503</v>
      </c>
      <c r="E7" s="5">
        <v>4715</v>
      </c>
      <c r="F7" s="5">
        <v>4110</v>
      </c>
      <c r="G7" s="5">
        <v>5290</v>
      </c>
      <c r="H7" s="5">
        <v>4335</v>
      </c>
      <c r="I7" s="5">
        <v>6022</v>
      </c>
      <c r="J7" s="5">
        <v>6751</v>
      </c>
      <c r="K7" s="5">
        <v>3920</v>
      </c>
      <c r="L7" s="5">
        <v>3821</v>
      </c>
      <c r="M7" s="5">
        <v>5250</v>
      </c>
      <c r="N7" s="5">
        <v>6272</v>
      </c>
      <c r="O7" s="5">
        <f>SUM(Tabela3239[[#This Row],[jan/23]:[dez/23]])</f>
        <v>64000</v>
      </c>
    </row>
    <row r="8" spans="1:15" x14ac:dyDescent="0.25">
      <c r="A8" s="4" t="s">
        <v>14</v>
      </c>
      <c r="B8" s="4" t="s">
        <v>100</v>
      </c>
      <c r="C8" s="5">
        <v>3002</v>
      </c>
      <c r="D8" s="5">
        <v>3545</v>
      </c>
      <c r="E8" s="5">
        <v>4253</v>
      </c>
      <c r="F8" s="5">
        <v>4847</v>
      </c>
      <c r="G8" s="5">
        <v>4756</v>
      </c>
      <c r="H8" s="5">
        <v>6013</v>
      </c>
      <c r="I8" s="5">
        <v>5700</v>
      </c>
      <c r="J8" s="5">
        <v>6657</v>
      </c>
      <c r="K8" s="5">
        <v>4992</v>
      </c>
      <c r="L8" s="5">
        <v>6085</v>
      </c>
      <c r="M8" s="5">
        <v>7029</v>
      </c>
      <c r="N8" s="5">
        <v>6353</v>
      </c>
      <c r="O8" s="5">
        <f>SUM(Tabela3239[[#This Row],[jan/23]:[dez/23]])</f>
        <v>63232</v>
      </c>
    </row>
    <row r="9" spans="1:15" x14ac:dyDescent="0.25">
      <c r="A9" s="4" t="s">
        <v>16</v>
      </c>
      <c r="B9" s="4" t="s">
        <v>92</v>
      </c>
      <c r="C9" s="5">
        <v>3941</v>
      </c>
      <c r="D9" s="5">
        <v>3867</v>
      </c>
      <c r="E9" s="5">
        <v>5296</v>
      </c>
      <c r="F9" s="5">
        <v>6533</v>
      </c>
      <c r="G9" s="5">
        <v>6914</v>
      </c>
      <c r="H9" s="5">
        <v>5943</v>
      </c>
      <c r="I9" s="5">
        <v>6466</v>
      </c>
      <c r="J9" s="5">
        <v>4525</v>
      </c>
      <c r="K9" s="5">
        <v>2185</v>
      </c>
      <c r="L9" s="5">
        <v>1861</v>
      </c>
      <c r="M9" s="5">
        <v>5182</v>
      </c>
      <c r="N9" s="5">
        <v>7330</v>
      </c>
      <c r="O9" s="5">
        <f>SUM(Tabela3239[[#This Row],[jan/23]:[dez/23]])</f>
        <v>60043</v>
      </c>
    </row>
    <row r="10" spans="1:15" x14ac:dyDescent="0.25">
      <c r="A10" s="4" t="s">
        <v>18</v>
      </c>
      <c r="B10" s="4" t="s">
        <v>1</v>
      </c>
      <c r="C10" s="5">
        <v>3989</v>
      </c>
      <c r="D10" s="5">
        <v>4590</v>
      </c>
      <c r="E10" s="5">
        <v>5357</v>
      </c>
      <c r="F10" s="5">
        <v>5427</v>
      </c>
      <c r="G10" s="5">
        <v>4274</v>
      </c>
      <c r="H10" s="5">
        <v>5276</v>
      </c>
      <c r="I10" s="5">
        <v>5924</v>
      </c>
      <c r="J10" s="5">
        <v>6009</v>
      </c>
      <c r="K10" s="5">
        <v>4409</v>
      </c>
      <c r="L10" s="5">
        <v>4234</v>
      </c>
      <c r="M10" s="5">
        <v>4987</v>
      </c>
      <c r="N10" s="5">
        <v>4975</v>
      </c>
      <c r="O10" s="5">
        <f>SUM(Tabela3239[[#This Row],[jan/23]:[dez/23]])</f>
        <v>59451</v>
      </c>
    </row>
    <row r="11" spans="1:15" x14ac:dyDescent="0.25">
      <c r="A11" s="4" t="s">
        <v>20</v>
      </c>
      <c r="B11" s="4" t="s">
        <v>34</v>
      </c>
      <c r="C11" s="5">
        <v>4283</v>
      </c>
      <c r="D11" s="5">
        <v>4711</v>
      </c>
      <c r="E11" s="5">
        <v>6059</v>
      </c>
      <c r="F11" s="5">
        <v>5447</v>
      </c>
      <c r="G11" s="5">
        <v>5162</v>
      </c>
      <c r="H11" s="5">
        <v>5222</v>
      </c>
      <c r="I11" s="5">
        <v>4338</v>
      </c>
      <c r="J11" s="5">
        <v>4906</v>
      </c>
      <c r="K11" s="5">
        <v>3844</v>
      </c>
      <c r="L11" s="5">
        <v>3758</v>
      </c>
      <c r="M11" s="5">
        <v>3714</v>
      </c>
      <c r="N11" s="5">
        <v>4325</v>
      </c>
      <c r="O11" s="5">
        <f>SUM(Tabela3239[[#This Row],[jan/23]:[dez/23]])</f>
        <v>55769</v>
      </c>
    </row>
    <row r="12" spans="1:15" x14ac:dyDescent="0.25">
      <c r="A12" s="4" t="s">
        <v>23</v>
      </c>
      <c r="B12" s="4" t="s">
        <v>30</v>
      </c>
      <c r="C12" s="5">
        <v>4990</v>
      </c>
      <c r="D12" s="5">
        <v>3964</v>
      </c>
      <c r="E12" s="5">
        <v>4284</v>
      </c>
      <c r="F12" s="5">
        <v>4047</v>
      </c>
      <c r="G12" s="5">
        <v>4407</v>
      </c>
      <c r="H12" s="5">
        <v>4014</v>
      </c>
      <c r="I12" s="5">
        <v>4746</v>
      </c>
      <c r="J12" s="5">
        <v>4483</v>
      </c>
      <c r="K12" s="5">
        <v>4461</v>
      </c>
      <c r="L12" s="5">
        <v>4811</v>
      </c>
      <c r="M12" s="5">
        <v>3394</v>
      </c>
      <c r="N12" s="5">
        <v>3999</v>
      </c>
      <c r="O12" s="5">
        <f>SUM(Tabela3239[[#This Row],[jan/23]:[dez/23]])</f>
        <v>51600</v>
      </c>
    </row>
    <row r="13" spans="1:15" x14ac:dyDescent="0.25">
      <c r="A13" s="4" t="s">
        <v>25</v>
      </c>
      <c r="B13" s="4" t="s">
        <v>58</v>
      </c>
      <c r="C13" s="5">
        <v>3589</v>
      </c>
      <c r="D13" s="5">
        <v>3692</v>
      </c>
      <c r="E13" s="5">
        <v>3936</v>
      </c>
      <c r="F13" s="5">
        <v>3832</v>
      </c>
      <c r="G13" s="5">
        <v>4001</v>
      </c>
      <c r="H13" s="5">
        <v>3930</v>
      </c>
      <c r="I13" s="5">
        <v>3804</v>
      </c>
      <c r="J13" s="5">
        <v>3857</v>
      </c>
      <c r="K13" s="5">
        <v>3234</v>
      </c>
      <c r="L13" s="5">
        <v>3086</v>
      </c>
      <c r="M13" s="5">
        <v>4399</v>
      </c>
      <c r="N13" s="5">
        <v>4666</v>
      </c>
      <c r="O13" s="5">
        <f>SUM(Tabela3239[[#This Row],[jan/23]:[dez/23]])</f>
        <v>46026</v>
      </c>
    </row>
    <row r="14" spans="1:15" x14ac:dyDescent="0.25">
      <c r="A14" s="4" t="s">
        <v>27</v>
      </c>
      <c r="B14" s="4" t="s">
        <v>28</v>
      </c>
      <c r="C14" s="5">
        <v>31</v>
      </c>
      <c r="D14" s="5">
        <v>1117</v>
      </c>
      <c r="E14" s="5">
        <v>3080</v>
      </c>
      <c r="F14" s="5">
        <v>3954</v>
      </c>
      <c r="G14" s="5">
        <v>3526</v>
      </c>
      <c r="H14" s="5">
        <v>4040</v>
      </c>
      <c r="I14" s="5">
        <v>4313</v>
      </c>
      <c r="J14" s="5">
        <v>4291</v>
      </c>
      <c r="K14" s="5">
        <v>3288</v>
      </c>
      <c r="L14" s="5">
        <v>4288</v>
      </c>
      <c r="M14" s="5">
        <v>4073</v>
      </c>
      <c r="N14" s="5">
        <v>5288</v>
      </c>
      <c r="O14" s="5">
        <f>SUM(Tabela3239[[#This Row],[jan/23]:[dez/23]])</f>
        <v>41289</v>
      </c>
    </row>
    <row r="15" spans="1:15" x14ac:dyDescent="0.25">
      <c r="A15" s="4" t="s">
        <v>29</v>
      </c>
      <c r="B15" s="4" t="s">
        <v>432</v>
      </c>
      <c r="C15" s="5">
        <v>4293</v>
      </c>
      <c r="D15" s="5">
        <v>4234</v>
      </c>
      <c r="E15" s="5">
        <v>4751</v>
      </c>
      <c r="F15" s="5">
        <v>3830</v>
      </c>
      <c r="G15" s="5">
        <v>3439</v>
      </c>
      <c r="H15" s="5">
        <v>3559</v>
      </c>
      <c r="I15" s="5">
        <v>3582</v>
      </c>
      <c r="J15" s="5">
        <v>3212</v>
      </c>
      <c r="K15" s="5">
        <v>2195</v>
      </c>
      <c r="L15" s="5">
        <v>1843</v>
      </c>
      <c r="M15" s="5">
        <v>1397</v>
      </c>
      <c r="N15" s="5">
        <v>3656</v>
      </c>
      <c r="O15" s="5">
        <f>SUM(Tabela3239[[#This Row],[jan/23]:[dez/23]])</f>
        <v>39991</v>
      </c>
    </row>
    <row r="16" spans="1:15" x14ac:dyDescent="0.25">
      <c r="A16" s="4" t="s">
        <v>31</v>
      </c>
      <c r="B16" s="4" t="s">
        <v>575</v>
      </c>
      <c r="C16" s="5">
        <v>3325</v>
      </c>
      <c r="D16" s="5">
        <v>3190</v>
      </c>
      <c r="E16" s="5">
        <v>3791</v>
      </c>
      <c r="F16" s="5">
        <v>3278</v>
      </c>
      <c r="G16" s="5">
        <v>3227</v>
      </c>
      <c r="H16" s="5">
        <v>3488</v>
      </c>
      <c r="I16" s="5">
        <v>3407</v>
      </c>
      <c r="J16" s="5">
        <v>3003</v>
      </c>
      <c r="K16" s="5">
        <v>1863</v>
      </c>
      <c r="L16" s="5">
        <v>2736</v>
      </c>
      <c r="M16" s="5">
        <v>3660</v>
      </c>
      <c r="N16" s="5">
        <v>3390</v>
      </c>
      <c r="O16" s="5">
        <f>SUM(Tabela3239[[#This Row],[jan/23]:[dez/23]])</f>
        <v>38358</v>
      </c>
    </row>
    <row r="17" spans="1:15" x14ac:dyDescent="0.25">
      <c r="A17" s="4" t="s">
        <v>33</v>
      </c>
      <c r="B17" s="4" t="s">
        <v>578</v>
      </c>
      <c r="C17" s="5">
        <v>2538</v>
      </c>
      <c r="D17" s="5">
        <v>2779</v>
      </c>
      <c r="E17" s="5">
        <v>3580</v>
      </c>
      <c r="F17" s="5">
        <v>2090</v>
      </c>
      <c r="G17" s="5">
        <v>2436</v>
      </c>
      <c r="H17" s="5">
        <v>3291</v>
      </c>
      <c r="I17" s="5">
        <v>4336</v>
      </c>
      <c r="J17" s="5">
        <v>4094</v>
      </c>
      <c r="K17" s="5">
        <v>2869</v>
      </c>
      <c r="L17" s="5">
        <v>3172</v>
      </c>
      <c r="M17" s="5">
        <v>3136</v>
      </c>
      <c r="N17" s="5">
        <v>3655</v>
      </c>
      <c r="O17" s="5">
        <f>SUM(Tabela3239[[#This Row],[jan/23]:[dez/23]])</f>
        <v>37976</v>
      </c>
    </row>
    <row r="18" spans="1:15" x14ac:dyDescent="0.25">
      <c r="A18" s="4" t="s">
        <v>35</v>
      </c>
      <c r="B18" s="4" t="s">
        <v>372</v>
      </c>
      <c r="C18" s="5">
        <v>3334</v>
      </c>
      <c r="D18" s="5">
        <v>3279</v>
      </c>
      <c r="E18" s="5">
        <v>3952</v>
      </c>
      <c r="F18" s="5">
        <v>3124</v>
      </c>
      <c r="G18" s="5">
        <v>1874</v>
      </c>
      <c r="H18" s="5">
        <v>2802</v>
      </c>
      <c r="I18" s="5">
        <v>2955</v>
      </c>
      <c r="J18" s="5">
        <v>2835</v>
      </c>
      <c r="K18" s="5">
        <v>1595</v>
      </c>
      <c r="L18" s="5">
        <v>2328</v>
      </c>
      <c r="M18" s="5">
        <v>3869</v>
      </c>
      <c r="N18" s="5">
        <v>2699</v>
      </c>
      <c r="O18" s="5">
        <f>SUM(Tabela3239[[#This Row],[jan/23]:[dez/23]])</f>
        <v>34646</v>
      </c>
    </row>
    <row r="19" spans="1:15" x14ac:dyDescent="0.25">
      <c r="A19" s="4" t="s">
        <v>37</v>
      </c>
      <c r="B19" s="4" t="s">
        <v>38</v>
      </c>
      <c r="C19" s="5">
        <v>2838</v>
      </c>
      <c r="D19" s="5">
        <v>2249</v>
      </c>
      <c r="E19" s="5">
        <v>3440</v>
      </c>
      <c r="F19" s="5">
        <v>2744</v>
      </c>
      <c r="G19" s="5">
        <v>2926</v>
      </c>
      <c r="H19" s="5">
        <v>2791</v>
      </c>
      <c r="I19" s="5">
        <v>2649</v>
      </c>
      <c r="J19" s="5">
        <v>2784</v>
      </c>
      <c r="K19" s="5">
        <v>2749</v>
      </c>
      <c r="L19" s="5">
        <v>2332</v>
      </c>
      <c r="M19" s="5">
        <v>2857</v>
      </c>
      <c r="N19" s="5">
        <v>3672</v>
      </c>
      <c r="O19" s="5">
        <f>SUM(Tabela3239[[#This Row],[jan/23]:[dez/23]])</f>
        <v>34031</v>
      </c>
    </row>
    <row r="20" spans="1:15" x14ac:dyDescent="0.25">
      <c r="A20" s="4" t="s">
        <v>39</v>
      </c>
      <c r="B20" s="4" t="s">
        <v>44</v>
      </c>
      <c r="C20" s="5">
        <v>3263</v>
      </c>
      <c r="D20" s="5">
        <v>2927</v>
      </c>
      <c r="E20" s="5">
        <v>3040</v>
      </c>
      <c r="F20" s="5">
        <v>3042</v>
      </c>
      <c r="G20" s="5">
        <v>3462</v>
      </c>
      <c r="H20" s="5">
        <v>3566</v>
      </c>
      <c r="I20" s="5">
        <v>3908</v>
      </c>
      <c r="J20" s="5">
        <v>3838</v>
      </c>
      <c r="K20" s="5">
        <v>2292</v>
      </c>
      <c r="L20" s="5">
        <v>996</v>
      </c>
      <c r="M20" s="5">
        <v>1358</v>
      </c>
      <c r="N20" s="5">
        <v>2262</v>
      </c>
      <c r="O20" s="5">
        <f>SUM(Tabela3239[[#This Row],[jan/23]:[dez/23]])</f>
        <v>33954</v>
      </c>
    </row>
    <row r="21" spans="1:15" x14ac:dyDescent="0.25">
      <c r="A21" s="4" t="s">
        <v>41</v>
      </c>
      <c r="B21" s="4" t="s">
        <v>576</v>
      </c>
      <c r="C21" s="5">
        <v>1803</v>
      </c>
      <c r="D21" s="5">
        <v>1777</v>
      </c>
      <c r="E21" s="5">
        <v>2452</v>
      </c>
      <c r="F21" s="5">
        <v>2197</v>
      </c>
      <c r="G21" s="5">
        <v>2564</v>
      </c>
      <c r="H21" s="5">
        <v>2928</v>
      </c>
      <c r="I21" s="5">
        <v>2899</v>
      </c>
      <c r="J21" s="5">
        <v>3188</v>
      </c>
      <c r="K21" s="5">
        <v>2721</v>
      </c>
      <c r="L21" s="5">
        <v>2318</v>
      </c>
      <c r="M21" s="5">
        <v>2204</v>
      </c>
      <c r="N21" s="5">
        <v>2742</v>
      </c>
      <c r="O21" s="5">
        <f>SUM(Tabela3239[[#This Row],[jan/23]:[dez/23]])</f>
        <v>29793</v>
      </c>
    </row>
    <row r="22" spans="1:15" x14ac:dyDescent="0.25">
      <c r="A22" s="4" t="s">
        <v>43</v>
      </c>
      <c r="B22" s="4" t="s">
        <v>15</v>
      </c>
      <c r="C22" s="5"/>
      <c r="D22" s="5"/>
      <c r="E22" s="5">
        <v>94</v>
      </c>
      <c r="F22" s="5">
        <v>1062</v>
      </c>
      <c r="G22" s="5">
        <v>2407</v>
      </c>
      <c r="H22" s="5">
        <v>2822</v>
      </c>
      <c r="I22" s="5">
        <v>3603</v>
      </c>
      <c r="J22" s="5">
        <v>3840</v>
      </c>
      <c r="K22" s="5">
        <v>3264</v>
      </c>
      <c r="L22" s="5">
        <v>3372</v>
      </c>
      <c r="M22" s="5">
        <v>3718</v>
      </c>
      <c r="N22" s="5">
        <v>4555</v>
      </c>
      <c r="O22" s="5">
        <f>SUM(Tabela3239[[#This Row],[jan/23]:[dez/23]])</f>
        <v>28737</v>
      </c>
    </row>
    <row r="23" spans="1:15" x14ac:dyDescent="0.25">
      <c r="A23" s="4" t="s">
        <v>45</v>
      </c>
      <c r="B23" s="4" t="s">
        <v>519</v>
      </c>
      <c r="C23" s="5">
        <v>2456</v>
      </c>
      <c r="D23" s="5">
        <v>2038</v>
      </c>
      <c r="E23" s="5">
        <v>2334</v>
      </c>
      <c r="F23" s="5">
        <v>2219</v>
      </c>
      <c r="G23" s="5">
        <v>2227</v>
      </c>
      <c r="H23" s="5">
        <v>2278</v>
      </c>
      <c r="I23" s="5">
        <v>2309</v>
      </c>
      <c r="J23" s="5">
        <v>2276</v>
      </c>
      <c r="K23" s="5">
        <v>2146</v>
      </c>
      <c r="L23" s="5">
        <v>2328</v>
      </c>
      <c r="M23" s="5">
        <v>2590</v>
      </c>
      <c r="N23" s="5">
        <v>3240</v>
      </c>
      <c r="O23" s="5">
        <f>SUM(Tabela3239[[#This Row],[jan/23]:[dez/23]])</f>
        <v>28441</v>
      </c>
    </row>
    <row r="24" spans="1:15" x14ac:dyDescent="0.25">
      <c r="A24" s="4" t="s">
        <v>47</v>
      </c>
      <c r="B24" s="4" t="s">
        <v>814</v>
      </c>
      <c r="C24" s="5">
        <v>3219</v>
      </c>
      <c r="D24" s="5">
        <v>3092</v>
      </c>
      <c r="E24" s="5">
        <v>3781</v>
      </c>
      <c r="F24" s="5">
        <v>3143</v>
      </c>
      <c r="G24" s="5">
        <v>2882</v>
      </c>
      <c r="H24" s="5">
        <v>2611</v>
      </c>
      <c r="I24" s="5">
        <v>2579</v>
      </c>
      <c r="J24" s="5">
        <v>2279</v>
      </c>
      <c r="K24" s="5">
        <v>2173</v>
      </c>
      <c r="L24" s="5">
        <v>2649</v>
      </c>
      <c r="M24" s="5"/>
      <c r="N24" s="5"/>
      <c r="O24" s="5">
        <f>SUM(Tabela3239[[#This Row],[jan/23]:[dez/23]])</f>
        <v>28408</v>
      </c>
    </row>
    <row r="25" spans="1:15" x14ac:dyDescent="0.25">
      <c r="A25" s="4" t="s">
        <v>49</v>
      </c>
      <c r="B25" s="4" t="s">
        <v>454</v>
      </c>
      <c r="C25" s="5">
        <v>1807</v>
      </c>
      <c r="D25" s="5">
        <v>1997</v>
      </c>
      <c r="E25" s="5">
        <v>2327</v>
      </c>
      <c r="F25" s="5">
        <v>2233</v>
      </c>
      <c r="G25" s="5">
        <v>2006</v>
      </c>
      <c r="H25" s="5">
        <v>2148</v>
      </c>
      <c r="I25" s="5">
        <v>2409</v>
      </c>
      <c r="J25" s="5">
        <v>3072</v>
      </c>
      <c r="K25" s="5">
        <v>2841</v>
      </c>
      <c r="L25" s="5">
        <v>2781</v>
      </c>
      <c r="M25" s="5">
        <v>2218</v>
      </c>
      <c r="N25" s="5">
        <v>2268</v>
      </c>
      <c r="O25" s="5">
        <f>SUM(Tabela3239[[#This Row],[jan/23]:[dez/23]])</f>
        <v>28107</v>
      </c>
    </row>
    <row r="26" spans="1:15" x14ac:dyDescent="0.25">
      <c r="A26" s="4" t="s">
        <v>51</v>
      </c>
      <c r="B26" s="4" t="s">
        <v>56</v>
      </c>
      <c r="C26" s="5">
        <v>1265</v>
      </c>
      <c r="D26" s="5">
        <v>1180</v>
      </c>
      <c r="E26" s="5">
        <v>1930</v>
      </c>
      <c r="F26" s="5">
        <v>1871</v>
      </c>
      <c r="G26" s="5">
        <v>2094</v>
      </c>
      <c r="H26" s="5">
        <v>2228</v>
      </c>
      <c r="I26" s="5">
        <v>2339</v>
      </c>
      <c r="J26" s="5">
        <v>2769</v>
      </c>
      <c r="K26" s="5">
        <v>2784</v>
      </c>
      <c r="L26" s="5">
        <v>2431</v>
      </c>
      <c r="M26" s="5">
        <v>2960</v>
      </c>
      <c r="N26" s="5">
        <v>2707</v>
      </c>
      <c r="O26" s="5">
        <f>SUM(Tabela3239[[#This Row],[jan/23]:[dez/23]])</f>
        <v>26558</v>
      </c>
    </row>
    <row r="27" spans="1:15" x14ac:dyDescent="0.25">
      <c r="A27" s="4" t="s">
        <v>53</v>
      </c>
      <c r="B27" s="4" t="s">
        <v>66</v>
      </c>
      <c r="C27" s="5">
        <v>1246</v>
      </c>
      <c r="D27" s="5">
        <v>1796</v>
      </c>
      <c r="E27" s="5">
        <v>2187</v>
      </c>
      <c r="F27" s="5">
        <v>1932</v>
      </c>
      <c r="G27" s="5">
        <v>2326</v>
      </c>
      <c r="H27" s="5">
        <v>2592</v>
      </c>
      <c r="I27" s="5">
        <v>2233</v>
      </c>
      <c r="J27" s="5">
        <v>2131</v>
      </c>
      <c r="K27" s="5">
        <v>1818</v>
      </c>
      <c r="L27" s="5">
        <v>1968</v>
      </c>
      <c r="M27" s="5">
        <v>2702</v>
      </c>
      <c r="N27" s="5">
        <v>2442</v>
      </c>
      <c r="O27" s="5">
        <f>SUM(Tabela3239[[#This Row],[jan/23]:[dez/23]])</f>
        <v>25373</v>
      </c>
    </row>
    <row r="28" spans="1:15" x14ac:dyDescent="0.25">
      <c r="A28" s="4" t="s">
        <v>55</v>
      </c>
      <c r="B28" s="4" t="s">
        <v>452</v>
      </c>
      <c r="C28" s="5">
        <v>1394</v>
      </c>
      <c r="D28" s="5">
        <v>1629</v>
      </c>
      <c r="E28" s="5">
        <v>1923</v>
      </c>
      <c r="F28" s="5">
        <v>1826</v>
      </c>
      <c r="G28" s="5">
        <v>1874</v>
      </c>
      <c r="H28" s="5">
        <v>1722</v>
      </c>
      <c r="I28" s="5">
        <v>2268</v>
      </c>
      <c r="J28" s="5">
        <v>2418</v>
      </c>
      <c r="K28" s="5">
        <v>2208</v>
      </c>
      <c r="L28" s="5">
        <v>2563</v>
      </c>
      <c r="M28" s="5">
        <v>2521</v>
      </c>
      <c r="N28" s="5">
        <v>2318</v>
      </c>
      <c r="O28" s="5">
        <f>SUM(Tabela3239[[#This Row],[jan/23]:[dez/23]])</f>
        <v>24664</v>
      </c>
    </row>
    <row r="29" spans="1:15" x14ac:dyDescent="0.25">
      <c r="A29" s="4" t="s">
        <v>57</v>
      </c>
      <c r="B29" s="4" t="s">
        <v>112</v>
      </c>
      <c r="C29" s="5">
        <v>983</v>
      </c>
      <c r="D29" s="5">
        <v>1551</v>
      </c>
      <c r="E29" s="5">
        <v>2240</v>
      </c>
      <c r="F29" s="5">
        <v>1750</v>
      </c>
      <c r="G29" s="5">
        <v>1710</v>
      </c>
      <c r="H29" s="5">
        <v>1563</v>
      </c>
      <c r="I29" s="5">
        <v>2229</v>
      </c>
      <c r="J29" s="5">
        <v>2521</v>
      </c>
      <c r="K29" s="5">
        <v>2484</v>
      </c>
      <c r="L29" s="5">
        <v>1769</v>
      </c>
      <c r="M29" s="5">
        <v>2262</v>
      </c>
      <c r="N29" s="5">
        <v>2647</v>
      </c>
      <c r="O29" s="5">
        <f>SUM(Tabela3239[[#This Row],[jan/23]:[dez/23]])</f>
        <v>23709</v>
      </c>
    </row>
    <row r="30" spans="1:15" x14ac:dyDescent="0.25">
      <c r="A30" s="4" t="s">
        <v>59</v>
      </c>
      <c r="B30" s="4" t="s">
        <v>130</v>
      </c>
      <c r="C30" s="5">
        <v>2206</v>
      </c>
      <c r="D30" s="5">
        <v>2201</v>
      </c>
      <c r="E30" s="5">
        <v>2239</v>
      </c>
      <c r="F30" s="5">
        <v>1780</v>
      </c>
      <c r="G30" s="5">
        <v>1796</v>
      </c>
      <c r="H30" s="5">
        <v>1856</v>
      </c>
      <c r="I30" s="5">
        <v>1987</v>
      </c>
      <c r="J30" s="5">
        <v>1987</v>
      </c>
      <c r="K30" s="5">
        <v>723</v>
      </c>
      <c r="L30" s="5">
        <v>613</v>
      </c>
      <c r="M30" s="5">
        <v>2015</v>
      </c>
      <c r="N30" s="5">
        <v>3971</v>
      </c>
      <c r="O30" s="5">
        <f>SUM(Tabela3239[[#This Row],[jan/23]:[dez/23]])</f>
        <v>23374</v>
      </c>
    </row>
    <row r="31" spans="1:15" x14ac:dyDescent="0.25">
      <c r="A31" s="4" t="s">
        <v>61</v>
      </c>
      <c r="B31" s="4" t="s">
        <v>70</v>
      </c>
      <c r="C31" s="5">
        <v>1665</v>
      </c>
      <c r="D31" s="5">
        <v>1245</v>
      </c>
      <c r="E31" s="5">
        <v>1436</v>
      </c>
      <c r="F31" s="5">
        <v>1735</v>
      </c>
      <c r="G31" s="5">
        <v>2016</v>
      </c>
      <c r="H31" s="5">
        <v>2097</v>
      </c>
      <c r="I31" s="5">
        <v>2472</v>
      </c>
      <c r="J31" s="5">
        <v>2226</v>
      </c>
      <c r="K31" s="5">
        <v>1621</v>
      </c>
      <c r="L31" s="5">
        <v>1930</v>
      </c>
      <c r="M31" s="5">
        <v>2273</v>
      </c>
      <c r="N31" s="5">
        <v>2267</v>
      </c>
      <c r="O31" s="5">
        <f>SUM(Tabela3239[[#This Row],[jan/23]:[dez/23]])</f>
        <v>22983</v>
      </c>
    </row>
    <row r="32" spans="1:15" x14ac:dyDescent="0.25">
      <c r="A32" s="4" t="s">
        <v>63</v>
      </c>
      <c r="B32" s="4" t="s">
        <v>604</v>
      </c>
      <c r="C32" s="5">
        <v>1211</v>
      </c>
      <c r="D32" s="5">
        <v>1331</v>
      </c>
      <c r="E32" s="5">
        <v>2488</v>
      </c>
      <c r="F32" s="5">
        <v>2133</v>
      </c>
      <c r="G32" s="5">
        <v>2028</v>
      </c>
      <c r="H32" s="5">
        <v>1846</v>
      </c>
      <c r="I32" s="5">
        <v>1762</v>
      </c>
      <c r="J32" s="5">
        <v>2330</v>
      </c>
      <c r="K32" s="5">
        <v>1752</v>
      </c>
      <c r="L32" s="5">
        <v>1749</v>
      </c>
      <c r="M32" s="5">
        <v>1969</v>
      </c>
      <c r="N32" s="5">
        <v>1868</v>
      </c>
      <c r="O32" s="5">
        <f>SUM(Tabela3239[[#This Row],[jan/23]:[dez/23]])</f>
        <v>22467</v>
      </c>
    </row>
    <row r="33" spans="1:15" x14ac:dyDescent="0.25">
      <c r="A33" s="4" t="s">
        <v>65</v>
      </c>
      <c r="B33" s="4" t="s">
        <v>98</v>
      </c>
      <c r="C33" s="5">
        <v>1515</v>
      </c>
      <c r="D33" s="5">
        <v>1292</v>
      </c>
      <c r="E33" s="5">
        <v>1978</v>
      </c>
      <c r="F33" s="5">
        <v>1696</v>
      </c>
      <c r="G33" s="5">
        <v>1407</v>
      </c>
      <c r="H33" s="5">
        <v>1643</v>
      </c>
      <c r="I33" s="5">
        <v>2024</v>
      </c>
      <c r="J33" s="5">
        <v>1907</v>
      </c>
      <c r="K33" s="5">
        <v>2018</v>
      </c>
      <c r="L33" s="5">
        <v>2034</v>
      </c>
      <c r="M33" s="5">
        <v>2162</v>
      </c>
      <c r="N33" s="5">
        <v>2222</v>
      </c>
      <c r="O33" s="5">
        <f>SUM(Tabela3239[[#This Row],[jan/23]:[dez/23]])</f>
        <v>21898</v>
      </c>
    </row>
    <row r="34" spans="1:15" x14ac:dyDescent="0.25">
      <c r="A34" s="4" t="s">
        <v>67</v>
      </c>
      <c r="B34" s="4" t="s">
        <v>232</v>
      </c>
      <c r="C34" s="5">
        <v>1561</v>
      </c>
      <c r="D34" s="5">
        <v>1194</v>
      </c>
      <c r="E34" s="5">
        <v>1381</v>
      </c>
      <c r="F34" s="5">
        <v>1411</v>
      </c>
      <c r="G34" s="5">
        <v>1931</v>
      </c>
      <c r="H34" s="5">
        <v>1129</v>
      </c>
      <c r="I34" s="5">
        <v>685</v>
      </c>
      <c r="J34" s="5">
        <v>596</v>
      </c>
      <c r="K34" s="5">
        <v>2820</v>
      </c>
      <c r="L34" s="5">
        <v>2696</v>
      </c>
      <c r="M34" s="5">
        <v>2533</v>
      </c>
      <c r="N34" s="5">
        <v>2921</v>
      </c>
      <c r="O34" s="5">
        <f>SUM(Tabela3239[[#This Row],[jan/23]:[dez/23]])</f>
        <v>20858</v>
      </c>
    </row>
    <row r="35" spans="1:15" x14ac:dyDescent="0.25">
      <c r="A35" s="4" t="s">
        <v>69</v>
      </c>
      <c r="B35" s="4" t="s">
        <v>584</v>
      </c>
      <c r="C35" s="5">
        <v>1800</v>
      </c>
      <c r="D35" s="5">
        <v>1365</v>
      </c>
      <c r="E35" s="5">
        <v>1325</v>
      </c>
      <c r="F35" s="5">
        <v>1187</v>
      </c>
      <c r="G35" s="5">
        <v>1486</v>
      </c>
      <c r="H35" s="5">
        <v>1802</v>
      </c>
      <c r="I35" s="5">
        <v>1978</v>
      </c>
      <c r="J35" s="5">
        <v>1820</v>
      </c>
      <c r="K35" s="5">
        <v>1413</v>
      </c>
      <c r="L35" s="5">
        <v>1259</v>
      </c>
      <c r="M35" s="5">
        <v>1416</v>
      </c>
      <c r="N35" s="5">
        <v>1530</v>
      </c>
      <c r="O35" s="5">
        <f>SUM(Tabela3239[[#This Row],[jan/23]:[dez/23]])</f>
        <v>18381</v>
      </c>
    </row>
    <row r="36" spans="1:15" x14ac:dyDescent="0.25">
      <c r="A36" s="4" t="s">
        <v>71</v>
      </c>
      <c r="B36" s="4" t="s">
        <v>538</v>
      </c>
      <c r="C36" s="5">
        <v>1524</v>
      </c>
      <c r="D36" s="5">
        <v>1503</v>
      </c>
      <c r="E36" s="5">
        <v>1281</v>
      </c>
      <c r="F36" s="5">
        <v>1027</v>
      </c>
      <c r="G36" s="5">
        <v>1291</v>
      </c>
      <c r="H36" s="5">
        <v>1239</v>
      </c>
      <c r="I36" s="5">
        <v>1140</v>
      </c>
      <c r="J36" s="5">
        <v>1543</v>
      </c>
      <c r="K36" s="5">
        <v>1455</v>
      </c>
      <c r="L36" s="5">
        <v>1586</v>
      </c>
      <c r="M36" s="5">
        <v>1686</v>
      </c>
      <c r="N36" s="5">
        <v>1712</v>
      </c>
      <c r="O36" s="5">
        <f>SUM(Tabela3239[[#This Row],[jan/23]:[dez/23]])</f>
        <v>16987</v>
      </c>
    </row>
    <row r="37" spans="1:15" x14ac:dyDescent="0.25">
      <c r="A37" s="4" t="s">
        <v>73</v>
      </c>
      <c r="B37" s="4" t="s">
        <v>74</v>
      </c>
      <c r="C37" s="5">
        <v>702</v>
      </c>
      <c r="D37" s="5">
        <v>1218</v>
      </c>
      <c r="E37" s="5">
        <v>1196</v>
      </c>
      <c r="F37" s="5">
        <v>703</v>
      </c>
      <c r="G37" s="5">
        <v>1129</v>
      </c>
      <c r="H37" s="5">
        <v>1888</v>
      </c>
      <c r="I37" s="5">
        <v>1961</v>
      </c>
      <c r="J37" s="5">
        <v>1511</v>
      </c>
      <c r="K37" s="5">
        <v>1188</v>
      </c>
      <c r="L37" s="5">
        <v>1361</v>
      </c>
      <c r="M37" s="5">
        <v>1262</v>
      </c>
      <c r="N37" s="5">
        <v>1694</v>
      </c>
      <c r="O37" s="5">
        <f>SUM(Tabela3239[[#This Row],[jan/23]:[dez/23]])</f>
        <v>15813</v>
      </c>
    </row>
    <row r="38" spans="1:15" x14ac:dyDescent="0.25">
      <c r="A38" s="4" t="s">
        <v>75</v>
      </c>
      <c r="B38" s="4" t="s">
        <v>82</v>
      </c>
      <c r="C38" s="5">
        <v>1836</v>
      </c>
      <c r="D38" s="5">
        <v>1350</v>
      </c>
      <c r="E38" s="5">
        <v>1409</v>
      </c>
      <c r="F38" s="5">
        <v>1243</v>
      </c>
      <c r="G38" s="5">
        <v>1294</v>
      </c>
      <c r="H38" s="5">
        <v>1263</v>
      </c>
      <c r="I38" s="5">
        <v>1229</v>
      </c>
      <c r="J38" s="5">
        <v>1207</v>
      </c>
      <c r="K38" s="5">
        <v>1090</v>
      </c>
      <c r="L38" s="5">
        <v>1057</v>
      </c>
      <c r="M38" s="5">
        <v>1105</v>
      </c>
      <c r="N38" s="5">
        <v>1340</v>
      </c>
      <c r="O38" s="5">
        <f>SUM(Tabela3239[[#This Row],[jan/23]:[dez/23]])</f>
        <v>15423</v>
      </c>
    </row>
    <row r="39" spans="1:15" x14ac:dyDescent="0.25">
      <c r="A39" s="4" t="s">
        <v>77</v>
      </c>
      <c r="B39" s="4" t="s">
        <v>52</v>
      </c>
      <c r="C39" s="5">
        <v>760</v>
      </c>
      <c r="D39" s="5">
        <v>498</v>
      </c>
      <c r="E39" s="5">
        <v>305</v>
      </c>
      <c r="F39" s="5">
        <v>904</v>
      </c>
      <c r="G39" s="5">
        <v>1352</v>
      </c>
      <c r="H39" s="5">
        <v>960</v>
      </c>
      <c r="I39" s="5">
        <v>1315</v>
      </c>
      <c r="J39" s="5">
        <v>1921</v>
      </c>
      <c r="K39" s="5">
        <v>1503</v>
      </c>
      <c r="L39" s="5">
        <v>1595</v>
      </c>
      <c r="M39" s="5">
        <v>1652</v>
      </c>
      <c r="N39" s="5">
        <v>2006</v>
      </c>
      <c r="O39" s="5">
        <f>SUM(Tabela3239[[#This Row],[jan/23]:[dez/23]])</f>
        <v>14771</v>
      </c>
    </row>
    <row r="40" spans="1:15" x14ac:dyDescent="0.25">
      <c r="A40" s="4" t="s">
        <v>79</v>
      </c>
      <c r="B40" s="4" t="s">
        <v>84</v>
      </c>
      <c r="C40" s="5">
        <v>862</v>
      </c>
      <c r="D40" s="5">
        <v>821</v>
      </c>
      <c r="E40" s="5">
        <v>1222</v>
      </c>
      <c r="F40" s="5">
        <v>1179</v>
      </c>
      <c r="G40" s="5">
        <v>1290</v>
      </c>
      <c r="H40" s="5">
        <v>1172</v>
      </c>
      <c r="I40" s="5">
        <v>1194</v>
      </c>
      <c r="J40" s="5">
        <v>1271</v>
      </c>
      <c r="K40" s="5">
        <v>1394</v>
      </c>
      <c r="L40" s="5">
        <v>1259</v>
      </c>
      <c r="M40" s="5">
        <v>1275</v>
      </c>
      <c r="N40" s="5">
        <v>1308</v>
      </c>
      <c r="O40" s="5">
        <f>SUM(Tabela3239[[#This Row],[jan/23]:[dez/23]])</f>
        <v>14247</v>
      </c>
    </row>
    <row r="41" spans="1:15" x14ac:dyDescent="0.25">
      <c r="A41" s="4" t="s">
        <v>81</v>
      </c>
      <c r="B41" s="4" t="s">
        <v>78</v>
      </c>
      <c r="C41" s="5">
        <v>237</v>
      </c>
      <c r="D41" s="5">
        <v>530</v>
      </c>
      <c r="E41" s="5">
        <v>1295</v>
      </c>
      <c r="F41" s="5">
        <v>947</v>
      </c>
      <c r="G41" s="5">
        <v>1120</v>
      </c>
      <c r="H41" s="5">
        <v>955</v>
      </c>
      <c r="I41" s="5">
        <v>988</v>
      </c>
      <c r="J41" s="5">
        <v>1046</v>
      </c>
      <c r="K41" s="5">
        <v>1167</v>
      </c>
      <c r="L41" s="5">
        <v>966</v>
      </c>
      <c r="M41" s="5">
        <v>1254</v>
      </c>
      <c r="N41" s="5">
        <v>1666</v>
      </c>
      <c r="O41" s="5">
        <f>SUM(Tabela3239[[#This Row],[jan/23]:[dez/23]])</f>
        <v>12171</v>
      </c>
    </row>
    <row r="42" spans="1:15" x14ac:dyDescent="0.25">
      <c r="A42" s="4" t="s">
        <v>83</v>
      </c>
      <c r="B42" s="4" t="s">
        <v>178</v>
      </c>
      <c r="C42" s="5">
        <v>367</v>
      </c>
      <c r="D42" s="5">
        <v>331</v>
      </c>
      <c r="E42" s="5">
        <v>654</v>
      </c>
      <c r="F42" s="5">
        <v>592</v>
      </c>
      <c r="G42" s="5">
        <v>1120</v>
      </c>
      <c r="H42" s="5">
        <v>746</v>
      </c>
      <c r="I42" s="5">
        <v>1128</v>
      </c>
      <c r="J42" s="5">
        <v>1233</v>
      </c>
      <c r="K42" s="5">
        <v>1442</v>
      </c>
      <c r="L42" s="5">
        <v>1475</v>
      </c>
      <c r="M42" s="5">
        <v>1415</v>
      </c>
      <c r="N42" s="5">
        <v>1563</v>
      </c>
      <c r="O42" s="5">
        <f>SUM(Tabela3239[[#This Row],[jan/23]:[dez/23]])</f>
        <v>12066</v>
      </c>
    </row>
    <row r="43" spans="1:15" x14ac:dyDescent="0.25">
      <c r="A43" s="4" t="s">
        <v>85</v>
      </c>
      <c r="B43" s="4" t="s">
        <v>60</v>
      </c>
      <c r="C43" s="5">
        <v>1012</v>
      </c>
      <c r="D43" s="5">
        <v>901</v>
      </c>
      <c r="E43" s="5">
        <v>1096</v>
      </c>
      <c r="F43" s="5">
        <v>923</v>
      </c>
      <c r="G43" s="5">
        <v>1006</v>
      </c>
      <c r="H43" s="5">
        <v>1191</v>
      </c>
      <c r="I43" s="5">
        <v>935</v>
      </c>
      <c r="J43" s="5">
        <v>1021</v>
      </c>
      <c r="K43" s="5">
        <v>886</v>
      </c>
      <c r="L43" s="5">
        <v>724</v>
      </c>
      <c r="M43" s="5">
        <v>913</v>
      </c>
      <c r="N43" s="5">
        <v>1219</v>
      </c>
      <c r="O43" s="5">
        <f>SUM(Tabela3239[[#This Row],[jan/23]:[dez/23]])</f>
        <v>11827</v>
      </c>
    </row>
    <row r="44" spans="1:15" x14ac:dyDescent="0.25">
      <c r="A44" s="4" t="s">
        <v>87</v>
      </c>
      <c r="B44" s="4" t="s">
        <v>793</v>
      </c>
      <c r="C44" s="5">
        <v>1781</v>
      </c>
      <c r="D44" s="5">
        <v>1001</v>
      </c>
      <c r="E44" s="5">
        <v>1043</v>
      </c>
      <c r="F44" s="5">
        <v>1284</v>
      </c>
      <c r="G44" s="5">
        <v>1481</v>
      </c>
      <c r="H44" s="5">
        <v>1705</v>
      </c>
      <c r="I44" s="5">
        <v>1728</v>
      </c>
      <c r="J44" s="5">
        <v>867</v>
      </c>
      <c r="K44" s="5">
        <v>363</v>
      </c>
      <c r="L44" s="5">
        <v>164</v>
      </c>
      <c r="M44" s="5">
        <v>68</v>
      </c>
      <c r="N44" s="5">
        <v>46</v>
      </c>
      <c r="O44" s="5">
        <f>SUM(Tabela3239[[#This Row],[jan/23]:[dez/23]])</f>
        <v>11531</v>
      </c>
    </row>
    <row r="45" spans="1:15" x14ac:dyDescent="0.25">
      <c r="A45" s="4" t="s">
        <v>89</v>
      </c>
      <c r="B45" s="4" t="s">
        <v>700</v>
      </c>
      <c r="C45" s="5">
        <v>646</v>
      </c>
      <c r="D45" s="5">
        <v>780</v>
      </c>
      <c r="E45" s="5">
        <v>1034</v>
      </c>
      <c r="F45" s="5">
        <v>1067</v>
      </c>
      <c r="G45" s="5">
        <v>1796</v>
      </c>
      <c r="H45" s="5">
        <v>1458</v>
      </c>
      <c r="I45" s="5">
        <v>1012</v>
      </c>
      <c r="J45" s="5">
        <v>864</v>
      </c>
      <c r="K45" s="5">
        <v>2012</v>
      </c>
      <c r="L45" s="5">
        <v>283</v>
      </c>
      <c r="M45" s="5">
        <v>90</v>
      </c>
      <c r="N45" s="5">
        <v>161</v>
      </c>
      <c r="O45" s="5">
        <f>SUM(Tabela3239[[#This Row],[jan/23]:[dez/23]])</f>
        <v>11203</v>
      </c>
    </row>
    <row r="46" spans="1:15" x14ac:dyDescent="0.25">
      <c r="A46" s="4" t="s">
        <v>91</v>
      </c>
      <c r="B46" s="4" t="s">
        <v>792</v>
      </c>
      <c r="C46" s="5">
        <v>1411</v>
      </c>
      <c r="D46" s="5">
        <v>1823</v>
      </c>
      <c r="E46" s="5">
        <v>2007</v>
      </c>
      <c r="F46" s="5">
        <v>1013</v>
      </c>
      <c r="G46" s="5">
        <v>615</v>
      </c>
      <c r="H46" s="5">
        <v>1333</v>
      </c>
      <c r="I46" s="5">
        <v>1235</v>
      </c>
      <c r="J46" s="5">
        <v>603</v>
      </c>
      <c r="K46" s="5">
        <v>496</v>
      </c>
      <c r="L46" s="5">
        <v>174</v>
      </c>
      <c r="M46" s="5">
        <v>116</v>
      </c>
      <c r="N46" s="5">
        <v>43</v>
      </c>
      <c r="O46" s="5">
        <f>SUM(Tabela3239[[#This Row],[jan/23]:[dez/23]])</f>
        <v>10869</v>
      </c>
    </row>
    <row r="47" spans="1:15" x14ac:dyDescent="0.25">
      <c r="A47" s="4" t="s">
        <v>93</v>
      </c>
      <c r="B47" s="4" t="s">
        <v>54</v>
      </c>
      <c r="C47" s="5">
        <v>693</v>
      </c>
      <c r="D47" s="5">
        <v>800</v>
      </c>
      <c r="E47" s="5">
        <v>883</v>
      </c>
      <c r="F47" s="5">
        <v>806</v>
      </c>
      <c r="G47" s="5">
        <v>974</v>
      </c>
      <c r="H47" s="5">
        <v>1008</v>
      </c>
      <c r="I47" s="5">
        <v>940</v>
      </c>
      <c r="J47" s="5">
        <v>829</v>
      </c>
      <c r="K47" s="5">
        <v>756</v>
      </c>
      <c r="L47" s="5">
        <v>783</v>
      </c>
      <c r="M47" s="5">
        <v>975</v>
      </c>
      <c r="N47" s="5">
        <v>1322</v>
      </c>
      <c r="O47" s="5">
        <f>SUM(Tabela3239[[#This Row],[jan/23]:[dez/23]])</f>
        <v>10769</v>
      </c>
    </row>
    <row r="48" spans="1:15" x14ac:dyDescent="0.25">
      <c r="A48" s="4" t="s">
        <v>95</v>
      </c>
      <c r="B48" s="4" t="s">
        <v>36</v>
      </c>
      <c r="C48" s="5"/>
      <c r="D48" s="5"/>
      <c r="E48" s="5"/>
      <c r="F48" s="5"/>
      <c r="G48" s="5"/>
      <c r="H48" s="5">
        <v>4</v>
      </c>
      <c r="I48" s="5">
        <v>590</v>
      </c>
      <c r="J48" s="5">
        <v>1970</v>
      </c>
      <c r="K48" s="5">
        <v>2368</v>
      </c>
      <c r="L48" s="5">
        <v>1446</v>
      </c>
      <c r="M48" s="5">
        <v>1667</v>
      </c>
      <c r="N48" s="5">
        <v>2660</v>
      </c>
      <c r="O48" s="5">
        <f>SUM(Tabela3239[[#This Row],[jan/23]:[dez/23]])</f>
        <v>10705</v>
      </c>
    </row>
    <row r="49" spans="1:15" x14ac:dyDescent="0.25">
      <c r="A49" s="4" t="s">
        <v>97</v>
      </c>
      <c r="B49" s="4" t="s">
        <v>150</v>
      </c>
      <c r="C49" s="5">
        <v>590</v>
      </c>
      <c r="D49" s="5">
        <v>793</v>
      </c>
      <c r="E49" s="5">
        <v>1044</v>
      </c>
      <c r="F49" s="5">
        <v>951</v>
      </c>
      <c r="G49" s="5">
        <v>815</v>
      </c>
      <c r="H49" s="5">
        <v>895</v>
      </c>
      <c r="I49" s="5">
        <v>857</v>
      </c>
      <c r="J49" s="5">
        <v>1123</v>
      </c>
      <c r="K49" s="5">
        <v>822</v>
      </c>
      <c r="L49" s="5">
        <v>876</v>
      </c>
      <c r="M49" s="5">
        <v>842</v>
      </c>
      <c r="N49" s="5">
        <v>1086</v>
      </c>
      <c r="O49" s="5">
        <f>SUM(Tabela3239[[#This Row],[jan/23]:[dez/23]])</f>
        <v>10694</v>
      </c>
    </row>
    <row r="50" spans="1:15" x14ac:dyDescent="0.25">
      <c r="A50" s="4" t="s">
        <v>99</v>
      </c>
      <c r="B50" s="4" t="s">
        <v>398</v>
      </c>
      <c r="C50" s="5">
        <v>742</v>
      </c>
      <c r="D50" s="5">
        <v>730</v>
      </c>
      <c r="E50" s="5">
        <v>842</v>
      </c>
      <c r="F50" s="5">
        <v>807</v>
      </c>
      <c r="G50" s="5">
        <v>801</v>
      </c>
      <c r="H50" s="5">
        <v>937</v>
      </c>
      <c r="I50" s="5">
        <v>922</v>
      </c>
      <c r="J50" s="5">
        <v>1292</v>
      </c>
      <c r="K50" s="5">
        <v>1182</v>
      </c>
      <c r="L50" s="4">
        <v>915</v>
      </c>
      <c r="M50" s="5">
        <v>564</v>
      </c>
      <c r="N50" s="5">
        <v>493</v>
      </c>
      <c r="O50" s="5">
        <f>SUM(Tabela3239[[#This Row],[jan/23]:[dez/23]])</f>
        <v>10227</v>
      </c>
    </row>
    <row r="51" spans="1:15" x14ac:dyDescent="0.25">
      <c r="A51" s="4" t="s">
        <v>101</v>
      </c>
      <c r="B51" s="4" t="s">
        <v>88</v>
      </c>
      <c r="C51" s="5">
        <v>563</v>
      </c>
      <c r="D51" s="5">
        <v>613</v>
      </c>
      <c r="E51" s="5">
        <v>809</v>
      </c>
      <c r="F51" s="5">
        <v>985</v>
      </c>
      <c r="G51" s="5">
        <v>780</v>
      </c>
      <c r="H51" s="5">
        <v>821</v>
      </c>
      <c r="I51" s="5">
        <v>777</v>
      </c>
      <c r="J51" s="5">
        <v>868</v>
      </c>
      <c r="K51" s="5">
        <v>766</v>
      </c>
      <c r="L51" s="5">
        <v>903</v>
      </c>
      <c r="M51" s="5">
        <v>975</v>
      </c>
      <c r="N51" s="5">
        <v>1084</v>
      </c>
      <c r="O51" s="5">
        <f>SUM(Tabela3239[[#This Row],[jan/23]:[dez/23]])</f>
        <v>9944</v>
      </c>
    </row>
    <row r="52" spans="1:15" x14ac:dyDescent="0.25">
      <c r="A52" s="4" t="s">
        <v>103</v>
      </c>
      <c r="B52" s="4" t="s">
        <v>72</v>
      </c>
      <c r="C52" s="4">
        <v>632</v>
      </c>
      <c r="D52" s="4">
        <v>706</v>
      </c>
      <c r="E52" s="5">
        <v>992</v>
      </c>
      <c r="F52" s="5">
        <v>893</v>
      </c>
      <c r="G52" s="5">
        <v>687</v>
      </c>
      <c r="H52" s="5">
        <v>986</v>
      </c>
      <c r="I52" s="5">
        <v>1005</v>
      </c>
      <c r="J52" s="5">
        <v>933</v>
      </c>
      <c r="K52" s="5">
        <v>662</v>
      </c>
      <c r="L52" s="5">
        <v>671</v>
      </c>
      <c r="M52" s="5">
        <v>843</v>
      </c>
      <c r="N52" s="5">
        <v>750</v>
      </c>
      <c r="O52" s="5">
        <f>SUM(Tabela3239[[#This Row],[jan/23]:[dez/23]])</f>
        <v>9760</v>
      </c>
    </row>
    <row r="53" spans="1:15" x14ac:dyDescent="0.25">
      <c r="A53" s="4" t="s">
        <v>105</v>
      </c>
      <c r="B53" s="4" t="s">
        <v>104</v>
      </c>
      <c r="C53" s="5">
        <v>1093</v>
      </c>
      <c r="D53" s="4">
        <v>948</v>
      </c>
      <c r="E53" s="5">
        <v>1230</v>
      </c>
      <c r="F53" s="5">
        <v>968</v>
      </c>
      <c r="G53" s="5">
        <v>591</v>
      </c>
      <c r="H53" s="5">
        <v>580</v>
      </c>
      <c r="I53" s="5">
        <v>492</v>
      </c>
      <c r="J53" s="5">
        <v>492</v>
      </c>
      <c r="K53" s="5">
        <v>660</v>
      </c>
      <c r="L53" s="5">
        <v>641</v>
      </c>
      <c r="M53" s="5">
        <v>607</v>
      </c>
      <c r="N53" s="5">
        <v>871</v>
      </c>
      <c r="O53" s="5">
        <f>SUM(Tabela3239[[#This Row],[jan/23]:[dez/23]])</f>
        <v>9173</v>
      </c>
    </row>
    <row r="54" spans="1:15" x14ac:dyDescent="0.25">
      <c r="A54" s="4" t="s">
        <v>107</v>
      </c>
      <c r="B54" s="4" t="s">
        <v>154</v>
      </c>
      <c r="C54" s="5">
        <v>481</v>
      </c>
      <c r="D54" s="4">
        <v>707</v>
      </c>
      <c r="E54" s="5">
        <v>600</v>
      </c>
      <c r="F54" s="5">
        <v>587</v>
      </c>
      <c r="G54" s="5">
        <v>589</v>
      </c>
      <c r="H54" s="5">
        <v>700</v>
      </c>
      <c r="I54" s="5">
        <v>666</v>
      </c>
      <c r="J54" s="5">
        <v>642</v>
      </c>
      <c r="K54" s="5">
        <v>1052</v>
      </c>
      <c r="L54" s="5">
        <v>1204</v>
      </c>
      <c r="M54" s="5">
        <v>838</v>
      </c>
      <c r="N54" s="5">
        <v>589</v>
      </c>
      <c r="O54" s="5">
        <f>SUM(Tabela3239[[#This Row],[jan/23]:[dez/23]])</f>
        <v>8655</v>
      </c>
    </row>
    <row r="55" spans="1:15" x14ac:dyDescent="0.25">
      <c r="A55" s="4" t="s">
        <v>109</v>
      </c>
      <c r="B55" s="4" t="s">
        <v>19</v>
      </c>
      <c r="C55" s="5">
        <v>1039</v>
      </c>
      <c r="D55" s="5">
        <v>939</v>
      </c>
      <c r="E55" s="5">
        <v>833</v>
      </c>
      <c r="F55" s="5">
        <v>992</v>
      </c>
      <c r="G55" s="4">
        <v>844</v>
      </c>
      <c r="H55" s="5">
        <v>879</v>
      </c>
      <c r="I55" s="5">
        <v>746</v>
      </c>
      <c r="J55" s="5">
        <v>488</v>
      </c>
      <c r="K55" s="5">
        <v>329</v>
      </c>
      <c r="L55" s="5">
        <v>376</v>
      </c>
      <c r="M55" s="5">
        <v>293</v>
      </c>
      <c r="N55" s="5">
        <v>800</v>
      </c>
      <c r="O55" s="5">
        <f>SUM(Tabela3239[[#This Row],[jan/23]:[dez/23]])</f>
        <v>8558</v>
      </c>
    </row>
    <row r="56" spans="1:15" x14ac:dyDescent="0.25">
      <c r="A56" s="4" t="s">
        <v>111</v>
      </c>
      <c r="B56" s="4" t="s">
        <v>656</v>
      </c>
      <c r="C56" s="5">
        <v>1120</v>
      </c>
      <c r="D56" s="4">
        <v>905</v>
      </c>
      <c r="E56" s="5">
        <v>1049</v>
      </c>
      <c r="F56" s="5">
        <v>767</v>
      </c>
      <c r="G56" s="5">
        <v>667</v>
      </c>
      <c r="H56" s="5">
        <v>510</v>
      </c>
      <c r="I56" s="5">
        <v>560</v>
      </c>
      <c r="J56" s="5">
        <v>482</v>
      </c>
      <c r="K56" s="5">
        <v>477</v>
      </c>
      <c r="L56" s="5">
        <v>461</v>
      </c>
      <c r="M56" s="5">
        <v>349</v>
      </c>
      <c r="N56" s="5">
        <v>362</v>
      </c>
      <c r="O56" s="5">
        <f>SUM(Tabela3239[[#This Row],[jan/23]:[dez/23]])</f>
        <v>7709</v>
      </c>
    </row>
    <row r="57" spans="1:15" x14ac:dyDescent="0.25">
      <c r="A57" s="4" t="s">
        <v>113</v>
      </c>
      <c r="B57" s="4" t="s">
        <v>587</v>
      </c>
      <c r="C57" s="4">
        <v>571</v>
      </c>
      <c r="D57" s="4">
        <v>460</v>
      </c>
      <c r="E57" s="5">
        <v>468</v>
      </c>
      <c r="F57" s="5">
        <v>597</v>
      </c>
      <c r="G57" s="5">
        <v>830</v>
      </c>
      <c r="H57" s="5">
        <v>552</v>
      </c>
      <c r="I57" s="5">
        <v>563</v>
      </c>
      <c r="J57" s="5">
        <v>649</v>
      </c>
      <c r="K57" s="5">
        <v>591</v>
      </c>
      <c r="L57" s="4">
        <v>591</v>
      </c>
      <c r="M57" s="5">
        <v>685</v>
      </c>
      <c r="N57" s="5">
        <v>907</v>
      </c>
      <c r="O57" s="5">
        <f>SUM(Tabela3239[[#This Row],[jan/23]:[dez/23]])</f>
        <v>7464</v>
      </c>
    </row>
    <row r="58" spans="1:15" x14ac:dyDescent="0.25">
      <c r="A58" s="4" t="s">
        <v>115</v>
      </c>
      <c r="B58" s="4" t="s">
        <v>600</v>
      </c>
      <c r="C58" s="4">
        <v>530</v>
      </c>
      <c r="D58" s="4">
        <v>712</v>
      </c>
      <c r="E58" s="4">
        <v>881</v>
      </c>
      <c r="F58" s="4">
        <v>405</v>
      </c>
      <c r="G58" s="5">
        <v>480</v>
      </c>
      <c r="H58" s="4">
        <v>608</v>
      </c>
      <c r="I58" s="5">
        <v>512</v>
      </c>
      <c r="J58" s="5">
        <v>599</v>
      </c>
      <c r="K58" s="4">
        <v>379</v>
      </c>
      <c r="L58" s="5">
        <v>814</v>
      </c>
      <c r="M58" s="5">
        <v>425</v>
      </c>
      <c r="N58" s="5">
        <v>965</v>
      </c>
      <c r="O58" s="5">
        <f>SUM(Tabela3239[[#This Row],[jan/23]:[dez/23]])</f>
        <v>7310</v>
      </c>
    </row>
    <row r="59" spans="1:15" x14ac:dyDescent="0.25">
      <c r="A59" s="4" t="s">
        <v>117</v>
      </c>
      <c r="B59" s="4" t="s">
        <v>535</v>
      </c>
      <c r="C59" s="4">
        <v>664</v>
      </c>
      <c r="D59" s="5">
        <v>578</v>
      </c>
      <c r="E59" s="5">
        <v>620</v>
      </c>
      <c r="F59" s="4">
        <v>605</v>
      </c>
      <c r="G59" s="4">
        <v>471</v>
      </c>
      <c r="H59" s="5">
        <v>441</v>
      </c>
      <c r="I59" s="5">
        <v>630</v>
      </c>
      <c r="J59" s="5">
        <v>739</v>
      </c>
      <c r="K59" s="5">
        <v>678</v>
      </c>
      <c r="L59" s="4">
        <v>496</v>
      </c>
      <c r="M59" s="5">
        <v>450</v>
      </c>
      <c r="N59" s="4">
        <v>395</v>
      </c>
      <c r="O59" s="5">
        <f>SUM(Tabela3239[[#This Row],[jan/23]:[dez/23]])</f>
        <v>6767</v>
      </c>
    </row>
    <row r="60" spans="1:15" x14ac:dyDescent="0.25">
      <c r="A60" s="4" t="s">
        <v>119</v>
      </c>
      <c r="B60" s="4" t="s">
        <v>24</v>
      </c>
      <c r="C60" s="4">
        <v>10</v>
      </c>
      <c r="D60" s="4">
        <v>4</v>
      </c>
      <c r="E60" s="4">
        <v>2</v>
      </c>
      <c r="F60" s="4">
        <v>2</v>
      </c>
      <c r="G60" s="4">
        <v>4</v>
      </c>
      <c r="H60" s="4">
        <v>3</v>
      </c>
      <c r="I60" s="5">
        <v>1</v>
      </c>
      <c r="J60" s="5">
        <v>6</v>
      </c>
      <c r="K60" s="4">
        <v>89</v>
      </c>
      <c r="L60" s="4">
        <v>231</v>
      </c>
      <c r="M60" s="5">
        <v>2539</v>
      </c>
      <c r="N60" s="5">
        <v>3708</v>
      </c>
      <c r="O60" s="5">
        <f>SUM(Tabela3239[[#This Row],[jan/23]:[dez/23]])</f>
        <v>6599</v>
      </c>
    </row>
    <row r="61" spans="1:15" x14ac:dyDescent="0.25">
      <c r="A61" s="4" t="s">
        <v>121</v>
      </c>
      <c r="B61" s="4" t="s">
        <v>90</v>
      </c>
      <c r="C61" s="4">
        <v>518</v>
      </c>
      <c r="D61" s="4">
        <v>460</v>
      </c>
      <c r="E61" s="4">
        <v>451</v>
      </c>
      <c r="F61" s="4">
        <v>773</v>
      </c>
      <c r="G61" s="4">
        <v>503</v>
      </c>
      <c r="H61" s="4">
        <v>615</v>
      </c>
      <c r="I61" s="4">
        <v>532</v>
      </c>
      <c r="J61" s="4">
        <v>530</v>
      </c>
      <c r="K61" s="4">
        <v>544</v>
      </c>
      <c r="L61" s="4">
        <v>431</v>
      </c>
      <c r="M61" s="4">
        <v>489</v>
      </c>
      <c r="N61" s="4">
        <v>553</v>
      </c>
      <c r="O61" s="5">
        <f>SUM(Tabela3239[[#This Row],[jan/23]:[dez/23]])</f>
        <v>6399</v>
      </c>
    </row>
    <row r="62" spans="1:15" x14ac:dyDescent="0.25">
      <c r="A62" s="4" t="s">
        <v>123</v>
      </c>
      <c r="B62" s="4" t="s">
        <v>446</v>
      </c>
      <c r="C62" s="4">
        <v>495</v>
      </c>
      <c r="D62" s="4">
        <v>460</v>
      </c>
      <c r="E62" s="4">
        <v>490</v>
      </c>
      <c r="F62" s="4">
        <v>595</v>
      </c>
      <c r="G62" s="4">
        <v>531</v>
      </c>
      <c r="H62" s="4">
        <v>732</v>
      </c>
      <c r="I62" s="4">
        <v>389</v>
      </c>
      <c r="J62" s="4">
        <v>523</v>
      </c>
      <c r="K62" s="4">
        <v>486</v>
      </c>
      <c r="L62" s="4">
        <v>533</v>
      </c>
      <c r="M62" s="4">
        <v>390</v>
      </c>
      <c r="N62" s="4">
        <v>731</v>
      </c>
      <c r="O62" s="5">
        <f>SUM(Tabela3239[[#This Row],[jan/23]:[dez/23]])</f>
        <v>6355</v>
      </c>
    </row>
    <row r="63" spans="1:15" x14ac:dyDescent="0.25">
      <c r="A63" s="4" t="s">
        <v>125</v>
      </c>
      <c r="B63" s="4" t="s">
        <v>116</v>
      </c>
      <c r="C63" s="4">
        <v>594</v>
      </c>
      <c r="D63" s="5">
        <v>1189</v>
      </c>
      <c r="E63" s="5">
        <v>1222</v>
      </c>
      <c r="F63" s="4">
        <v>398</v>
      </c>
      <c r="G63" s="4">
        <v>365</v>
      </c>
      <c r="H63" s="4">
        <v>414</v>
      </c>
      <c r="I63" s="4">
        <v>442</v>
      </c>
      <c r="J63" s="4">
        <v>328</v>
      </c>
      <c r="K63" s="4">
        <v>315</v>
      </c>
      <c r="L63" s="4">
        <v>363</v>
      </c>
      <c r="M63" s="4">
        <v>374</v>
      </c>
      <c r="N63" s="4">
        <v>286</v>
      </c>
      <c r="O63" s="5">
        <f>SUM(Tabela3239[[#This Row],[jan/23]:[dez/23]])</f>
        <v>6290</v>
      </c>
    </row>
    <row r="64" spans="1:15" x14ac:dyDescent="0.25">
      <c r="A64" s="4" t="s">
        <v>127</v>
      </c>
      <c r="B64" s="4" t="s">
        <v>601</v>
      </c>
      <c r="C64" s="5">
        <v>1229</v>
      </c>
      <c r="D64" s="4">
        <v>907</v>
      </c>
      <c r="E64" s="4">
        <v>619</v>
      </c>
      <c r="F64" s="4">
        <v>390</v>
      </c>
      <c r="G64" s="4">
        <v>334</v>
      </c>
      <c r="H64" s="4">
        <v>374</v>
      </c>
      <c r="I64" s="4">
        <v>338</v>
      </c>
      <c r="J64" s="4">
        <v>279</v>
      </c>
      <c r="K64" s="4">
        <v>236</v>
      </c>
      <c r="L64" s="5">
        <v>241</v>
      </c>
      <c r="M64" s="4">
        <v>579</v>
      </c>
      <c r="N64" s="5">
        <v>441</v>
      </c>
      <c r="O64" s="5">
        <f>SUM(Tabela3239[[#This Row],[jan/23]:[dez/23]])</f>
        <v>5967</v>
      </c>
    </row>
    <row r="65" spans="1:15" x14ac:dyDescent="0.25">
      <c r="A65" s="4" t="s">
        <v>129</v>
      </c>
      <c r="B65" s="4" t="s">
        <v>647</v>
      </c>
      <c r="C65" s="4">
        <v>384</v>
      </c>
      <c r="D65" s="4">
        <v>291</v>
      </c>
      <c r="E65" s="4">
        <v>373</v>
      </c>
      <c r="F65" s="4">
        <v>341</v>
      </c>
      <c r="G65" s="4">
        <v>304</v>
      </c>
      <c r="H65" s="4">
        <v>359</v>
      </c>
      <c r="I65" s="4">
        <v>691</v>
      </c>
      <c r="J65" s="4">
        <v>751</v>
      </c>
      <c r="K65" s="5">
        <v>634</v>
      </c>
      <c r="L65" s="4">
        <v>538</v>
      </c>
      <c r="M65" s="4">
        <v>381</v>
      </c>
      <c r="N65" s="4">
        <v>477</v>
      </c>
      <c r="O65" s="5">
        <f>SUM(Tabela3239[[#This Row],[jan/23]:[dez/23]])</f>
        <v>5524</v>
      </c>
    </row>
    <row r="66" spans="1:15" x14ac:dyDescent="0.25">
      <c r="A66" s="4" t="s">
        <v>131</v>
      </c>
      <c r="B66" s="4" t="s">
        <v>390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5">
        <v>2675</v>
      </c>
      <c r="N66" s="5">
        <v>2398</v>
      </c>
      <c r="O66" s="5">
        <f>SUM(Tabela3239[[#This Row],[jan/23]:[dez/23]])</f>
        <v>5073</v>
      </c>
    </row>
    <row r="67" spans="1:15" x14ac:dyDescent="0.25">
      <c r="A67" s="4" t="s">
        <v>133</v>
      </c>
      <c r="B67" s="4" t="s">
        <v>408</v>
      </c>
      <c r="C67" s="4">
        <v>520</v>
      </c>
      <c r="D67" s="4">
        <v>436</v>
      </c>
      <c r="E67" s="4">
        <v>524</v>
      </c>
      <c r="F67" s="4">
        <v>416</v>
      </c>
      <c r="G67" s="4">
        <v>395</v>
      </c>
      <c r="H67" s="4">
        <v>394</v>
      </c>
      <c r="I67" s="4">
        <v>355</v>
      </c>
      <c r="J67" s="4">
        <v>405</v>
      </c>
      <c r="K67" s="4">
        <v>345</v>
      </c>
      <c r="L67" s="4">
        <v>294</v>
      </c>
      <c r="M67" s="4">
        <v>343</v>
      </c>
      <c r="N67" s="4">
        <v>378</v>
      </c>
      <c r="O67" s="5">
        <f>SUM(Tabela3239[[#This Row],[jan/23]:[dez/23]])</f>
        <v>4805</v>
      </c>
    </row>
    <row r="68" spans="1:15" x14ac:dyDescent="0.25">
      <c r="A68" s="4" t="s">
        <v>135</v>
      </c>
      <c r="B68" s="4" t="s">
        <v>536</v>
      </c>
      <c r="C68" s="4">
        <v>411</v>
      </c>
      <c r="D68" s="4">
        <v>380</v>
      </c>
      <c r="E68" s="4">
        <v>466</v>
      </c>
      <c r="F68" s="4">
        <v>353</v>
      </c>
      <c r="G68" s="4">
        <v>400</v>
      </c>
      <c r="H68" s="4">
        <v>356</v>
      </c>
      <c r="I68" s="4">
        <v>399</v>
      </c>
      <c r="J68" s="4">
        <v>505</v>
      </c>
      <c r="K68" s="4">
        <v>403</v>
      </c>
      <c r="L68" s="4">
        <v>362</v>
      </c>
      <c r="M68" s="4">
        <v>337</v>
      </c>
      <c r="N68" s="4">
        <v>345</v>
      </c>
      <c r="O68" s="5">
        <f>SUM(Tabela3239[[#This Row],[jan/23]:[dez/23]])</f>
        <v>4717</v>
      </c>
    </row>
    <row r="69" spans="1:15" x14ac:dyDescent="0.25">
      <c r="A69" s="4" t="s">
        <v>137</v>
      </c>
      <c r="B69" s="4" t="s">
        <v>196</v>
      </c>
      <c r="C69" s="4">
        <v>381</v>
      </c>
      <c r="D69" s="4">
        <v>278</v>
      </c>
      <c r="E69" s="4">
        <v>306</v>
      </c>
      <c r="F69" s="4">
        <v>262</v>
      </c>
      <c r="G69" s="4">
        <v>311</v>
      </c>
      <c r="H69" s="4">
        <v>355</v>
      </c>
      <c r="I69" s="4">
        <v>665</v>
      </c>
      <c r="J69" s="4">
        <v>258</v>
      </c>
      <c r="K69" s="4">
        <v>179</v>
      </c>
      <c r="L69" s="4">
        <v>516</v>
      </c>
      <c r="M69" s="4">
        <v>490</v>
      </c>
      <c r="N69" s="4">
        <v>504</v>
      </c>
      <c r="O69" s="5">
        <f>SUM(Tabela3239[[#This Row],[jan/23]:[dez/23]])</f>
        <v>4505</v>
      </c>
    </row>
    <row r="70" spans="1:15" x14ac:dyDescent="0.25">
      <c r="A70" s="4" t="s">
        <v>139</v>
      </c>
      <c r="B70" s="4" t="s">
        <v>214</v>
      </c>
      <c r="C70" s="4">
        <v>322</v>
      </c>
      <c r="D70" s="4">
        <v>229</v>
      </c>
      <c r="E70" s="4">
        <v>351</v>
      </c>
      <c r="F70" s="4">
        <v>183</v>
      </c>
      <c r="G70" s="4">
        <v>271</v>
      </c>
      <c r="H70" s="4">
        <v>347</v>
      </c>
      <c r="I70" s="4">
        <v>390</v>
      </c>
      <c r="J70" s="4">
        <v>411</v>
      </c>
      <c r="K70" s="4">
        <v>540</v>
      </c>
      <c r="L70" s="5">
        <v>495</v>
      </c>
      <c r="M70" s="4">
        <v>463</v>
      </c>
      <c r="N70" s="4">
        <v>483</v>
      </c>
      <c r="O70" s="5">
        <f>SUM(Tabela3239[[#This Row],[jan/23]:[dez/23]])</f>
        <v>4485</v>
      </c>
    </row>
    <row r="71" spans="1:15" x14ac:dyDescent="0.25">
      <c r="A71" s="4" t="s">
        <v>141</v>
      </c>
      <c r="B71" s="4" t="s">
        <v>174</v>
      </c>
      <c r="C71" s="4">
        <v>233</v>
      </c>
      <c r="D71" s="4">
        <v>307</v>
      </c>
      <c r="E71" s="4">
        <v>446</v>
      </c>
      <c r="F71" s="4">
        <v>218</v>
      </c>
      <c r="G71" s="4">
        <v>229</v>
      </c>
      <c r="H71" s="4">
        <v>351</v>
      </c>
      <c r="I71" s="4">
        <v>266</v>
      </c>
      <c r="J71" s="4">
        <v>405</v>
      </c>
      <c r="K71" s="4">
        <v>494</v>
      </c>
      <c r="L71" s="4">
        <v>437</v>
      </c>
      <c r="M71" s="4">
        <v>339</v>
      </c>
      <c r="N71" s="4">
        <v>646</v>
      </c>
      <c r="O71" s="5">
        <f>SUM(Tabela3239[[#This Row],[jan/23]:[dez/23]])</f>
        <v>4371</v>
      </c>
    </row>
    <row r="72" spans="1:15" x14ac:dyDescent="0.25">
      <c r="A72" s="4" t="s">
        <v>143</v>
      </c>
      <c r="B72" s="4" t="s">
        <v>699</v>
      </c>
      <c r="C72" s="4">
        <v>577</v>
      </c>
      <c r="D72" s="4">
        <v>374</v>
      </c>
      <c r="E72" s="4">
        <v>363</v>
      </c>
      <c r="F72" s="4">
        <v>478</v>
      </c>
      <c r="G72" s="4">
        <v>547</v>
      </c>
      <c r="H72" s="4">
        <v>215</v>
      </c>
      <c r="I72" s="4">
        <v>123</v>
      </c>
      <c r="J72" s="4">
        <v>189</v>
      </c>
      <c r="K72" s="4">
        <v>317</v>
      </c>
      <c r="L72" s="5">
        <v>296</v>
      </c>
      <c r="M72" s="4">
        <v>447</v>
      </c>
      <c r="N72" s="4">
        <v>403</v>
      </c>
      <c r="O72" s="5">
        <f>SUM(Tabela3239[[#This Row],[jan/23]:[dez/23]])</f>
        <v>4329</v>
      </c>
    </row>
    <row r="73" spans="1:15" x14ac:dyDescent="0.25">
      <c r="A73" s="4" t="s">
        <v>145</v>
      </c>
      <c r="B73" s="4" t="s">
        <v>322</v>
      </c>
      <c r="C73" s="4">
        <v>303</v>
      </c>
      <c r="D73" s="4">
        <v>387</v>
      </c>
      <c r="E73" s="4">
        <v>538</v>
      </c>
      <c r="F73" s="4">
        <v>520</v>
      </c>
      <c r="G73" s="4">
        <v>391</v>
      </c>
      <c r="H73" s="4">
        <v>442</v>
      </c>
      <c r="I73" s="4">
        <v>332</v>
      </c>
      <c r="J73" s="4">
        <v>379</v>
      </c>
      <c r="K73" s="4">
        <v>320</v>
      </c>
      <c r="L73" s="4">
        <v>215</v>
      </c>
      <c r="M73" s="4">
        <v>262</v>
      </c>
      <c r="N73" s="4">
        <v>221</v>
      </c>
      <c r="O73" s="5">
        <f>SUM(Tabela3239[[#This Row],[jan/23]:[dez/23]])</f>
        <v>4310</v>
      </c>
    </row>
    <row r="74" spans="1:15" x14ac:dyDescent="0.25">
      <c r="A74" s="4" t="s">
        <v>147</v>
      </c>
      <c r="B74" s="4" t="s">
        <v>579</v>
      </c>
      <c r="C74" s="4">
        <v>372</v>
      </c>
      <c r="D74" s="4">
        <v>267</v>
      </c>
      <c r="E74" s="4">
        <v>511</v>
      </c>
      <c r="F74" s="4">
        <v>354</v>
      </c>
      <c r="G74" s="4">
        <v>359</v>
      </c>
      <c r="H74" s="4">
        <v>380</v>
      </c>
      <c r="I74" s="4">
        <v>278</v>
      </c>
      <c r="J74" s="4">
        <v>258</v>
      </c>
      <c r="K74" s="4">
        <v>303</v>
      </c>
      <c r="L74" s="4">
        <v>247</v>
      </c>
      <c r="M74" s="4">
        <v>251</v>
      </c>
      <c r="N74" s="4">
        <v>409</v>
      </c>
      <c r="O74" s="5">
        <f>SUM(Tabela3239[[#This Row],[jan/23]:[dez/23]])</f>
        <v>3989</v>
      </c>
    </row>
    <row r="75" spans="1:15" x14ac:dyDescent="0.25">
      <c r="A75" s="4" t="s">
        <v>149</v>
      </c>
      <c r="B75" s="4" t="s">
        <v>570</v>
      </c>
      <c r="C75" s="4">
        <v>279</v>
      </c>
      <c r="D75" s="4">
        <v>311</v>
      </c>
      <c r="E75" s="4">
        <v>310</v>
      </c>
      <c r="F75" s="4">
        <v>301</v>
      </c>
      <c r="G75" s="4">
        <v>327</v>
      </c>
      <c r="H75" s="4">
        <v>287</v>
      </c>
      <c r="I75" s="4">
        <v>309</v>
      </c>
      <c r="J75" s="4">
        <v>276</v>
      </c>
      <c r="K75" s="4">
        <v>260</v>
      </c>
      <c r="L75" s="4">
        <v>178</v>
      </c>
      <c r="M75" s="4">
        <v>410</v>
      </c>
      <c r="N75" s="4">
        <v>582</v>
      </c>
      <c r="O75" s="5">
        <f>SUM(Tabela3239[[#This Row],[jan/23]:[dez/23]])</f>
        <v>3830</v>
      </c>
    </row>
    <row r="76" spans="1:15" x14ac:dyDescent="0.25">
      <c r="A76" s="4" t="s">
        <v>151</v>
      </c>
      <c r="B76" s="4" t="s">
        <v>110</v>
      </c>
      <c r="C76" s="4">
        <v>266</v>
      </c>
      <c r="D76" s="4">
        <v>230</v>
      </c>
      <c r="E76" s="4">
        <v>326</v>
      </c>
      <c r="F76" s="4">
        <v>307</v>
      </c>
      <c r="G76" s="4">
        <v>289</v>
      </c>
      <c r="H76" s="4">
        <v>387</v>
      </c>
      <c r="I76" s="4">
        <v>358</v>
      </c>
      <c r="J76" s="4">
        <v>407</v>
      </c>
      <c r="K76" s="4">
        <v>355</v>
      </c>
      <c r="L76" s="4">
        <v>294</v>
      </c>
      <c r="M76" s="4">
        <v>263</v>
      </c>
      <c r="N76" s="4">
        <v>345</v>
      </c>
      <c r="O76" s="5">
        <f>SUM(Tabela3239[[#This Row],[jan/23]:[dez/23]])</f>
        <v>3827</v>
      </c>
    </row>
    <row r="77" spans="1:15" x14ac:dyDescent="0.25">
      <c r="A77" s="4" t="s">
        <v>153</v>
      </c>
      <c r="B77" s="4" t="s">
        <v>136</v>
      </c>
      <c r="C77" s="4">
        <v>319</v>
      </c>
      <c r="D77" s="4">
        <v>319</v>
      </c>
      <c r="E77" s="4">
        <v>355</v>
      </c>
      <c r="F77" s="4">
        <v>345</v>
      </c>
      <c r="G77" s="4">
        <v>299</v>
      </c>
      <c r="H77" s="4">
        <v>284</v>
      </c>
      <c r="I77" s="4">
        <v>336</v>
      </c>
      <c r="J77" s="4">
        <v>309</v>
      </c>
      <c r="K77" s="4">
        <v>193</v>
      </c>
      <c r="L77" s="4">
        <v>251</v>
      </c>
      <c r="M77" s="4">
        <v>374</v>
      </c>
      <c r="N77" s="4">
        <v>402</v>
      </c>
      <c r="O77" s="5">
        <f>SUM(Tabela3239[[#This Row],[jan/23]:[dez/23]])</f>
        <v>3786</v>
      </c>
    </row>
    <row r="78" spans="1:15" x14ac:dyDescent="0.25">
      <c r="A78" s="4" t="s">
        <v>155</v>
      </c>
      <c r="B78" s="4" t="s">
        <v>597</v>
      </c>
      <c r="C78" s="4">
        <v>416</v>
      </c>
      <c r="D78" s="4">
        <v>406</v>
      </c>
      <c r="E78" s="4">
        <v>477</v>
      </c>
      <c r="F78" s="4">
        <v>392</v>
      </c>
      <c r="G78" s="4">
        <v>380</v>
      </c>
      <c r="H78" s="4">
        <v>327</v>
      </c>
      <c r="I78" s="4">
        <v>193</v>
      </c>
      <c r="J78" s="4">
        <v>310</v>
      </c>
      <c r="K78" s="4">
        <v>279</v>
      </c>
      <c r="L78" s="4">
        <v>190</v>
      </c>
      <c r="M78" s="4">
        <v>132</v>
      </c>
      <c r="N78" s="4">
        <v>237</v>
      </c>
      <c r="O78" s="5">
        <f>SUM(Tabela3239[[#This Row],[jan/23]:[dez/23]])</f>
        <v>3739</v>
      </c>
    </row>
    <row r="79" spans="1:15" x14ac:dyDescent="0.25">
      <c r="A79" s="4" t="s">
        <v>157</v>
      </c>
      <c r="B79" s="4" t="s">
        <v>226</v>
      </c>
      <c r="C79" s="4">
        <v>284</v>
      </c>
      <c r="D79" s="4">
        <v>337</v>
      </c>
      <c r="E79" s="4">
        <v>620</v>
      </c>
      <c r="F79" s="4">
        <v>272</v>
      </c>
      <c r="G79" s="4">
        <v>267</v>
      </c>
      <c r="H79" s="4">
        <v>537</v>
      </c>
      <c r="I79" s="4">
        <v>393</v>
      </c>
      <c r="J79" s="4">
        <v>273</v>
      </c>
      <c r="K79" s="4">
        <v>181</v>
      </c>
      <c r="L79" s="4">
        <v>212</v>
      </c>
      <c r="M79" s="4">
        <v>123</v>
      </c>
      <c r="N79" s="4">
        <v>184</v>
      </c>
      <c r="O79" s="5">
        <f>SUM(Tabela3239[[#This Row],[jan/23]:[dez/23]])</f>
        <v>3683</v>
      </c>
    </row>
    <row r="80" spans="1:15" x14ac:dyDescent="0.25">
      <c r="A80" s="4" t="s">
        <v>159</v>
      </c>
      <c r="B80" s="4" t="s">
        <v>102</v>
      </c>
      <c r="C80" s="4">
        <v>263</v>
      </c>
      <c r="D80" s="4">
        <v>213</v>
      </c>
      <c r="E80" s="4">
        <v>477</v>
      </c>
      <c r="F80" s="4">
        <v>302</v>
      </c>
      <c r="G80" s="4">
        <v>430</v>
      </c>
      <c r="H80" s="4">
        <v>325</v>
      </c>
      <c r="I80" s="4">
        <v>329</v>
      </c>
      <c r="J80" s="4">
        <v>263</v>
      </c>
      <c r="K80" s="4">
        <v>226</v>
      </c>
      <c r="L80" s="4">
        <v>202</v>
      </c>
      <c r="M80" s="4">
        <v>218</v>
      </c>
      <c r="N80" s="4">
        <v>358</v>
      </c>
      <c r="O80" s="5">
        <f>SUM(Tabela3239[[#This Row],[jan/23]:[dez/23]])</f>
        <v>3606</v>
      </c>
    </row>
    <row r="81" spans="1:15" x14ac:dyDescent="0.25">
      <c r="A81" s="4" t="s">
        <v>163</v>
      </c>
      <c r="B81" s="4" t="s">
        <v>256</v>
      </c>
      <c r="C81" s="4">
        <v>406</v>
      </c>
      <c r="D81" s="4">
        <v>302</v>
      </c>
      <c r="E81" s="4">
        <v>416</v>
      </c>
      <c r="F81" s="4">
        <v>383</v>
      </c>
      <c r="G81" s="4">
        <v>314</v>
      </c>
      <c r="H81" s="4">
        <v>288</v>
      </c>
      <c r="I81" s="4">
        <v>320</v>
      </c>
      <c r="J81" s="4">
        <v>340</v>
      </c>
      <c r="K81" s="4">
        <v>267</v>
      </c>
      <c r="L81" s="4">
        <v>169</v>
      </c>
      <c r="M81" s="4">
        <v>154</v>
      </c>
      <c r="N81" s="4">
        <v>228</v>
      </c>
      <c r="O81" s="5">
        <f>SUM(Tabela3239[[#This Row],[jan/23]:[dez/23]])</f>
        <v>3587</v>
      </c>
    </row>
    <row r="82" spans="1:15" x14ac:dyDescent="0.25">
      <c r="A82" s="4" t="s">
        <v>161</v>
      </c>
      <c r="B82" s="4" t="s">
        <v>190</v>
      </c>
      <c r="C82" s="4">
        <v>392</v>
      </c>
      <c r="D82" s="4">
        <v>314</v>
      </c>
      <c r="E82" s="4">
        <v>349</v>
      </c>
      <c r="F82" s="4">
        <v>258</v>
      </c>
      <c r="G82" s="4">
        <v>245</v>
      </c>
      <c r="H82" s="4">
        <v>266</v>
      </c>
      <c r="I82" s="4">
        <v>300</v>
      </c>
      <c r="J82" s="4">
        <v>300</v>
      </c>
      <c r="K82" s="4">
        <v>300</v>
      </c>
      <c r="L82" s="4">
        <v>200</v>
      </c>
      <c r="M82" s="4">
        <v>200</v>
      </c>
      <c r="N82" s="4">
        <v>319</v>
      </c>
      <c r="O82" s="5">
        <f>SUM(Tabela3239[[#This Row],[jan/23]:[dez/23]])</f>
        <v>3443</v>
      </c>
    </row>
    <row r="83" spans="1:15" x14ac:dyDescent="0.25">
      <c r="A83" s="4" t="s">
        <v>165</v>
      </c>
      <c r="B83" s="4" t="s">
        <v>124</v>
      </c>
      <c r="C83" s="4">
        <v>133</v>
      </c>
      <c r="D83" s="4">
        <v>83</v>
      </c>
      <c r="E83" s="4">
        <v>69</v>
      </c>
      <c r="F83" s="4">
        <v>210</v>
      </c>
      <c r="G83" s="4">
        <v>431</v>
      </c>
      <c r="H83" s="4">
        <v>424</v>
      </c>
      <c r="I83" s="4">
        <v>350</v>
      </c>
      <c r="J83" s="4">
        <v>359</v>
      </c>
      <c r="K83" s="4">
        <v>344</v>
      </c>
      <c r="L83" s="4">
        <v>370</v>
      </c>
      <c r="M83" s="5">
        <v>314</v>
      </c>
      <c r="N83" s="5">
        <v>353</v>
      </c>
      <c r="O83" s="5">
        <f>SUM(Tabela3239[[#This Row],[jan/23]:[dez/23]])</f>
        <v>3440</v>
      </c>
    </row>
    <row r="84" spans="1:15" x14ac:dyDescent="0.25">
      <c r="A84" s="4" t="s">
        <v>167</v>
      </c>
      <c r="B84" s="4" t="s">
        <v>230</v>
      </c>
      <c r="C84" s="4">
        <v>220</v>
      </c>
      <c r="D84" s="4">
        <v>208</v>
      </c>
      <c r="E84" s="4">
        <v>272</v>
      </c>
      <c r="F84" s="4">
        <v>280</v>
      </c>
      <c r="G84" s="4">
        <v>308</v>
      </c>
      <c r="H84" s="4">
        <v>322</v>
      </c>
      <c r="I84" s="4">
        <v>313</v>
      </c>
      <c r="J84" s="4">
        <v>275</v>
      </c>
      <c r="K84" s="4">
        <v>207</v>
      </c>
      <c r="L84" s="4">
        <v>226</v>
      </c>
      <c r="M84" s="4">
        <v>300</v>
      </c>
      <c r="N84" s="4">
        <v>378</v>
      </c>
      <c r="O84" s="5">
        <f>SUM(Tabela3239[[#This Row],[jan/23]:[dez/23]])</f>
        <v>3309</v>
      </c>
    </row>
    <row r="85" spans="1:15" x14ac:dyDescent="0.25">
      <c r="A85" s="4" t="s">
        <v>169</v>
      </c>
      <c r="B85" s="4" t="s">
        <v>790</v>
      </c>
      <c r="C85" s="4">
        <v>405</v>
      </c>
      <c r="D85" s="4">
        <v>282</v>
      </c>
      <c r="E85" s="4">
        <v>372</v>
      </c>
      <c r="F85" s="4">
        <v>305</v>
      </c>
      <c r="G85" s="4">
        <v>359</v>
      </c>
      <c r="H85" s="4">
        <v>165</v>
      </c>
      <c r="I85" s="4">
        <v>158</v>
      </c>
      <c r="J85" s="4">
        <v>231</v>
      </c>
      <c r="K85" s="4">
        <v>315</v>
      </c>
      <c r="L85" s="4">
        <v>336</v>
      </c>
      <c r="M85" s="4">
        <v>91</v>
      </c>
      <c r="N85" s="4">
        <v>35</v>
      </c>
      <c r="O85" s="5">
        <f>SUM(Tabela3239[[#This Row],[jan/23]:[dez/23]])</f>
        <v>3054</v>
      </c>
    </row>
    <row r="86" spans="1:15" x14ac:dyDescent="0.25">
      <c r="A86" s="4" t="s">
        <v>171</v>
      </c>
      <c r="B86" s="4" t="s">
        <v>250</v>
      </c>
      <c r="C86" s="4">
        <v>355</v>
      </c>
      <c r="D86" s="4">
        <v>380</v>
      </c>
      <c r="E86" s="4">
        <v>326</v>
      </c>
      <c r="F86" s="4">
        <v>186</v>
      </c>
      <c r="G86" s="4">
        <v>244</v>
      </c>
      <c r="H86" s="4">
        <v>233</v>
      </c>
      <c r="I86" s="4">
        <v>217</v>
      </c>
      <c r="J86" s="4">
        <v>237</v>
      </c>
      <c r="K86" s="4">
        <v>234</v>
      </c>
      <c r="L86" s="4">
        <v>165</v>
      </c>
      <c r="M86" s="4">
        <v>140</v>
      </c>
      <c r="N86" s="4">
        <v>188</v>
      </c>
      <c r="O86" s="5">
        <f>SUM(Tabela3239[[#This Row],[jan/23]:[dez/23]])</f>
        <v>2905</v>
      </c>
    </row>
    <row r="87" spans="1:15" x14ac:dyDescent="0.25">
      <c r="A87" s="4" t="s">
        <v>173</v>
      </c>
      <c r="B87" s="4" t="s">
        <v>613</v>
      </c>
      <c r="C87" s="4">
        <v>128</v>
      </c>
      <c r="D87" s="4">
        <v>124</v>
      </c>
      <c r="E87" s="4">
        <v>168</v>
      </c>
      <c r="F87" s="4">
        <v>89</v>
      </c>
      <c r="G87" s="4">
        <v>134</v>
      </c>
      <c r="H87" s="4">
        <v>106</v>
      </c>
      <c r="I87" s="4">
        <v>383</v>
      </c>
      <c r="J87" s="4">
        <v>423</v>
      </c>
      <c r="K87" s="4">
        <v>349</v>
      </c>
      <c r="L87" s="4">
        <v>334</v>
      </c>
      <c r="M87" s="4">
        <v>297</v>
      </c>
      <c r="N87" s="4">
        <v>267</v>
      </c>
      <c r="O87" s="5">
        <f>SUM(Tabela3239[[#This Row],[jan/23]:[dez/23]])</f>
        <v>2802</v>
      </c>
    </row>
    <row r="88" spans="1:15" x14ac:dyDescent="0.25">
      <c r="A88" s="4" t="s">
        <v>175</v>
      </c>
      <c r="B88" s="4" t="s">
        <v>696</v>
      </c>
      <c r="C88" s="4">
        <v>160</v>
      </c>
      <c r="D88" s="4">
        <v>200</v>
      </c>
      <c r="E88" s="4">
        <v>200</v>
      </c>
      <c r="F88" s="4">
        <v>200</v>
      </c>
      <c r="G88" s="4">
        <v>200</v>
      </c>
      <c r="H88" s="4">
        <v>281</v>
      </c>
      <c r="I88" s="4">
        <v>200</v>
      </c>
      <c r="J88" s="4">
        <v>150</v>
      </c>
      <c r="K88" s="4">
        <v>245</v>
      </c>
      <c r="L88" s="4">
        <v>120</v>
      </c>
      <c r="M88" s="4">
        <v>140</v>
      </c>
      <c r="N88" s="4">
        <v>200</v>
      </c>
      <c r="O88" s="5">
        <f>SUM(Tabela3239[[#This Row],[jan/23]:[dez/23]])</f>
        <v>2296</v>
      </c>
    </row>
    <row r="89" spans="1:15" x14ac:dyDescent="0.25">
      <c r="A89" s="4" t="s">
        <v>177</v>
      </c>
      <c r="B89" s="4" t="s">
        <v>683</v>
      </c>
      <c r="C89" s="4">
        <v>100</v>
      </c>
      <c r="D89" s="4">
        <v>110</v>
      </c>
      <c r="E89" s="4">
        <v>359</v>
      </c>
      <c r="F89" s="4">
        <v>328</v>
      </c>
      <c r="G89" s="4">
        <v>323</v>
      </c>
      <c r="H89" s="4">
        <v>272</v>
      </c>
      <c r="I89" s="4">
        <v>154</v>
      </c>
      <c r="J89" s="4">
        <v>166</v>
      </c>
      <c r="K89" s="4">
        <v>152</v>
      </c>
      <c r="L89" s="4">
        <v>62</v>
      </c>
      <c r="M89" s="4">
        <v>108</v>
      </c>
      <c r="N89" s="4">
        <v>138</v>
      </c>
      <c r="O89" s="5">
        <f>SUM(Tabela3239[[#This Row],[jan/23]:[dez/23]])</f>
        <v>2272</v>
      </c>
    </row>
    <row r="90" spans="1:15" x14ac:dyDescent="0.25">
      <c r="A90" s="4" t="s">
        <v>179</v>
      </c>
      <c r="B90" s="4" t="s">
        <v>114</v>
      </c>
      <c r="C90" s="4">
        <v>193</v>
      </c>
      <c r="D90" s="4">
        <v>150</v>
      </c>
      <c r="E90" s="4">
        <v>165</v>
      </c>
      <c r="F90" s="4">
        <v>175</v>
      </c>
      <c r="G90" s="4">
        <v>165</v>
      </c>
      <c r="H90" s="4">
        <v>181</v>
      </c>
      <c r="I90" s="4">
        <v>171</v>
      </c>
      <c r="J90" s="4">
        <v>178</v>
      </c>
      <c r="K90" s="4">
        <v>182</v>
      </c>
      <c r="L90" s="4">
        <v>170</v>
      </c>
      <c r="M90" s="4">
        <v>185</v>
      </c>
      <c r="N90" s="4">
        <v>229</v>
      </c>
      <c r="O90" s="5">
        <f>SUM(Tabela3239[[#This Row],[jan/23]:[dez/23]])</f>
        <v>2144</v>
      </c>
    </row>
    <row r="91" spans="1:15" x14ac:dyDescent="0.25">
      <c r="A91" s="4" t="s">
        <v>181</v>
      </c>
      <c r="B91" s="4" t="s">
        <v>607</v>
      </c>
      <c r="C91" s="4">
        <v>286</v>
      </c>
      <c r="D91" s="4">
        <v>250</v>
      </c>
      <c r="E91" s="4">
        <v>205</v>
      </c>
      <c r="F91" s="4">
        <v>164</v>
      </c>
      <c r="G91" s="4">
        <v>147</v>
      </c>
      <c r="H91" s="4">
        <v>187</v>
      </c>
      <c r="I91" s="4">
        <v>148</v>
      </c>
      <c r="J91" s="4">
        <v>161</v>
      </c>
      <c r="K91" s="4">
        <v>157</v>
      </c>
      <c r="L91" s="4">
        <v>157</v>
      </c>
      <c r="M91" s="4">
        <v>117</v>
      </c>
      <c r="N91" s="4">
        <v>87</v>
      </c>
      <c r="O91" s="5">
        <f>SUM(Tabela3239[[#This Row],[jan/23]:[dez/23]])</f>
        <v>2066</v>
      </c>
    </row>
    <row r="92" spans="1:15" x14ac:dyDescent="0.25">
      <c r="A92" s="4" t="s">
        <v>183</v>
      </c>
      <c r="B92" s="4" t="s">
        <v>602</v>
      </c>
      <c r="C92" s="4">
        <v>232</v>
      </c>
      <c r="D92" s="4">
        <v>193</v>
      </c>
      <c r="E92" s="4">
        <v>241</v>
      </c>
      <c r="F92" s="4">
        <v>132</v>
      </c>
      <c r="G92" s="4">
        <v>130</v>
      </c>
      <c r="H92" s="4">
        <v>177</v>
      </c>
      <c r="I92" s="4">
        <v>152</v>
      </c>
      <c r="J92" s="4">
        <v>134</v>
      </c>
      <c r="K92" s="4">
        <v>149</v>
      </c>
      <c r="L92" s="4">
        <v>179</v>
      </c>
      <c r="M92" s="4">
        <v>141</v>
      </c>
      <c r="N92" s="4">
        <v>177</v>
      </c>
      <c r="O92" s="5">
        <f>SUM(Tabela3239[[#This Row],[jan/23]:[dez/23]])</f>
        <v>2037</v>
      </c>
    </row>
    <row r="93" spans="1:15" x14ac:dyDescent="0.25">
      <c r="A93" s="4" t="s">
        <v>185</v>
      </c>
      <c r="B93" s="4" t="s">
        <v>791</v>
      </c>
      <c r="C93" s="4">
        <v>311</v>
      </c>
      <c r="D93" s="4">
        <v>90</v>
      </c>
      <c r="E93" s="4">
        <v>95</v>
      </c>
      <c r="F93" s="4">
        <v>78</v>
      </c>
      <c r="G93" s="4">
        <v>115</v>
      </c>
      <c r="H93" s="4">
        <v>58</v>
      </c>
      <c r="I93" s="4">
        <v>136</v>
      </c>
      <c r="J93" s="4">
        <v>113</v>
      </c>
      <c r="K93" s="4">
        <v>227</v>
      </c>
      <c r="L93" s="4">
        <v>439</v>
      </c>
      <c r="M93" s="4">
        <v>215</v>
      </c>
      <c r="N93" s="4">
        <v>92</v>
      </c>
      <c r="O93" s="5">
        <f>SUM(Tabela3239[[#This Row],[jan/23]:[dez/23]])</f>
        <v>1969</v>
      </c>
    </row>
    <row r="94" spans="1:15" x14ac:dyDescent="0.25">
      <c r="A94" s="4" t="s">
        <v>187</v>
      </c>
      <c r="B94" s="4" t="s">
        <v>749</v>
      </c>
      <c r="C94" s="4">
        <v>287</v>
      </c>
      <c r="D94" s="4">
        <v>255</v>
      </c>
      <c r="E94" s="4">
        <v>286</v>
      </c>
      <c r="F94" s="4">
        <v>212</v>
      </c>
      <c r="G94" s="4">
        <v>241</v>
      </c>
      <c r="H94" s="4">
        <v>200</v>
      </c>
      <c r="I94" s="4">
        <v>139</v>
      </c>
      <c r="J94" s="4">
        <v>105</v>
      </c>
      <c r="K94" s="4">
        <v>89</v>
      </c>
      <c r="L94" s="4">
        <v>52</v>
      </c>
      <c r="M94" s="4">
        <v>57</v>
      </c>
      <c r="N94" s="4">
        <v>36</v>
      </c>
      <c r="O94" s="5">
        <f>SUM(Tabela3239[[#This Row],[jan/23]:[dez/23]])</f>
        <v>1959</v>
      </c>
    </row>
    <row r="95" spans="1:15" x14ac:dyDescent="0.25">
      <c r="A95" s="4" t="s">
        <v>189</v>
      </c>
      <c r="B95" s="4" t="s">
        <v>228</v>
      </c>
      <c r="C95" s="4">
        <v>199</v>
      </c>
      <c r="D95" s="4">
        <v>146</v>
      </c>
      <c r="E95" s="4">
        <v>179</v>
      </c>
      <c r="F95" s="4">
        <v>170</v>
      </c>
      <c r="G95" s="4">
        <v>192</v>
      </c>
      <c r="H95" s="4">
        <v>165</v>
      </c>
      <c r="I95" s="4">
        <v>144</v>
      </c>
      <c r="J95" s="4">
        <v>152</v>
      </c>
      <c r="K95" s="4">
        <v>141</v>
      </c>
      <c r="L95" s="4">
        <v>139</v>
      </c>
      <c r="M95" s="4">
        <v>173</v>
      </c>
      <c r="N95" s="4">
        <v>157</v>
      </c>
      <c r="O95" s="5">
        <f>SUM(Tabela3239[[#This Row],[jan/23]:[dez/23]])</f>
        <v>1957</v>
      </c>
    </row>
    <row r="96" spans="1:15" x14ac:dyDescent="0.25">
      <c r="A96" s="4" t="s">
        <v>191</v>
      </c>
      <c r="B96" s="4" t="s">
        <v>160</v>
      </c>
      <c r="C96" s="4">
        <v>77</v>
      </c>
      <c r="D96" s="4">
        <v>66</v>
      </c>
      <c r="E96" s="4">
        <v>95</v>
      </c>
      <c r="F96" s="4">
        <v>142</v>
      </c>
      <c r="G96" s="4">
        <v>50</v>
      </c>
      <c r="H96" s="4">
        <v>66</v>
      </c>
      <c r="I96" s="4">
        <v>43</v>
      </c>
      <c r="J96" s="4">
        <v>161</v>
      </c>
      <c r="K96" s="4">
        <v>147</v>
      </c>
      <c r="L96" s="4">
        <v>391</v>
      </c>
      <c r="M96" s="4">
        <v>293</v>
      </c>
      <c r="N96" s="4">
        <v>412</v>
      </c>
      <c r="O96" s="5">
        <f>SUM(Tabela3239[[#This Row],[jan/23]:[dez/23]])</f>
        <v>1943</v>
      </c>
    </row>
    <row r="97" spans="1:15" x14ac:dyDescent="0.25">
      <c r="A97" s="4" t="s">
        <v>193</v>
      </c>
      <c r="B97" s="4" t="s">
        <v>448</v>
      </c>
      <c r="C97" s="4">
        <v>219</v>
      </c>
      <c r="D97" s="4">
        <v>159</v>
      </c>
      <c r="E97" s="4">
        <v>274</v>
      </c>
      <c r="F97" s="4">
        <v>268</v>
      </c>
      <c r="G97" s="4">
        <v>188</v>
      </c>
      <c r="H97" s="4">
        <v>74</v>
      </c>
      <c r="I97" s="4">
        <v>46</v>
      </c>
      <c r="J97" s="4">
        <v>154</v>
      </c>
      <c r="K97" s="4">
        <v>132</v>
      </c>
      <c r="L97" s="4">
        <v>125</v>
      </c>
      <c r="M97" s="4">
        <v>144</v>
      </c>
      <c r="N97" s="4">
        <v>156</v>
      </c>
      <c r="O97" s="5">
        <f>SUM(Tabela3239[[#This Row],[jan/23]:[dez/23]])</f>
        <v>1939</v>
      </c>
    </row>
    <row r="98" spans="1:15" x14ac:dyDescent="0.25">
      <c r="A98" s="4" t="s">
        <v>195</v>
      </c>
      <c r="B98" s="4" t="s">
        <v>690</v>
      </c>
      <c r="C98" s="4">
        <v>340</v>
      </c>
      <c r="D98" s="4">
        <v>233</v>
      </c>
      <c r="E98" s="4">
        <v>141</v>
      </c>
      <c r="F98" s="4">
        <v>141</v>
      </c>
      <c r="G98" s="4">
        <v>127</v>
      </c>
      <c r="H98" s="4">
        <v>95</v>
      </c>
      <c r="I98" s="4">
        <v>147</v>
      </c>
      <c r="J98" s="4">
        <v>133</v>
      </c>
      <c r="K98" s="4">
        <v>148</v>
      </c>
      <c r="L98" s="4">
        <v>118</v>
      </c>
      <c r="M98" s="4">
        <v>132</v>
      </c>
      <c r="N98" s="4">
        <v>123</v>
      </c>
      <c r="O98" s="5">
        <f>SUM(Tabela3239[[#This Row],[jan/23]:[dez/23]])</f>
        <v>1878</v>
      </c>
    </row>
    <row r="99" spans="1:15" x14ac:dyDescent="0.25">
      <c r="A99" s="4" t="s">
        <v>197</v>
      </c>
      <c r="B99" s="4" t="s">
        <v>140</v>
      </c>
      <c r="C99" s="4">
        <v>126</v>
      </c>
      <c r="D99" s="4">
        <v>141</v>
      </c>
      <c r="E99" s="4">
        <v>175</v>
      </c>
      <c r="F99" s="4">
        <v>167</v>
      </c>
      <c r="G99" s="4">
        <v>153</v>
      </c>
      <c r="H99" s="4">
        <v>144</v>
      </c>
      <c r="I99" s="4">
        <v>187</v>
      </c>
      <c r="J99" s="4">
        <v>183</v>
      </c>
      <c r="K99" s="4">
        <v>184</v>
      </c>
      <c r="L99" s="4">
        <v>125</v>
      </c>
      <c r="M99" s="4">
        <v>149</v>
      </c>
      <c r="N99" s="4">
        <v>140</v>
      </c>
      <c r="O99" s="5">
        <f>SUM(Tabela3239[[#This Row],[jan/23]:[dez/23]])</f>
        <v>1874</v>
      </c>
    </row>
    <row r="100" spans="1:15" x14ac:dyDescent="0.25">
      <c r="A100" s="4" t="s">
        <v>199</v>
      </c>
      <c r="B100" s="4" t="s">
        <v>424</v>
      </c>
      <c r="C100" s="4">
        <v>128</v>
      </c>
      <c r="D100" s="4">
        <v>117</v>
      </c>
      <c r="E100" s="4">
        <v>137</v>
      </c>
      <c r="F100" s="4">
        <v>184</v>
      </c>
      <c r="G100" s="4">
        <v>249</v>
      </c>
      <c r="H100" s="4">
        <v>152</v>
      </c>
      <c r="I100" s="4">
        <v>122</v>
      </c>
      <c r="J100" s="4">
        <v>112</v>
      </c>
      <c r="K100" s="4">
        <v>90</v>
      </c>
      <c r="L100" s="4">
        <v>148</v>
      </c>
      <c r="M100" s="4">
        <v>118</v>
      </c>
      <c r="N100" s="4">
        <v>291</v>
      </c>
      <c r="O100" s="5">
        <f>SUM(Tabela3239[[#This Row],[jan/23]:[dez/23]])</f>
        <v>1848</v>
      </c>
    </row>
    <row r="101" spans="1:15" x14ac:dyDescent="0.25">
      <c r="A101" s="4" t="s">
        <v>201</v>
      </c>
      <c r="B101" s="4" t="s">
        <v>551</v>
      </c>
      <c r="C101" s="4">
        <v>345</v>
      </c>
      <c r="D101" s="4">
        <v>269</v>
      </c>
      <c r="E101" s="4">
        <v>208</v>
      </c>
      <c r="F101" s="4">
        <v>187</v>
      </c>
      <c r="G101" s="4">
        <v>135</v>
      </c>
      <c r="H101" s="4">
        <v>109</v>
      </c>
      <c r="I101" s="4">
        <v>106</v>
      </c>
      <c r="J101" s="4">
        <v>82</v>
      </c>
      <c r="K101" s="4">
        <v>67</v>
      </c>
      <c r="L101" s="4">
        <v>48</v>
      </c>
      <c r="M101" s="4">
        <v>41</v>
      </c>
      <c r="N101" s="4">
        <v>40</v>
      </c>
      <c r="O101" s="5">
        <f>SUM(Tabela3239[[#This Row],[jan/23]:[dez/23]])</f>
        <v>1637</v>
      </c>
    </row>
    <row r="102" spans="1:15" x14ac:dyDescent="0.25">
      <c r="A102" s="4" t="s">
        <v>203</v>
      </c>
      <c r="B102" s="4" t="s">
        <v>392</v>
      </c>
      <c r="C102" s="4">
        <v>104</v>
      </c>
      <c r="D102" s="4">
        <v>134</v>
      </c>
      <c r="E102" s="4">
        <v>135</v>
      </c>
      <c r="F102" s="4">
        <v>134</v>
      </c>
      <c r="G102" s="4">
        <v>142</v>
      </c>
      <c r="H102" s="4">
        <v>161</v>
      </c>
      <c r="I102" s="4">
        <v>156</v>
      </c>
      <c r="J102" s="4">
        <v>198</v>
      </c>
      <c r="K102" s="4">
        <v>176</v>
      </c>
      <c r="L102" s="4">
        <v>118</v>
      </c>
      <c r="M102" s="4">
        <v>68</v>
      </c>
      <c r="N102" s="4">
        <v>83</v>
      </c>
      <c r="O102" s="5">
        <f>SUM(Tabela3239[[#This Row],[jan/23]:[dez/23]])</f>
        <v>1609</v>
      </c>
    </row>
    <row r="103" spans="1:15" x14ac:dyDescent="0.25">
      <c r="A103" s="4" t="s">
        <v>205</v>
      </c>
      <c r="B103" s="4" t="s">
        <v>310</v>
      </c>
      <c r="C103" s="4">
        <v>155</v>
      </c>
      <c r="D103" s="4">
        <v>103</v>
      </c>
      <c r="E103" s="4">
        <v>146</v>
      </c>
      <c r="F103" s="4">
        <v>97</v>
      </c>
      <c r="G103" s="4">
        <v>130</v>
      </c>
      <c r="H103" s="4">
        <v>156</v>
      </c>
      <c r="I103" s="4">
        <v>103</v>
      </c>
      <c r="J103" s="4">
        <v>130</v>
      </c>
      <c r="K103" s="4">
        <v>109</v>
      </c>
      <c r="L103" s="4">
        <v>109</v>
      </c>
      <c r="M103" s="4">
        <v>127</v>
      </c>
      <c r="N103" s="4">
        <v>138</v>
      </c>
      <c r="O103" s="5">
        <f>SUM(Tabela3239[[#This Row],[jan/23]:[dez/23]])</f>
        <v>1503</v>
      </c>
    </row>
    <row r="104" spans="1:15" x14ac:dyDescent="0.25">
      <c r="A104" s="4" t="s">
        <v>207</v>
      </c>
      <c r="B104" s="4" t="s">
        <v>577</v>
      </c>
      <c r="C104" s="4">
        <v>114</v>
      </c>
      <c r="D104" s="4">
        <v>109</v>
      </c>
      <c r="E104" s="4">
        <v>196</v>
      </c>
      <c r="F104" s="4">
        <v>111</v>
      </c>
      <c r="G104" s="4">
        <v>113</v>
      </c>
      <c r="H104" s="4">
        <v>123</v>
      </c>
      <c r="I104" s="4">
        <v>105</v>
      </c>
      <c r="J104" s="4">
        <v>104</v>
      </c>
      <c r="K104" s="4">
        <v>90</v>
      </c>
      <c r="L104" s="4">
        <v>113</v>
      </c>
      <c r="M104" s="4">
        <v>122</v>
      </c>
      <c r="N104" s="4">
        <v>153</v>
      </c>
      <c r="O104" s="5">
        <f>SUM(Tabela3239[[#This Row],[jan/23]:[dez/23]])</f>
        <v>1453</v>
      </c>
    </row>
    <row r="105" spans="1:15" x14ac:dyDescent="0.25">
      <c r="A105" s="4" t="s">
        <v>209</v>
      </c>
      <c r="B105" s="4" t="s">
        <v>796</v>
      </c>
      <c r="C105" s="4">
        <v>316</v>
      </c>
      <c r="D105" s="4">
        <v>133</v>
      </c>
      <c r="E105" s="4">
        <v>147</v>
      </c>
      <c r="F105" s="4">
        <v>135</v>
      </c>
      <c r="G105" s="4">
        <v>138</v>
      </c>
      <c r="H105" s="4">
        <v>79</v>
      </c>
      <c r="I105" s="4">
        <v>101</v>
      </c>
      <c r="J105" s="4">
        <v>120</v>
      </c>
      <c r="K105" s="4">
        <v>118</v>
      </c>
      <c r="L105" s="4">
        <v>116</v>
      </c>
      <c r="M105" s="4">
        <v>32</v>
      </c>
      <c r="N105" s="4">
        <v>14</v>
      </c>
      <c r="O105" s="5">
        <f>SUM(Tabela3239[[#This Row],[jan/23]:[dez/23]])</f>
        <v>1449</v>
      </c>
    </row>
    <row r="106" spans="1:15" x14ac:dyDescent="0.25">
      <c r="A106" s="4" t="s">
        <v>211</v>
      </c>
      <c r="B106" s="4" t="s">
        <v>152</v>
      </c>
      <c r="C106" s="4">
        <v>88</v>
      </c>
      <c r="D106" s="4">
        <v>97</v>
      </c>
      <c r="E106" s="4">
        <v>119</v>
      </c>
      <c r="F106" s="4">
        <v>117</v>
      </c>
      <c r="G106" s="4">
        <v>100</v>
      </c>
      <c r="H106" s="4">
        <v>86</v>
      </c>
      <c r="I106" s="4">
        <v>120</v>
      </c>
      <c r="J106" s="4">
        <v>107</v>
      </c>
      <c r="K106" s="4">
        <v>136</v>
      </c>
      <c r="L106" s="4">
        <v>120</v>
      </c>
      <c r="M106" s="4">
        <v>157</v>
      </c>
      <c r="N106" s="4">
        <v>125</v>
      </c>
      <c r="O106" s="5">
        <f>SUM(Tabela3239[[#This Row],[jan/23]:[dez/23]])</f>
        <v>1372</v>
      </c>
    </row>
    <row r="107" spans="1:15" x14ac:dyDescent="0.25">
      <c r="A107" s="4" t="s">
        <v>213</v>
      </c>
      <c r="B107" s="4" t="s">
        <v>514</v>
      </c>
      <c r="C107" s="4">
        <v>131</v>
      </c>
      <c r="D107" s="4">
        <v>92</v>
      </c>
      <c r="E107" s="4">
        <v>113</v>
      </c>
      <c r="F107" s="4">
        <v>94</v>
      </c>
      <c r="G107" s="4">
        <v>123</v>
      </c>
      <c r="H107" s="4">
        <v>124</v>
      </c>
      <c r="I107" s="4">
        <v>87</v>
      </c>
      <c r="J107" s="4">
        <v>93</v>
      </c>
      <c r="K107" s="4">
        <v>82</v>
      </c>
      <c r="L107" s="4">
        <v>89</v>
      </c>
      <c r="M107" s="4">
        <v>128</v>
      </c>
      <c r="N107" s="4">
        <v>124</v>
      </c>
      <c r="O107" s="5">
        <f>SUM(Tabela3239[[#This Row],[jan/23]:[dez/23]])</f>
        <v>1280</v>
      </c>
    </row>
    <row r="108" spans="1:15" x14ac:dyDescent="0.25">
      <c r="A108" s="4" t="s">
        <v>215</v>
      </c>
      <c r="B108" s="4" t="s">
        <v>508</v>
      </c>
      <c r="C108" s="4">
        <v>31</v>
      </c>
      <c r="D108" s="4">
        <v>112</v>
      </c>
      <c r="E108" s="4">
        <v>113</v>
      </c>
      <c r="F108" s="4">
        <v>100</v>
      </c>
      <c r="G108" s="4">
        <v>82</v>
      </c>
      <c r="H108" s="4">
        <v>157</v>
      </c>
      <c r="I108" s="4">
        <v>129</v>
      </c>
      <c r="J108" s="4">
        <v>216</v>
      </c>
      <c r="K108" s="4">
        <v>100</v>
      </c>
      <c r="L108" s="4">
        <v>42</v>
      </c>
      <c r="M108" s="4">
        <v>30</v>
      </c>
      <c r="N108" s="4">
        <v>46</v>
      </c>
      <c r="O108" s="5">
        <f>SUM(Tabela3239[[#This Row],[jan/23]:[dez/23]])</f>
        <v>1158</v>
      </c>
    </row>
    <row r="109" spans="1:15" x14ac:dyDescent="0.25">
      <c r="A109" s="4" t="s">
        <v>217</v>
      </c>
      <c r="B109" s="4" t="s">
        <v>788</v>
      </c>
      <c r="C109" s="4">
        <v>72</v>
      </c>
      <c r="D109" s="4">
        <v>49</v>
      </c>
      <c r="E109" s="4">
        <v>138</v>
      </c>
      <c r="F109" s="4">
        <v>159</v>
      </c>
      <c r="G109" s="4">
        <v>151</v>
      </c>
      <c r="H109" s="4">
        <v>118</v>
      </c>
      <c r="I109" s="4">
        <v>131</v>
      </c>
      <c r="J109" s="4">
        <v>86</v>
      </c>
      <c r="K109" s="4">
        <v>80</v>
      </c>
      <c r="L109" s="4">
        <v>42</v>
      </c>
      <c r="M109" s="4">
        <v>50</v>
      </c>
      <c r="N109" s="4">
        <v>35</v>
      </c>
      <c r="O109" s="5">
        <f>SUM(Tabela3239[[#This Row],[jan/23]:[dez/23]])</f>
        <v>1111</v>
      </c>
    </row>
    <row r="110" spans="1:15" x14ac:dyDescent="0.25">
      <c r="A110" s="4" t="s">
        <v>219</v>
      </c>
      <c r="B110" s="4" t="s">
        <v>202</v>
      </c>
      <c r="C110" s="4">
        <v>279</v>
      </c>
      <c r="D110" s="4">
        <v>185</v>
      </c>
      <c r="E110" s="4">
        <v>139</v>
      </c>
      <c r="F110" s="4">
        <v>111</v>
      </c>
      <c r="G110" s="4">
        <v>69</v>
      </c>
      <c r="H110" s="4">
        <v>37</v>
      </c>
      <c r="I110" s="4">
        <v>43</v>
      </c>
      <c r="J110" s="4">
        <v>42</v>
      </c>
      <c r="K110" s="4">
        <v>63</v>
      </c>
      <c r="L110" s="4">
        <v>50</v>
      </c>
      <c r="M110" s="4">
        <v>28</v>
      </c>
      <c r="N110" s="4">
        <v>35</v>
      </c>
      <c r="O110" s="5">
        <f>SUM(Tabela3239[[#This Row],[jan/23]:[dez/23]])</f>
        <v>1081</v>
      </c>
    </row>
    <row r="111" spans="1:15" x14ac:dyDescent="0.25">
      <c r="A111" s="4" t="s">
        <v>221</v>
      </c>
      <c r="B111" s="4" t="s">
        <v>348</v>
      </c>
      <c r="C111" s="4">
        <v>159</v>
      </c>
      <c r="D111" s="4">
        <v>82</v>
      </c>
      <c r="E111" s="4">
        <v>91</v>
      </c>
      <c r="F111" s="4">
        <v>78</v>
      </c>
      <c r="G111" s="4">
        <v>148</v>
      </c>
      <c r="H111" s="4">
        <v>58</v>
      </c>
      <c r="I111" s="4">
        <v>57</v>
      </c>
      <c r="J111" s="4">
        <v>71</v>
      </c>
      <c r="K111" s="4">
        <v>238</v>
      </c>
      <c r="L111" s="4">
        <v>32</v>
      </c>
      <c r="M111" s="4">
        <v>23</v>
      </c>
      <c r="N111" s="4">
        <v>19</v>
      </c>
      <c r="O111" s="5">
        <f>SUM(Tabela3239[[#This Row],[jan/23]:[dez/23]])</f>
        <v>1056</v>
      </c>
    </row>
    <row r="112" spans="1:15" x14ac:dyDescent="0.25">
      <c r="A112" s="4" t="s">
        <v>223</v>
      </c>
      <c r="B112" s="4" t="s">
        <v>364</v>
      </c>
      <c r="C112" s="4">
        <v>52</v>
      </c>
      <c r="D112" s="4">
        <v>61</v>
      </c>
      <c r="E112" s="4">
        <v>99</v>
      </c>
      <c r="F112" s="4">
        <v>134</v>
      </c>
      <c r="G112" s="4">
        <v>170</v>
      </c>
      <c r="H112" s="4">
        <v>146</v>
      </c>
      <c r="I112" s="4">
        <v>165</v>
      </c>
      <c r="J112" s="4">
        <v>152</v>
      </c>
      <c r="K112" s="4">
        <v>24</v>
      </c>
      <c r="L112" s="4">
        <v>15</v>
      </c>
      <c r="M112" s="4">
        <v>11</v>
      </c>
      <c r="N112" s="4">
        <v>3</v>
      </c>
      <c r="O112" s="5">
        <f>SUM(Tabela3239[[#This Row],[jan/23]:[dez/23]])</f>
        <v>1032</v>
      </c>
    </row>
    <row r="113" spans="1:15" x14ac:dyDescent="0.25">
      <c r="A113" s="4" t="s">
        <v>225</v>
      </c>
      <c r="B113" s="4" t="s">
        <v>741</v>
      </c>
      <c r="C113" s="4">
        <v>56</v>
      </c>
      <c r="D113" s="4">
        <v>50</v>
      </c>
      <c r="E113" s="4">
        <v>138</v>
      </c>
      <c r="F113" s="4">
        <v>146</v>
      </c>
      <c r="G113" s="4">
        <v>172</v>
      </c>
      <c r="H113" s="4">
        <v>142</v>
      </c>
      <c r="I113" s="4">
        <v>91</v>
      </c>
      <c r="J113" s="4">
        <v>45</v>
      </c>
      <c r="K113" s="4">
        <v>47</v>
      </c>
      <c r="L113" s="4">
        <v>13</v>
      </c>
      <c r="M113" s="4">
        <v>22</v>
      </c>
      <c r="N113" s="4">
        <v>80</v>
      </c>
      <c r="O113" s="5">
        <f>SUM(Tabela3239[[#This Row],[jan/23]:[dez/23]])</f>
        <v>1002</v>
      </c>
    </row>
    <row r="114" spans="1:15" x14ac:dyDescent="0.25">
      <c r="A114" s="4" t="s">
        <v>229</v>
      </c>
      <c r="B114" s="4" t="s">
        <v>585</v>
      </c>
      <c r="C114" s="4">
        <v>51</v>
      </c>
      <c r="D114" s="4">
        <v>60</v>
      </c>
      <c r="E114" s="4">
        <v>112</v>
      </c>
      <c r="F114" s="4">
        <v>93</v>
      </c>
      <c r="G114" s="4">
        <v>93</v>
      </c>
      <c r="H114" s="4">
        <v>85</v>
      </c>
      <c r="I114" s="4">
        <v>84</v>
      </c>
      <c r="J114" s="4">
        <v>91</v>
      </c>
      <c r="K114" s="4">
        <v>55</v>
      </c>
      <c r="L114" s="4">
        <v>73</v>
      </c>
      <c r="M114" s="4">
        <v>109</v>
      </c>
      <c r="N114" s="4">
        <v>88</v>
      </c>
      <c r="O114" s="5">
        <f>SUM(Tabela3239[[#This Row],[jan/23]:[dez/23]])</f>
        <v>994</v>
      </c>
    </row>
    <row r="115" spans="1:15" x14ac:dyDescent="0.25">
      <c r="A115" s="4" t="s">
        <v>227</v>
      </c>
      <c r="B115" s="4" t="s">
        <v>695</v>
      </c>
      <c r="C115" s="4">
        <v>103</v>
      </c>
      <c r="D115" s="4">
        <v>86</v>
      </c>
      <c r="E115" s="4">
        <v>109</v>
      </c>
      <c r="F115" s="4">
        <v>78</v>
      </c>
      <c r="G115" s="4">
        <v>115</v>
      </c>
      <c r="H115" s="4">
        <v>128</v>
      </c>
      <c r="I115" s="4">
        <v>108</v>
      </c>
      <c r="J115" s="4">
        <v>52</v>
      </c>
      <c r="K115" s="4">
        <v>35</v>
      </c>
      <c r="L115" s="4">
        <v>41</v>
      </c>
      <c r="M115" s="4">
        <v>69</v>
      </c>
      <c r="N115" s="4">
        <v>57</v>
      </c>
      <c r="O115" s="5">
        <f>SUM(Tabela3239[[#This Row],[jan/23]:[dez/23]])</f>
        <v>981</v>
      </c>
    </row>
    <row r="116" spans="1:15" x14ac:dyDescent="0.25">
      <c r="A116" s="4" t="s">
        <v>231</v>
      </c>
      <c r="B116" s="4" t="s">
        <v>264</v>
      </c>
      <c r="C116" s="4">
        <v>101</v>
      </c>
      <c r="D116" s="4">
        <v>20</v>
      </c>
      <c r="E116" s="4">
        <v>62</v>
      </c>
      <c r="F116" s="4">
        <v>103</v>
      </c>
      <c r="G116" s="4">
        <v>110</v>
      </c>
      <c r="H116" s="4">
        <v>78</v>
      </c>
      <c r="I116" s="4">
        <v>57</v>
      </c>
      <c r="J116" s="4">
        <v>44</v>
      </c>
      <c r="K116" s="4">
        <v>59</v>
      </c>
      <c r="L116" s="4">
        <v>73</v>
      </c>
      <c r="M116" s="4">
        <v>101</v>
      </c>
      <c r="N116" s="4">
        <v>150</v>
      </c>
      <c r="O116" s="5">
        <f>SUM(Tabela3239[[#This Row],[jan/23]:[dez/23]])</f>
        <v>958</v>
      </c>
    </row>
    <row r="117" spans="1:15" x14ac:dyDescent="0.25">
      <c r="A117" s="4" t="s">
        <v>233</v>
      </c>
      <c r="B117" s="4" t="s">
        <v>608</v>
      </c>
      <c r="C117" s="4">
        <v>73</v>
      </c>
      <c r="D117" s="4">
        <v>87</v>
      </c>
      <c r="E117" s="4">
        <v>53</v>
      </c>
      <c r="F117" s="4">
        <v>64</v>
      </c>
      <c r="G117" s="4">
        <v>85</v>
      </c>
      <c r="H117" s="4">
        <v>115</v>
      </c>
      <c r="I117" s="4">
        <v>105</v>
      </c>
      <c r="J117" s="4">
        <v>104</v>
      </c>
      <c r="K117" s="4">
        <v>44</v>
      </c>
      <c r="L117" s="4">
        <v>33</v>
      </c>
      <c r="M117" s="4">
        <v>57</v>
      </c>
      <c r="N117" s="4">
        <v>116</v>
      </c>
      <c r="O117" s="5">
        <f>SUM(Tabela3239[[#This Row],[jan/23]:[dez/23]])</f>
        <v>936</v>
      </c>
    </row>
    <row r="118" spans="1:15" x14ac:dyDescent="0.25">
      <c r="A118" s="4" t="s">
        <v>235</v>
      </c>
      <c r="B118" s="4" t="s">
        <v>677</v>
      </c>
      <c r="C118" s="4">
        <v>62</v>
      </c>
      <c r="D118" s="4">
        <v>57</v>
      </c>
      <c r="E118" s="4">
        <v>88</v>
      </c>
      <c r="F118" s="4">
        <v>117</v>
      </c>
      <c r="G118" s="4">
        <v>184</v>
      </c>
      <c r="H118" s="4">
        <v>124</v>
      </c>
      <c r="I118" s="4">
        <v>69</v>
      </c>
      <c r="J118" s="4">
        <v>47</v>
      </c>
      <c r="K118" s="4">
        <v>57</v>
      </c>
      <c r="L118" s="4">
        <v>26</v>
      </c>
      <c r="M118" s="4">
        <v>41</v>
      </c>
      <c r="N118" s="4">
        <v>55</v>
      </c>
      <c r="O118" s="5">
        <f>SUM(Tabela3239[[#This Row],[jan/23]:[dez/23]])</f>
        <v>927</v>
      </c>
    </row>
    <row r="119" spans="1:15" x14ac:dyDescent="0.25">
      <c r="A119" s="4" t="s">
        <v>237</v>
      </c>
      <c r="B119" s="4" t="s">
        <v>480</v>
      </c>
      <c r="C119" s="4"/>
      <c r="D119" s="4"/>
      <c r="E119" s="4">
        <v>60</v>
      </c>
      <c r="F119" s="4">
        <v>152</v>
      </c>
      <c r="G119" s="4">
        <v>100</v>
      </c>
      <c r="H119" s="4">
        <v>114</v>
      </c>
      <c r="I119" s="4">
        <v>94</v>
      </c>
      <c r="J119" s="4">
        <v>76</v>
      </c>
      <c r="K119" s="4">
        <v>4</v>
      </c>
      <c r="L119" s="4">
        <v>20</v>
      </c>
      <c r="M119" s="4">
        <v>96</v>
      </c>
      <c r="N119" s="4">
        <v>176</v>
      </c>
      <c r="O119" s="5">
        <f>SUM(Tabela3239[[#This Row],[jan/23]:[dez/23]])</f>
        <v>892</v>
      </c>
    </row>
    <row r="120" spans="1:15" x14ac:dyDescent="0.25">
      <c r="A120" s="4" t="s">
        <v>239</v>
      </c>
      <c r="B120" s="4" t="s">
        <v>742</v>
      </c>
      <c r="C120" s="4">
        <v>81</v>
      </c>
      <c r="D120" s="4">
        <v>88</v>
      </c>
      <c r="E120" s="4">
        <v>72</v>
      </c>
      <c r="F120" s="4">
        <v>77</v>
      </c>
      <c r="G120" s="4">
        <v>115</v>
      </c>
      <c r="H120" s="4">
        <v>74</v>
      </c>
      <c r="I120" s="4">
        <v>70</v>
      </c>
      <c r="J120" s="4">
        <v>76</v>
      </c>
      <c r="K120" s="4">
        <v>64</v>
      </c>
      <c r="L120" s="4">
        <v>28</v>
      </c>
      <c r="M120" s="4">
        <v>51</v>
      </c>
      <c r="N120" s="4">
        <v>58</v>
      </c>
      <c r="O120" s="5">
        <f>SUM(Tabela3239[[#This Row],[jan/23]:[dez/23]])</f>
        <v>854</v>
      </c>
    </row>
    <row r="121" spans="1:15" x14ac:dyDescent="0.25">
      <c r="A121" s="4" t="s">
        <v>243</v>
      </c>
      <c r="B121" s="4" t="s">
        <v>216</v>
      </c>
      <c r="C121" s="4">
        <v>48</v>
      </c>
      <c r="D121" s="4">
        <v>62</v>
      </c>
      <c r="E121" s="4">
        <v>35</v>
      </c>
      <c r="F121" s="4">
        <v>41</v>
      </c>
      <c r="G121" s="4">
        <v>34</v>
      </c>
      <c r="H121" s="4">
        <v>32</v>
      </c>
      <c r="I121" s="4">
        <v>93</v>
      </c>
      <c r="J121" s="4">
        <v>92</v>
      </c>
      <c r="K121" s="4">
        <v>118</v>
      </c>
      <c r="L121" s="4">
        <v>117</v>
      </c>
      <c r="M121" s="4">
        <v>108</v>
      </c>
      <c r="N121" s="4">
        <v>68</v>
      </c>
      <c r="O121" s="5">
        <f>SUM(Tabela3239[[#This Row],[jan/23]:[dez/23]])</f>
        <v>848</v>
      </c>
    </row>
    <row r="122" spans="1:15" x14ac:dyDescent="0.25">
      <c r="A122" s="4" t="s">
        <v>241</v>
      </c>
      <c r="B122" s="4" t="s">
        <v>565</v>
      </c>
      <c r="C122" s="4">
        <v>65</v>
      </c>
      <c r="D122" s="4">
        <v>40</v>
      </c>
      <c r="E122" s="4">
        <v>97</v>
      </c>
      <c r="F122" s="4">
        <v>74</v>
      </c>
      <c r="G122" s="4">
        <v>58</v>
      </c>
      <c r="H122" s="4">
        <v>78</v>
      </c>
      <c r="I122" s="4">
        <v>66</v>
      </c>
      <c r="J122" s="4">
        <v>45</v>
      </c>
      <c r="K122" s="4">
        <v>62</v>
      </c>
      <c r="L122" s="4">
        <v>54</v>
      </c>
      <c r="M122" s="4">
        <v>80</v>
      </c>
      <c r="N122" s="4">
        <v>98</v>
      </c>
      <c r="O122" s="5">
        <f>SUM(Tabela3239[[#This Row],[jan/23]:[dez/23]])</f>
        <v>817</v>
      </c>
    </row>
    <row r="123" spans="1:15" x14ac:dyDescent="0.25">
      <c r="A123" s="4" t="s">
        <v>245</v>
      </c>
      <c r="B123" s="4" t="s">
        <v>352</v>
      </c>
      <c r="C123" s="4">
        <v>95</v>
      </c>
      <c r="D123" s="4">
        <v>124</v>
      </c>
      <c r="E123" s="4">
        <v>112</v>
      </c>
      <c r="F123" s="4">
        <v>55</v>
      </c>
      <c r="G123" s="4">
        <v>69</v>
      </c>
      <c r="H123" s="4">
        <v>43</v>
      </c>
      <c r="I123" s="4">
        <v>11</v>
      </c>
      <c r="J123" s="4">
        <v>50</v>
      </c>
      <c r="K123" s="4">
        <v>95</v>
      </c>
      <c r="L123" s="4">
        <v>30</v>
      </c>
      <c r="M123" s="4">
        <v>42</v>
      </c>
      <c r="N123" s="4">
        <v>83</v>
      </c>
      <c r="O123" s="5">
        <f>SUM(Tabela3239[[#This Row],[jan/23]:[dez/23]])</f>
        <v>809</v>
      </c>
    </row>
    <row r="124" spans="1:15" x14ac:dyDescent="0.25">
      <c r="A124" s="4" t="s">
        <v>247</v>
      </c>
      <c r="B124" s="4" t="s">
        <v>436</v>
      </c>
      <c r="C124" s="4">
        <v>60</v>
      </c>
      <c r="D124" s="4">
        <v>36</v>
      </c>
      <c r="E124" s="4">
        <v>39</v>
      </c>
      <c r="F124" s="4">
        <v>44</v>
      </c>
      <c r="G124" s="4">
        <v>43</v>
      </c>
      <c r="H124" s="4">
        <v>56</v>
      </c>
      <c r="I124" s="4">
        <v>146</v>
      </c>
      <c r="J124" s="4">
        <v>107</v>
      </c>
      <c r="K124" s="4">
        <v>49</v>
      </c>
      <c r="L124" s="4">
        <v>69</v>
      </c>
      <c r="M124" s="4">
        <v>75</v>
      </c>
      <c r="N124" s="4">
        <v>73</v>
      </c>
      <c r="O124" s="5">
        <f>SUM(Tabela3239[[#This Row],[jan/23]:[dez/23]])</f>
        <v>797</v>
      </c>
    </row>
    <row r="125" spans="1:15" x14ac:dyDescent="0.25">
      <c r="A125" s="4" t="s">
        <v>249</v>
      </c>
      <c r="B125" s="4" t="s">
        <v>252</v>
      </c>
      <c r="C125" s="4">
        <v>66</v>
      </c>
      <c r="D125" s="4">
        <v>66</v>
      </c>
      <c r="E125" s="4">
        <v>86</v>
      </c>
      <c r="F125" s="4">
        <v>56</v>
      </c>
      <c r="G125" s="4">
        <v>70</v>
      </c>
      <c r="H125" s="4">
        <v>60</v>
      </c>
      <c r="I125" s="4">
        <v>44</v>
      </c>
      <c r="J125" s="4">
        <v>45</v>
      </c>
      <c r="K125" s="4">
        <v>69</v>
      </c>
      <c r="L125" s="4">
        <v>65</v>
      </c>
      <c r="M125" s="4">
        <v>52</v>
      </c>
      <c r="N125" s="4">
        <v>71</v>
      </c>
      <c r="O125" s="5">
        <f>SUM(Tabela3239[[#This Row],[jan/23]:[dez/23]])</f>
        <v>750</v>
      </c>
    </row>
    <row r="126" spans="1:15" x14ac:dyDescent="0.25">
      <c r="A126" s="4" t="s">
        <v>253</v>
      </c>
      <c r="B126" s="4" t="s">
        <v>186</v>
      </c>
      <c r="C126" s="4">
        <v>58</v>
      </c>
      <c r="D126" s="4">
        <v>67</v>
      </c>
      <c r="E126" s="4">
        <v>64</v>
      </c>
      <c r="F126" s="4">
        <v>36</v>
      </c>
      <c r="G126" s="4">
        <v>43</v>
      </c>
      <c r="H126" s="4">
        <v>40</v>
      </c>
      <c r="I126" s="4">
        <v>61</v>
      </c>
      <c r="J126" s="4">
        <v>56</v>
      </c>
      <c r="K126" s="4">
        <v>63</v>
      </c>
      <c r="L126" s="4">
        <v>84</v>
      </c>
      <c r="M126" s="4">
        <v>64</v>
      </c>
      <c r="N126" s="4">
        <v>99</v>
      </c>
      <c r="O126" s="5">
        <f>SUM(Tabela3239[[#This Row],[jan/23]:[dez/23]])</f>
        <v>735</v>
      </c>
    </row>
    <row r="127" spans="1:15" x14ac:dyDescent="0.25">
      <c r="A127" s="4" t="s">
        <v>251</v>
      </c>
      <c r="B127" s="4" t="s">
        <v>346</v>
      </c>
      <c r="C127" s="4">
        <v>42</v>
      </c>
      <c r="D127" s="4">
        <v>28</v>
      </c>
      <c r="E127" s="4">
        <v>53</v>
      </c>
      <c r="F127" s="4">
        <v>48</v>
      </c>
      <c r="G127" s="4">
        <v>76</v>
      </c>
      <c r="H127" s="4">
        <v>87</v>
      </c>
      <c r="I127" s="4">
        <v>45</v>
      </c>
      <c r="J127" s="4">
        <v>67</v>
      </c>
      <c r="K127" s="4">
        <v>95</v>
      </c>
      <c r="L127" s="4">
        <v>68</v>
      </c>
      <c r="M127" s="4">
        <v>51</v>
      </c>
      <c r="N127" s="4">
        <v>68</v>
      </c>
      <c r="O127" s="5">
        <f>SUM(Tabela3239[[#This Row],[jan/23]:[dez/23]])</f>
        <v>728</v>
      </c>
    </row>
    <row r="128" spans="1:15" x14ac:dyDescent="0.25">
      <c r="A128" s="4" t="s">
        <v>255</v>
      </c>
      <c r="B128" s="4" t="s">
        <v>518</v>
      </c>
      <c r="C128" s="4">
        <v>61</v>
      </c>
      <c r="D128" s="4">
        <v>49</v>
      </c>
      <c r="E128" s="4">
        <v>74</v>
      </c>
      <c r="F128" s="4">
        <v>61</v>
      </c>
      <c r="G128" s="4">
        <v>59</v>
      </c>
      <c r="H128" s="4">
        <v>60</v>
      </c>
      <c r="I128" s="4">
        <v>88</v>
      </c>
      <c r="J128" s="4">
        <v>60</v>
      </c>
      <c r="K128" s="4">
        <v>50</v>
      </c>
      <c r="L128" s="4">
        <v>50</v>
      </c>
      <c r="M128" s="4">
        <v>50</v>
      </c>
      <c r="N128" s="4">
        <v>58</v>
      </c>
      <c r="O128" s="5">
        <f>SUM(Tabela3239[[#This Row],[jan/23]:[dez/23]])</f>
        <v>720</v>
      </c>
    </row>
    <row r="129" spans="1:15" x14ac:dyDescent="0.25">
      <c r="A129" s="4" t="s">
        <v>257</v>
      </c>
      <c r="B129" s="4" t="s">
        <v>294</v>
      </c>
      <c r="C129" s="4">
        <v>58</v>
      </c>
      <c r="D129" s="4">
        <v>53</v>
      </c>
      <c r="E129" s="4">
        <v>56</v>
      </c>
      <c r="F129" s="4">
        <v>60</v>
      </c>
      <c r="G129" s="4">
        <v>56</v>
      </c>
      <c r="H129" s="4">
        <v>64</v>
      </c>
      <c r="I129" s="4">
        <v>64</v>
      </c>
      <c r="J129" s="4">
        <v>60</v>
      </c>
      <c r="K129" s="4">
        <v>60</v>
      </c>
      <c r="L129" s="4">
        <v>69</v>
      </c>
      <c r="M129" s="4">
        <v>53</v>
      </c>
      <c r="N129" s="4">
        <v>50</v>
      </c>
      <c r="O129" s="5">
        <f>SUM(Tabela3239[[#This Row],[jan/23]:[dez/23]])</f>
        <v>703</v>
      </c>
    </row>
    <row r="130" spans="1:15" x14ac:dyDescent="0.25">
      <c r="A130" s="4" t="s">
        <v>259</v>
      </c>
      <c r="B130" s="4" t="s">
        <v>797</v>
      </c>
      <c r="C130" s="4">
        <v>103</v>
      </c>
      <c r="D130" s="4">
        <v>69</v>
      </c>
      <c r="E130" s="4">
        <v>56</v>
      </c>
      <c r="F130" s="4">
        <v>54</v>
      </c>
      <c r="G130" s="4">
        <v>61</v>
      </c>
      <c r="H130" s="4">
        <v>66</v>
      </c>
      <c r="I130" s="4">
        <v>75</v>
      </c>
      <c r="J130" s="4">
        <v>70</v>
      </c>
      <c r="K130" s="4">
        <v>134</v>
      </c>
      <c r="L130" s="4">
        <v>7</v>
      </c>
      <c r="M130" s="4">
        <v>2</v>
      </c>
      <c r="N130" s="4">
        <v>1</v>
      </c>
      <c r="O130" s="5">
        <f>SUM(Tabela3239[[#This Row],[jan/23]:[dez/23]])</f>
        <v>698</v>
      </c>
    </row>
    <row r="131" spans="1:15" x14ac:dyDescent="0.25">
      <c r="A131" s="4" t="s">
        <v>261</v>
      </c>
      <c r="B131" s="4" t="s">
        <v>212</v>
      </c>
      <c r="C131" s="4">
        <v>58</v>
      </c>
      <c r="D131" s="4">
        <v>48</v>
      </c>
      <c r="E131" s="4">
        <v>51</v>
      </c>
      <c r="F131" s="4">
        <v>27</v>
      </c>
      <c r="G131" s="4">
        <v>14</v>
      </c>
      <c r="H131" s="4">
        <v>16</v>
      </c>
      <c r="I131" s="4">
        <v>40</v>
      </c>
      <c r="J131" s="4">
        <v>59</v>
      </c>
      <c r="K131" s="4">
        <v>61</v>
      </c>
      <c r="L131" s="4">
        <v>69</v>
      </c>
      <c r="M131" s="4">
        <v>67</v>
      </c>
      <c r="N131" s="4">
        <v>186</v>
      </c>
      <c r="O131" s="5">
        <f>SUM(Tabela3239[[#This Row],[jan/23]:[dez/23]])</f>
        <v>696</v>
      </c>
    </row>
    <row r="132" spans="1:15" x14ac:dyDescent="0.25">
      <c r="A132" s="4" t="s">
        <v>265</v>
      </c>
      <c r="B132" s="4" t="s">
        <v>666</v>
      </c>
      <c r="C132" s="4">
        <v>67</v>
      </c>
      <c r="D132" s="4">
        <v>71</v>
      </c>
      <c r="E132" s="4">
        <v>94</v>
      </c>
      <c r="F132" s="4">
        <v>107</v>
      </c>
      <c r="G132" s="4">
        <v>123</v>
      </c>
      <c r="H132" s="4">
        <v>102</v>
      </c>
      <c r="I132" s="4">
        <v>74</v>
      </c>
      <c r="J132" s="4">
        <v>16</v>
      </c>
      <c r="K132" s="4">
        <v>5</v>
      </c>
      <c r="L132" s="4">
        <v>3</v>
      </c>
      <c r="M132" s="4"/>
      <c r="N132" s="4">
        <v>12</v>
      </c>
      <c r="O132" s="5">
        <f>SUM(Tabela3239[[#This Row],[jan/23]:[dez/23]])</f>
        <v>674</v>
      </c>
    </row>
    <row r="133" spans="1:15" x14ac:dyDescent="0.25">
      <c r="A133" s="4" t="s">
        <v>263</v>
      </c>
      <c r="B133" s="4" t="s">
        <v>799</v>
      </c>
      <c r="C133" s="4">
        <v>96</v>
      </c>
      <c r="D133" s="4">
        <v>36</v>
      </c>
      <c r="E133" s="4">
        <v>51</v>
      </c>
      <c r="F133" s="4">
        <v>38</v>
      </c>
      <c r="G133" s="4">
        <v>44</v>
      </c>
      <c r="H133" s="4">
        <v>27</v>
      </c>
      <c r="I133" s="4">
        <v>44</v>
      </c>
      <c r="J133" s="4">
        <v>38</v>
      </c>
      <c r="K133" s="4">
        <v>87</v>
      </c>
      <c r="L133" s="4">
        <v>157</v>
      </c>
      <c r="M133" s="4">
        <v>33</v>
      </c>
      <c r="N133" s="4">
        <v>14</v>
      </c>
      <c r="O133" s="5">
        <f>SUM(Tabela3239[[#This Row],[jan/23]:[dez/23]])</f>
        <v>665</v>
      </c>
    </row>
    <row r="134" spans="1:15" x14ac:dyDescent="0.25">
      <c r="A134" s="4" t="s">
        <v>267</v>
      </c>
      <c r="B134" s="4" t="s">
        <v>300</v>
      </c>
      <c r="C134" s="4">
        <v>105</v>
      </c>
      <c r="D134" s="4">
        <v>74</v>
      </c>
      <c r="E134" s="4">
        <v>66</v>
      </c>
      <c r="F134" s="4">
        <v>115</v>
      </c>
      <c r="G134" s="4">
        <v>64</v>
      </c>
      <c r="H134" s="4">
        <v>35</v>
      </c>
      <c r="I134" s="4">
        <v>44</v>
      </c>
      <c r="J134" s="4">
        <v>22</v>
      </c>
      <c r="K134" s="4">
        <v>60</v>
      </c>
      <c r="L134" s="4">
        <v>22</v>
      </c>
      <c r="M134" s="4">
        <v>21</v>
      </c>
      <c r="N134" s="4">
        <v>25</v>
      </c>
      <c r="O134" s="5">
        <f>SUM(Tabela3239[[#This Row],[jan/23]:[dez/23]])</f>
        <v>653</v>
      </c>
    </row>
    <row r="135" spans="1:15" x14ac:dyDescent="0.25">
      <c r="A135" s="4" t="s">
        <v>269</v>
      </c>
      <c r="B135" s="4" t="s">
        <v>222</v>
      </c>
      <c r="C135" s="4">
        <v>2</v>
      </c>
      <c r="D135" s="4">
        <v>2</v>
      </c>
      <c r="E135" s="4">
        <v>89</v>
      </c>
      <c r="F135" s="4">
        <v>63</v>
      </c>
      <c r="G135" s="4">
        <v>75</v>
      </c>
      <c r="H135" s="4">
        <v>90</v>
      </c>
      <c r="I135" s="4">
        <v>69</v>
      </c>
      <c r="J135" s="4">
        <v>48</v>
      </c>
      <c r="K135" s="4">
        <v>38</v>
      </c>
      <c r="L135" s="4">
        <v>38</v>
      </c>
      <c r="M135" s="4">
        <v>49</v>
      </c>
      <c r="N135" s="4">
        <v>54</v>
      </c>
      <c r="O135" s="5">
        <f>SUM(Tabela3239[[#This Row],[jan/23]:[dez/23]])</f>
        <v>617</v>
      </c>
    </row>
    <row r="136" spans="1:15" x14ac:dyDescent="0.25">
      <c r="A136" s="4" t="s">
        <v>271</v>
      </c>
      <c r="B136" s="4" t="s">
        <v>224</v>
      </c>
      <c r="C136" s="4">
        <v>54</v>
      </c>
      <c r="D136" s="4">
        <v>22</v>
      </c>
      <c r="E136" s="4">
        <v>29</v>
      </c>
      <c r="F136" s="4">
        <v>28</v>
      </c>
      <c r="G136" s="4">
        <v>40</v>
      </c>
      <c r="H136" s="4">
        <v>54</v>
      </c>
      <c r="I136" s="4">
        <v>27</v>
      </c>
      <c r="J136" s="4">
        <v>57</v>
      </c>
      <c r="K136" s="4">
        <v>76</v>
      </c>
      <c r="L136" s="4">
        <v>56</v>
      </c>
      <c r="M136" s="4">
        <v>38</v>
      </c>
      <c r="N136" s="4">
        <v>97</v>
      </c>
      <c r="O136" s="5">
        <f>SUM(Tabela3239[[#This Row],[jan/23]:[dez/23]])</f>
        <v>578</v>
      </c>
    </row>
    <row r="137" spans="1:15" x14ac:dyDescent="0.25">
      <c r="A137" s="4" t="s">
        <v>273</v>
      </c>
      <c r="B137" s="4" t="s">
        <v>679</v>
      </c>
      <c r="C137" s="4">
        <v>57</v>
      </c>
      <c r="D137" s="4">
        <v>57</v>
      </c>
      <c r="E137" s="4">
        <v>67</v>
      </c>
      <c r="F137" s="4">
        <v>55</v>
      </c>
      <c r="G137" s="4">
        <v>45</v>
      </c>
      <c r="H137" s="4">
        <v>41</v>
      </c>
      <c r="I137" s="4">
        <v>42</v>
      </c>
      <c r="J137" s="4">
        <v>41</v>
      </c>
      <c r="K137" s="4">
        <v>35</v>
      </c>
      <c r="L137" s="4">
        <v>31</v>
      </c>
      <c r="M137" s="4">
        <v>34</v>
      </c>
      <c r="N137" s="4">
        <v>49</v>
      </c>
      <c r="O137" s="5">
        <f>SUM(Tabela3239[[#This Row],[jan/23]:[dez/23]])</f>
        <v>554</v>
      </c>
    </row>
    <row r="138" spans="1:15" x14ac:dyDescent="0.25">
      <c r="A138" s="4" t="s">
        <v>275</v>
      </c>
      <c r="B138" s="4" t="s">
        <v>270</v>
      </c>
      <c r="C138" s="4">
        <v>1</v>
      </c>
      <c r="D138" s="4">
        <v>1</v>
      </c>
      <c r="E138" s="4">
        <v>99</v>
      </c>
      <c r="F138" s="4">
        <v>92</v>
      </c>
      <c r="G138" s="4">
        <v>84</v>
      </c>
      <c r="H138" s="4">
        <v>72</v>
      </c>
      <c r="I138" s="4">
        <v>27</v>
      </c>
      <c r="J138" s="4">
        <v>31</v>
      </c>
      <c r="K138" s="4">
        <v>57</v>
      </c>
      <c r="L138" s="4">
        <v>38</v>
      </c>
      <c r="M138" s="4">
        <v>24</v>
      </c>
      <c r="N138" s="4">
        <v>15</v>
      </c>
      <c r="O138" s="5">
        <f>SUM(Tabela3239[[#This Row],[jan/23]:[dez/23]])</f>
        <v>541</v>
      </c>
    </row>
    <row r="139" spans="1:15" x14ac:dyDescent="0.25">
      <c r="A139" s="4" t="s">
        <v>277</v>
      </c>
      <c r="B139" s="4" t="s">
        <v>428</v>
      </c>
      <c r="C139" s="4">
        <v>60</v>
      </c>
      <c r="D139" s="4">
        <v>60</v>
      </c>
      <c r="E139" s="4">
        <v>80</v>
      </c>
      <c r="F139" s="4">
        <v>100</v>
      </c>
      <c r="G139" s="4">
        <v>60</v>
      </c>
      <c r="H139" s="4"/>
      <c r="I139" s="4"/>
      <c r="J139" s="4">
        <v>20</v>
      </c>
      <c r="K139" s="4">
        <v>30</v>
      </c>
      <c r="L139" s="4">
        <v>40</v>
      </c>
      <c r="M139" s="4">
        <v>31</v>
      </c>
      <c r="N139" s="4">
        <v>50</v>
      </c>
      <c r="O139" s="5">
        <f>SUM(Tabela3239[[#This Row],[jan/23]:[dez/23]])</f>
        <v>531</v>
      </c>
    </row>
    <row r="140" spans="1:15" x14ac:dyDescent="0.25">
      <c r="A140" s="4" t="s">
        <v>279</v>
      </c>
      <c r="B140" s="4" t="s">
        <v>744</v>
      </c>
      <c r="C140" s="4">
        <v>21</v>
      </c>
      <c r="D140" s="4">
        <v>26</v>
      </c>
      <c r="E140" s="4">
        <v>32</v>
      </c>
      <c r="F140" s="4">
        <v>34</v>
      </c>
      <c r="G140" s="4">
        <v>33</v>
      </c>
      <c r="H140" s="4">
        <v>14</v>
      </c>
      <c r="I140" s="4">
        <v>31</v>
      </c>
      <c r="J140" s="4">
        <v>105</v>
      </c>
      <c r="K140" s="4">
        <v>128</v>
      </c>
      <c r="L140" s="4">
        <v>45</v>
      </c>
      <c r="M140" s="4">
        <v>21</v>
      </c>
      <c r="N140" s="4">
        <v>18</v>
      </c>
      <c r="O140" s="5">
        <f>SUM(Tabela3239[[#This Row],[jan/23]:[dez/23]])</f>
        <v>508</v>
      </c>
    </row>
    <row r="141" spans="1:15" x14ac:dyDescent="0.25">
      <c r="A141" s="4" t="s">
        <v>281</v>
      </c>
      <c r="B141" s="4" t="s">
        <v>692</v>
      </c>
      <c r="C141" s="4">
        <v>74</v>
      </c>
      <c r="D141" s="4">
        <v>47</v>
      </c>
      <c r="E141" s="4">
        <v>57</v>
      </c>
      <c r="F141" s="4">
        <v>33</v>
      </c>
      <c r="G141" s="4">
        <v>17</v>
      </c>
      <c r="H141" s="4">
        <v>18</v>
      </c>
      <c r="I141" s="4">
        <v>23</v>
      </c>
      <c r="J141" s="4">
        <v>41</v>
      </c>
      <c r="K141" s="4">
        <v>52</v>
      </c>
      <c r="L141" s="4">
        <v>41</v>
      </c>
      <c r="M141" s="4">
        <v>19</v>
      </c>
      <c r="N141" s="4">
        <v>84</v>
      </c>
      <c r="O141" s="5">
        <f>SUM(Tabela3239[[#This Row],[jan/23]:[dez/23]])</f>
        <v>506</v>
      </c>
    </row>
    <row r="142" spans="1:15" x14ac:dyDescent="0.25">
      <c r="A142" s="4" t="s">
        <v>285</v>
      </c>
      <c r="B142" s="4" t="s">
        <v>673</v>
      </c>
      <c r="C142" s="4">
        <v>56</v>
      </c>
      <c r="D142" s="4">
        <v>21</v>
      </c>
      <c r="E142" s="4">
        <v>42</v>
      </c>
      <c r="F142" s="4">
        <v>36</v>
      </c>
      <c r="G142" s="4">
        <v>49</v>
      </c>
      <c r="H142" s="4">
        <v>65</v>
      </c>
      <c r="I142" s="4">
        <v>51</v>
      </c>
      <c r="J142" s="4">
        <v>39</v>
      </c>
      <c r="K142" s="4">
        <v>47</v>
      </c>
      <c r="L142" s="4">
        <v>31</v>
      </c>
      <c r="M142" s="4">
        <v>22</v>
      </c>
      <c r="N142" s="4">
        <v>37</v>
      </c>
      <c r="O142" s="5">
        <f>SUM(Tabela3239[[#This Row],[jan/23]:[dez/23]])</f>
        <v>496</v>
      </c>
    </row>
    <row r="143" spans="1:15" x14ac:dyDescent="0.25">
      <c r="A143" s="4" t="s">
        <v>283</v>
      </c>
      <c r="B143" s="4" t="s">
        <v>662</v>
      </c>
      <c r="C143" s="4">
        <v>28</v>
      </c>
      <c r="D143" s="4">
        <v>30</v>
      </c>
      <c r="E143" s="4">
        <v>48</v>
      </c>
      <c r="F143" s="4">
        <v>37</v>
      </c>
      <c r="G143" s="4">
        <v>73</v>
      </c>
      <c r="H143" s="4">
        <v>64</v>
      </c>
      <c r="I143" s="4">
        <v>61</v>
      </c>
      <c r="J143" s="4">
        <v>68</v>
      </c>
      <c r="K143" s="4">
        <v>59</v>
      </c>
      <c r="L143" s="4">
        <v>13</v>
      </c>
      <c r="M143" s="4">
        <v>1</v>
      </c>
      <c r="N143" s="4">
        <v>4</v>
      </c>
      <c r="O143" s="5">
        <f>SUM(Tabela3239[[#This Row],[jan/23]:[dez/23]])</f>
        <v>486</v>
      </c>
    </row>
    <row r="144" spans="1:15" x14ac:dyDescent="0.25">
      <c r="A144" s="4" t="s">
        <v>287</v>
      </c>
      <c r="B144" s="4" t="s">
        <v>610</v>
      </c>
      <c r="C144" s="4">
        <v>19</v>
      </c>
      <c r="D144" s="4">
        <v>16</v>
      </c>
      <c r="E144" s="4">
        <v>12</v>
      </c>
      <c r="F144" s="4">
        <v>83</v>
      </c>
      <c r="G144" s="4">
        <v>5</v>
      </c>
      <c r="H144" s="4">
        <v>42</v>
      </c>
      <c r="I144" s="4">
        <v>10</v>
      </c>
      <c r="J144" s="4">
        <v>15</v>
      </c>
      <c r="K144" s="4">
        <v>19</v>
      </c>
      <c r="L144" s="4">
        <v>55</v>
      </c>
      <c r="M144" s="4">
        <v>88</v>
      </c>
      <c r="N144" s="4">
        <v>122</v>
      </c>
      <c r="O144" s="5">
        <f>SUM(Tabela3239[[#This Row],[jan/23]:[dez/23]])</f>
        <v>486</v>
      </c>
    </row>
    <row r="145" spans="1:15" x14ac:dyDescent="0.25">
      <c r="A145" s="4" t="s">
        <v>289</v>
      </c>
      <c r="B145" s="4" t="s">
        <v>238</v>
      </c>
      <c r="C145" s="4">
        <v>78</v>
      </c>
      <c r="D145" s="4">
        <v>38</v>
      </c>
      <c r="E145" s="4">
        <v>58</v>
      </c>
      <c r="F145" s="4">
        <v>57</v>
      </c>
      <c r="G145" s="4">
        <v>51</v>
      </c>
      <c r="H145" s="4">
        <v>35</v>
      </c>
      <c r="I145" s="4">
        <v>11</v>
      </c>
      <c r="J145" s="4">
        <v>20</v>
      </c>
      <c r="K145" s="4">
        <v>34</v>
      </c>
      <c r="L145" s="4">
        <v>16</v>
      </c>
      <c r="M145" s="4">
        <v>68</v>
      </c>
      <c r="N145" s="4">
        <v>19</v>
      </c>
      <c r="O145" s="5">
        <f>SUM(Tabela3239[[#This Row],[jan/23]:[dez/23]])</f>
        <v>485</v>
      </c>
    </row>
    <row r="146" spans="1:15" x14ac:dyDescent="0.25">
      <c r="A146" s="4" t="s">
        <v>291</v>
      </c>
      <c r="B146" s="4" t="s">
        <v>368</v>
      </c>
      <c r="C146" s="4">
        <v>20</v>
      </c>
      <c r="D146" s="4">
        <v>33</v>
      </c>
      <c r="E146" s="4">
        <v>31</v>
      </c>
      <c r="F146" s="4">
        <v>18</v>
      </c>
      <c r="G146" s="4">
        <v>33</v>
      </c>
      <c r="H146" s="4">
        <v>76</v>
      </c>
      <c r="I146" s="4">
        <v>66</v>
      </c>
      <c r="J146" s="4">
        <v>34</v>
      </c>
      <c r="K146" s="4">
        <v>32</v>
      </c>
      <c r="L146" s="4">
        <v>13</v>
      </c>
      <c r="M146" s="4">
        <v>61</v>
      </c>
      <c r="N146" s="4">
        <v>60</v>
      </c>
      <c r="O146" s="5">
        <f>SUM(Tabela3239[[#This Row],[jan/23]:[dez/23]])</f>
        <v>477</v>
      </c>
    </row>
    <row r="147" spans="1:15" x14ac:dyDescent="0.25">
      <c r="A147" s="4" t="s">
        <v>293</v>
      </c>
      <c r="B147" s="4" t="s">
        <v>573</v>
      </c>
      <c r="C147" s="4">
        <v>37</v>
      </c>
      <c r="D147" s="4">
        <v>45</v>
      </c>
      <c r="E147" s="4">
        <v>60</v>
      </c>
      <c r="F147" s="4">
        <v>36</v>
      </c>
      <c r="G147" s="4">
        <v>51</v>
      </c>
      <c r="H147" s="4">
        <v>33</v>
      </c>
      <c r="I147" s="4">
        <v>39</v>
      </c>
      <c r="J147" s="4">
        <v>38</v>
      </c>
      <c r="K147" s="4">
        <v>29</v>
      </c>
      <c r="L147" s="4">
        <v>28</v>
      </c>
      <c r="M147" s="4">
        <v>42</v>
      </c>
      <c r="N147" s="4">
        <v>32</v>
      </c>
      <c r="O147" s="5">
        <f>SUM(Tabela3239[[#This Row],[jan/23]:[dez/23]])</f>
        <v>470</v>
      </c>
    </row>
    <row r="148" spans="1:15" x14ac:dyDescent="0.25">
      <c r="A148" s="4" t="s">
        <v>295</v>
      </c>
      <c r="B148" s="4" t="s">
        <v>787</v>
      </c>
      <c r="C148" s="4">
        <v>88</v>
      </c>
      <c r="D148" s="4">
        <v>45</v>
      </c>
      <c r="E148" s="4">
        <v>34</v>
      </c>
      <c r="F148" s="4">
        <v>37</v>
      </c>
      <c r="G148" s="4">
        <v>46</v>
      </c>
      <c r="H148" s="4">
        <v>20</v>
      </c>
      <c r="I148" s="4">
        <v>31</v>
      </c>
      <c r="J148" s="4">
        <v>34</v>
      </c>
      <c r="K148" s="4">
        <v>21</v>
      </c>
      <c r="L148" s="4">
        <v>5</v>
      </c>
      <c r="M148" s="4">
        <v>9</v>
      </c>
      <c r="N148" s="4">
        <v>74</v>
      </c>
      <c r="O148" s="5">
        <f>SUM(Tabela3239[[#This Row],[jan/23]:[dez/23]])</f>
        <v>444</v>
      </c>
    </row>
    <row r="149" spans="1:15" x14ac:dyDescent="0.25">
      <c r="A149" s="4" t="s">
        <v>297</v>
      </c>
      <c r="B149" s="4" t="s">
        <v>645</v>
      </c>
      <c r="C149" s="4">
        <v>50</v>
      </c>
      <c r="D149" s="4">
        <v>34</v>
      </c>
      <c r="E149" s="4">
        <v>44</v>
      </c>
      <c r="F149" s="4">
        <v>90</v>
      </c>
      <c r="G149" s="4">
        <v>51</v>
      </c>
      <c r="H149" s="4">
        <v>23</v>
      </c>
      <c r="I149" s="4">
        <v>14</v>
      </c>
      <c r="J149" s="4">
        <v>16</v>
      </c>
      <c r="K149" s="4">
        <v>5</v>
      </c>
      <c r="L149" s="4">
        <v>14</v>
      </c>
      <c r="M149" s="4">
        <v>41</v>
      </c>
      <c r="N149" s="4">
        <v>55</v>
      </c>
      <c r="O149" s="5">
        <f>SUM(Tabela3239[[#This Row],[jan/23]:[dez/23]])</f>
        <v>437</v>
      </c>
    </row>
    <row r="150" spans="1:15" x14ac:dyDescent="0.25">
      <c r="A150" s="4" t="s">
        <v>299</v>
      </c>
      <c r="B150" s="4" t="s">
        <v>789</v>
      </c>
      <c r="C150" s="4"/>
      <c r="D150" s="4">
        <v>4</v>
      </c>
      <c r="E150" s="4">
        <v>50</v>
      </c>
      <c r="F150" s="4">
        <v>51</v>
      </c>
      <c r="G150" s="4">
        <v>47</v>
      </c>
      <c r="H150" s="4">
        <v>34</v>
      </c>
      <c r="I150" s="4">
        <v>45</v>
      </c>
      <c r="J150" s="4">
        <v>71</v>
      </c>
      <c r="K150" s="4">
        <v>18</v>
      </c>
      <c r="L150" s="4">
        <v>67</v>
      </c>
      <c r="M150" s="4">
        <v>28</v>
      </c>
      <c r="N150" s="4">
        <v>20</v>
      </c>
      <c r="O150" s="5">
        <f>SUM(Tabela3239[[#This Row],[jan/23]:[dez/23]])</f>
        <v>435</v>
      </c>
    </row>
    <row r="151" spans="1:15" x14ac:dyDescent="0.25">
      <c r="A151" s="4" t="s">
        <v>301</v>
      </c>
      <c r="B151" s="4" t="s">
        <v>176</v>
      </c>
      <c r="C151" s="4">
        <v>34</v>
      </c>
      <c r="D151" s="4">
        <v>22</v>
      </c>
      <c r="E151" s="4">
        <v>21</v>
      </c>
      <c r="F151" s="4">
        <v>18</v>
      </c>
      <c r="G151" s="4">
        <v>31</v>
      </c>
      <c r="H151" s="4">
        <v>33</v>
      </c>
      <c r="I151" s="4">
        <v>49</v>
      </c>
      <c r="J151" s="4">
        <v>63</v>
      </c>
      <c r="K151" s="4">
        <v>61</v>
      </c>
      <c r="L151" s="4">
        <v>34</v>
      </c>
      <c r="M151" s="4">
        <v>31</v>
      </c>
      <c r="N151" s="4">
        <v>37</v>
      </c>
      <c r="O151" s="5">
        <f>SUM(Tabela3239[[#This Row],[jan/23]:[dez/23]])</f>
        <v>434</v>
      </c>
    </row>
    <row r="152" spans="1:15" x14ac:dyDescent="0.25">
      <c r="A152" s="4" t="s">
        <v>303</v>
      </c>
      <c r="B152" s="4" t="s">
        <v>218</v>
      </c>
      <c r="C152" s="4">
        <v>55</v>
      </c>
      <c r="D152" s="4">
        <v>43</v>
      </c>
      <c r="E152" s="4">
        <v>65</v>
      </c>
      <c r="F152" s="4">
        <v>29</v>
      </c>
      <c r="G152" s="4">
        <v>22</v>
      </c>
      <c r="H152" s="4">
        <v>14</v>
      </c>
      <c r="I152" s="4">
        <v>22</v>
      </c>
      <c r="J152" s="4">
        <v>24</v>
      </c>
      <c r="K152" s="4">
        <v>28</v>
      </c>
      <c r="L152" s="4">
        <v>37</v>
      </c>
      <c r="M152" s="4">
        <v>36</v>
      </c>
      <c r="N152" s="4">
        <v>42</v>
      </c>
      <c r="O152" s="5">
        <f>SUM(Tabela3239[[#This Row],[jan/23]:[dez/23]])</f>
        <v>417</v>
      </c>
    </row>
    <row r="153" spans="1:15" x14ac:dyDescent="0.25">
      <c r="A153" s="4" t="s">
        <v>305</v>
      </c>
      <c r="B153" s="4" t="s">
        <v>688</v>
      </c>
      <c r="C153" s="4">
        <v>52</v>
      </c>
      <c r="D153" s="4">
        <v>33</v>
      </c>
      <c r="E153" s="4">
        <v>36</v>
      </c>
      <c r="F153" s="4">
        <v>26</v>
      </c>
      <c r="G153" s="4">
        <v>23</v>
      </c>
      <c r="H153" s="4">
        <v>27</v>
      </c>
      <c r="I153" s="4">
        <v>27</v>
      </c>
      <c r="J153" s="4">
        <v>18</v>
      </c>
      <c r="K153" s="4">
        <v>7</v>
      </c>
      <c r="L153" s="4"/>
      <c r="M153" s="4">
        <v>20</v>
      </c>
      <c r="N153" s="4">
        <v>145</v>
      </c>
      <c r="O153" s="5">
        <f>SUM(Tabela3239[[#This Row],[jan/23]:[dez/23]])</f>
        <v>414</v>
      </c>
    </row>
    <row r="154" spans="1:15" x14ac:dyDescent="0.25">
      <c r="A154" s="4" t="s">
        <v>307</v>
      </c>
      <c r="B154" s="4" t="s">
        <v>698</v>
      </c>
      <c r="C154" s="4">
        <v>28</v>
      </c>
      <c r="D154" s="4">
        <v>33</v>
      </c>
      <c r="E154" s="4">
        <v>22</v>
      </c>
      <c r="F154" s="4">
        <v>16</v>
      </c>
      <c r="G154" s="4">
        <v>27</v>
      </c>
      <c r="H154" s="4">
        <v>37</v>
      </c>
      <c r="I154" s="4">
        <v>32</v>
      </c>
      <c r="J154" s="4">
        <v>59</v>
      </c>
      <c r="K154" s="4">
        <v>37</v>
      </c>
      <c r="L154" s="4">
        <v>22</v>
      </c>
      <c r="M154" s="4">
        <v>41</v>
      </c>
      <c r="N154" s="4">
        <v>46</v>
      </c>
      <c r="O154" s="5">
        <f>SUM(Tabela3239[[#This Row],[jan/23]:[dez/23]])</f>
        <v>400</v>
      </c>
    </row>
    <row r="155" spans="1:15" x14ac:dyDescent="0.25">
      <c r="A155" s="4" t="s">
        <v>311</v>
      </c>
      <c r="B155" s="4" t="s">
        <v>640</v>
      </c>
      <c r="C155" s="4">
        <v>37</v>
      </c>
      <c r="D155" s="4">
        <v>47</v>
      </c>
      <c r="E155" s="4">
        <v>26</v>
      </c>
      <c r="F155" s="4">
        <v>32</v>
      </c>
      <c r="G155" s="4">
        <v>25</v>
      </c>
      <c r="H155" s="4">
        <v>37</v>
      </c>
      <c r="I155" s="4">
        <v>19</v>
      </c>
      <c r="J155" s="4">
        <v>32</v>
      </c>
      <c r="K155" s="4">
        <v>29</v>
      </c>
      <c r="L155" s="4">
        <v>36</v>
      </c>
      <c r="M155" s="4">
        <v>19</v>
      </c>
      <c r="N155" s="4">
        <v>41</v>
      </c>
      <c r="O155" s="5">
        <f>SUM(Tabela3239[[#This Row],[jan/23]:[dez/23]])</f>
        <v>380</v>
      </c>
    </row>
    <row r="156" spans="1:15" x14ac:dyDescent="0.25">
      <c r="A156" s="4" t="s">
        <v>309</v>
      </c>
      <c r="B156" s="4" t="s">
        <v>562</v>
      </c>
      <c r="C156" s="4">
        <v>39</v>
      </c>
      <c r="D156" s="4">
        <v>33</v>
      </c>
      <c r="E156" s="4">
        <v>42</v>
      </c>
      <c r="F156" s="4">
        <v>42</v>
      </c>
      <c r="G156" s="4">
        <v>38</v>
      </c>
      <c r="H156" s="4">
        <v>38</v>
      </c>
      <c r="I156" s="4">
        <v>27</v>
      </c>
      <c r="J156" s="4">
        <v>24</v>
      </c>
      <c r="K156" s="4">
        <v>28</v>
      </c>
      <c r="L156" s="4">
        <v>24</v>
      </c>
      <c r="M156" s="4">
        <v>22</v>
      </c>
      <c r="N156" s="4">
        <v>19</v>
      </c>
      <c r="O156" s="5">
        <f>SUM(Tabela3239[[#This Row],[jan/23]:[dez/23]])</f>
        <v>376</v>
      </c>
    </row>
    <row r="157" spans="1:15" x14ac:dyDescent="0.25">
      <c r="A157" s="4" t="s">
        <v>313</v>
      </c>
      <c r="B157" s="4" t="s">
        <v>707</v>
      </c>
      <c r="C157" s="4">
        <v>14</v>
      </c>
      <c r="D157" s="4">
        <v>37</v>
      </c>
      <c r="E157" s="4">
        <v>196</v>
      </c>
      <c r="F157" s="4">
        <v>56</v>
      </c>
      <c r="G157" s="4">
        <v>12</v>
      </c>
      <c r="H157" s="4">
        <v>5</v>
      </c>
      <c r="I157" s="4">
        <v>9</v>
      </c>
      <c r="J157" s="4">
        <v>11</v>
      </c>
      <c r="K157" s="4">
        <v>6</v>
      </c>
      <c r="L157" s="4">
        <v>5</v>
      </c>
      <c r="M157" s="4">
        <v>7</v>
      </c>
      <c r="N157" s="4">
        <v>5</v>
      </c>
      <c r="O157" s="5">
        <f>SUM(Tabela3239[[#This Row],[jan/23]:[dez/23]])</f>
        <v>363</v>
      </c>
    </row>
    <row r="158" spans="1:15" x14ac:dyDescent="0.25">
      <c r="A158" s="4" t="s">
        <v>317</v>
      </c>
      <c r="B158" s="4" t="s">
        <v>794</v>
      </c>
      <c r="C158" s="4">
        <v>23</v>
      </c>
      <c r="D158" s="4">
        <v>24</v>
      </c>
      <c r="E158" s="4">
        <v>20</v>
      </c>
      <c r="F158" s="4">
        <v>31</v>
      </c>
      <c r="G158" s="4">
        <v>42</v>
      </c>
      <c r="H158" s="4">
        <v>30</v>
      </c>
      <c r="I158" s="4">
        <v>40</v>
      </c>
      <c r="J158" s="4">
        <v>41</v>
      </c>
      <c r="K158" s="4">
        <v>28</v>
      </c>
      <c r="L158" s="4">
        <v>24</v>
      </c>
      <c r="M158" s="4">
        <v>21</v>
      </c>
      <c r="N158" s="4">
        <v>29</v>
      </c>
      <c r="O158" s="5">
        <f>SUM(Tabela3239[[#This Row],[jan/23]:[dez/23]])</f>
        <v>353</v>
      </c>
    </row>
    <row r="159" spans="1:15" x14ac:dyDescent="0.25">
      <c r="A159" s="4" t="s">
        <v>315</v>
      </c>
      <c r="B159" s="4" t="s">
        <v>517</v>
      </c>
      <c r="C159" s="4">
        <v>13</v>
      </c>
      <c r="D159" s="4">
        <v>11</v>
      </c>
      <c r="E159" s="4">
        <v>24</v>
      </c>
      <c r="F159" s="4">
        <v>27</v>
      </c>
      <c r="G159" s="4">
        <v>13</v>
      </c>
      <c r="H159" s="4">
        <v>24</v>
      </c>
      <c r="I159" s="4">
        <v>23</v>
      </c>
      <c r="J159" s="4">
        <v>26</v>
      </c>
      <c r="K159" s="4">
        <v>39</v>
      </c>
      <c r="L159" s="4">
        <v>31</v>
      </c>
      <c r="M159" s="4">
        <v>45</v>
      </c>
      <c r="N159" s="4">
        <v>75</v>
      </c>
      <c r="O159" s="5">
        <f>SUM(Tabela3239[[#This Row],[jan/23]:[dez/23]])</f>
        <v>351</v>
      </c>
    </row>
    <row r="160" spans="1:15" x14ac:dyDescent="0.25">
      <c r="A160" s="4" t="s">
        <v>319</v>
      </c>
      <c r="B160" s="4" t="s">
        <v>172</v>
      </c>
      <c r="C160" s="4">
        <v>18</v>
      </c>
      <c r="D160" s="4">
        <v>20</v>
      </c>
      <c r="E160" s="4">
        <v>26</v>
      </c>
      <c r="F160" s="4">
        <v>25</v>
      </c>
      <c r="G160" s="4">
        <v>15</v>
      </c>
      <c r="H160" s="4">
        <v>24</v>
      </c>
      <c r="I160" s="4">
        <v>34</v>
      </c>
      <c r="J160" s="4">
        <v>44</v>
      </c>
      <c r="K160" s="4">
        <v>33</v>
      </c>
      <c r="L160" s="4">
        <v>31</v>
      </c>
      <c r="M160" s="4">
        <v>30</v>
      </c>
      <c r="N160" s="4">
        <v>46</v>
      </c>
      <c r="O160" s="5">
        <f>SUM(Tabela3239[[#This Row],[jan/23]:[dez/23]])</f>
        <v>346</v>
      </c>
    </row>
    <row r="161" spans="1:15" x14ac:dyDescent="0.25">
      <c r="A161" s="4" t="s">
        <v>321</v>
      </c>
      <c r="B161" s="4" t="s">
        <v>144</v>
      </c>
      <c r="C161" s="4">
        <v>27</v>
      </c>
      <c r="D161" s="4">
        <v>28</v>
      </c>
      <c r="E161" s="4">
        <v>21</v>
      </c>
      <c r="F161" s="4">
        <v>31</v>
      </c>
      <c r="G161" s="4">
        <v>30</v>
      </c>
      <c r="H161" s="4">
        <v>47</v>
      </c>
      <c r="I161" s="4">
        <v>39</v>
      </c>
      <c r="J161" s="4">
        <v>26</v>
      </c>
      <c r="K161" s="4">
        <v>19</v>
      </c>
      <c r="L161" s="4">
        <v>23</v>
      </c>
      <c r="M161" s="4">
        <v>11</v>
      </c>
      <c r="N161" s="4">
        <v>34</v>
      </c>
      <c r="O161" s="5">
        <f>SUM(Tabela3239[[#This Row],[jan/23]:[dez/23]])</f>
        <v>336</v>
      </c>
    </row>
    <row r="162" spans="1:15" x14ac:dyDescent="0.25">
      <c r="A162" s="4" t="s">
        <v>323</v>
      </c>
      <c r="B162" s="4" t="s">
        <v>156</v>
      </c>
      <c r="C162" s="4">
        <v>20</v>
      </c>
      <c r="D162" s="4">
        <v>24</v>
      </c>
      <c r="E162" s="4">
        <v>34</v>
      </c>
      <c r="F162" s="4">
        <v>20</v>
      </c>
      <c r="G162" s="4">
        <v>37</v>
      </c>
      <c r="H162" s="4">
        <v>38</v>
      </c>
      <c r="I162" s="4">
        <v>32</v>
      </c>
      <c r="J162" s="4">
        <v>34</v>
      </c>
      <c r="K162" s="4">
        <v>35</v>
      </c>
      <c r="L162" s="4">
        <v>29</v>
      </c>
      <c r="M162" s="4">
        <v>17</v>
      </c>
      <c r="N162" s="4">
        <v>11</v>
      </c>
      <c r="O162" s="5">
        <f>SUM(Tabela3239[[#This Row],[jan/23]:[dez/23]])</f>
        <v>331</v>
      </c>
    </row>
    <row r="163" spans="1:15" x14ac:dyDescent="0.25">
      <c r="A163" s="4" t="s">
        <v>325</v>
      </c>
      <c r="B163" s="4" t="s">
        <v>234</v>
      </c>
      <c r="C163" s="4">
        <v>16</v>
      </c>
      <c r="D163" s="4">
        <v>20</v>
      </c>
      <c r="E163" s="4">
        <v>72</v>
      </c>
      <c r="F163" s="4">
        <v>61</v>
      </c>
      <c r="G163" s="4">
        <v>68</v>
      </c>
      <c r="H163" s="4">
        <v>79</v>
      </c>
      <c r="I163" s="4">
        <v>8</v>
      </c>
      <c r="J163" s="4">
        <v>6</v>
      </c>
      <c r="K163" s="4">
        <v>1</v>
      </c>
      <c r="L163" s="4"/>
      <c r="M163" s="4"/>
      <c r="N163" s="4"/>
      <c r="O163" s="5">
        <f>SUM(Tabela3239[[#This Row],[jan/23]:[dez/23]])</f>
        <v>331</v>
      </c>
    </row>
    <row r="164" spans="1:15" x14ac:dyDescent="0.25">
      <c r="A164" s="4" t="s">
        <v>329</v>
      </c>
      <c r="B164" s="4" t="s">
        <v>581</v>
      </c>
      <c r="C164" s="4">
        <v>56</v>
      </c>
      <c r="D164" s="4">
        <v>20</v>
      </c>
      <c r="E164" s="4">
        <v>33</v>
      </c>
      <c r="F164" s="4">
        <v>14</v>
      </c>
      <c r="G164" s="4">
        <v>23</v>
      </c>
      <c r="H164" s="4"/>
      <c r="I164" s="4">
        <v>12</v>
      </c>
      <c r="J164" s="4">
        <v>29</v>
      </c>
      <c r="K164" s="4">
        <v>50</v>
      </c>
      <c r="L164" s="4">
        <v>29</v>
      </c>
      <c r="M164" s="4">
        <v>13</v>
      </c>
      <c r="N164" s="4">
        <v>30</v>
      </c>
      <c r="O164" s="5">
        <f>SUM(Tabela3239[[#This Row],[jan/23]:[dez/23]])</f>
        <v>309</v>
      </c>
    </row>
    <row r="165" spans="1:15" x14ac:dyDescent="0.25">
      <c r="A165" s="4" t="s">
        <v>327</v>
      </c>
      <c r="B165" s="4" t="s">
        <v>675</v>
      </c>
      <c r="C165" s="4">
        <v>9</v>
      </c>
      <c r="D165" s="4">
        <v>12</v>
      </c>
      <c r="E165" s="4">
        <v>18</v>
      </c>
      <c r="F165" s="4">
        <v>8</v>
      </c>
      <c r="G165" s="4">
        <v>12</v>
      </c>
      <c r="H165" s="4">
        <v>31</v>
      </c>
      <c r="I165" s="4">
        <v>28</v>
      </c>
      <c r="J165" s="4">
        <v>24</v>
      </c>
      <c r="K165" s="4">
        <v>34</v>
      </c>
      <c r="L165" s="4">
        <v>33</v>
      </c>
      <c r="M165" s="4">
        <v>42</v>
      </c>
      <c r="N165" s="4">
        <v>55</v>
      </c>
      <c r="O165" s="5">
        <f>SUM(Tabela3239[[#This Row],[jan/23]:[dez/23]])</f>
        <v>306</v>
      </c>
    </row>
    <row r="166" spans="1:15" x14ac:dyDescent="0.25">
      <c r="A166" s="4" t="s">
        <v>331</v>
      </c>
      <c r="B166" s="4" t="s">
        <v>290</v>
      </c>
      <c r="C166" s="4">
        <v>21</v>
      </c>
      <c r="D166" s="4">
        <v>14</v>
      </c>
      <c r="E166" s="4">
        <v>22</v>
      </c>
      <c r="F166" s="4">
        <v>29</v>
      </c>
      <c r="G166" s="4">
        <v>28</v>
      </c>
      <c r="H166" s="4">
        <v>34</v>
      </c>
      <c r="I166" s="4">
        <v>20</v>
      </c>
      <c r="J166" s="4">
        <v>20</v>
      </c>
      <c r="K166" s="4">
        <v>21</v>
      </c>
      <c r="L166" s="4">
        <v>19</v>
      </c>
      <c r="M166" s="4">
        <v>20</v>
      </c>
      <c r="N166" s="4">
        <v>34</v>
      </c>
      <c r="O166" s="5">
        <f>SUM(Tabela3239[[#This Row],[jan/23]:[dez/23]])</f>
        <v>282</v>
      </c>
    </row>
    <row r="167" spans="1:15" x14ac:dyDescent="0.25">
      <c r="A167" s="4" t="s">
        <v>335</v>
      </c>
      <c r="B167" s="4" t="s">
        <v>523</v>
      </c>
      <c r="C167" s="4">
        <v>22</v>
      </c>
      <c r="D167" s="4">
        <v>26</v>
      </c>
      <c r="E167" s="4">
        <v>23</v>
      </c>
      <c r="F167" s="4">
        <v>36</v>
      </c>
      <c r="G167" s="4">
        <v>37</v>
      </c>
      <c r="H167" s="4">
        <v>26</v>
      </c>
      <c r="I167" s="4">
        <v>33</v>
      </c>
      <c r="J167" s="4">
        <v>10</v>
      </c>
      <c r="K167" s="4">
        <v>11</v>
      </c>
      <c r="L167" s="4">
        <v>9</v>
      </c>
      <c r="M167" s="4">
        <v>16</v>
      </c>
      <c r="N167" s="4">
        <v>12</v>
      </c>
      <c r="O167" s="5">
        <f>SUM(Tabela3239[[#This Row],[jan/23]:[dez/23]])</f>
        <v>261</v>
      </c>
    </row>
    <row r="168" spans="1:15" x14ac:dyDescent="0.25">
      <c r="A168" s="4" t="s">
        <v>333</v>
      </c>
      <c r="B168" s="4" t="s">
        <v>170</v>
      </c>
      <c r="C168" s="4">
        <v>71</v>
      </c>
      <c r="D168" s="4">
        <v>49</v>
      </c>
      <c r="E168" s="4">
        <v>43</v>
      </c>
      <c r="F168" s="4">
        <v>24</v>
      </c>
      <c r="G168" s="4">
        <v>34</v>
      </c>
      <c r="H168" s="4">
        <v>37</v>
      </c>
      <c r="I168" s="4"/>
      <c r="J168" s="4">
        <v>1</v>
      </c>
      <c r="K168" s="4"/>
      <c r="L168" s="4"/>
      <c r="M168" s="4"/>
      <c r="N168" s="4">
        <v>1</v>
      </c>
      <c r="O168" s="5">
        <f>SUM(Tabela3239[[#This Row],[jan/23]:[dez/23]])</f>
        <v>260</v>
      </c>
    </row>
    <row r="169" spans="1:15" x14ac:dyDescent="0.25">
      <c r="A169" s="4" t="s">
        <v>337</v>
      </c>
      <c r="B169" s="4" t="s">
        <v>545</v>
      </c>
      <c r="C169" s="4">
        <v>14</v>
      </c>
      <c r="D169" s="4">
        <v>8</v>
      </c>
      <c r="E169" s="4">
        <v>5</v>
      </c>
      <c r="F169" s="4">
        <v>22</v>
      </c>
      <c r="G169" s="4">
        <v>4</v>
      </c>
      <c r="H169" s="4">
        <v>4</v>
      </c>
      <c r="I169" s="4">
        <v>1</v>
      </c>
      <c r="J169" s="4">
        <v>13</v>
      </c>
      <c r="K169" s="4">
        <v>62</v>
      </c>
      <c r="L169" s="4">
        <v>43</v>
      </c>
      <c r="M169" s="4">
        <v>42</v>
      </c>
      <c r="N169" s="4">
        <v>37</v>
      </c>
      <c r="O169" s="5">
        <f>SUM(Tabela3239[[#This Row],[jan/23]:[dez/23]])</f>
        <v>255</v>
      </c>
    </row>
    <row r="170" spans="1:15" x14ac:dyDescent="0.25">
      <c r="A170" s="4" t="s">
        <v>341</v>
      </c>
      <c r="B170" s="4" t="s">
        <v>540</v>
      </c>
      <c r="C170" s="4">
        <v>19</v>
      </c>
      <c r="D170" s="4">
        <v>16</v>
      </c>
      <c r="E170" s="4">
        <v>28</v>
      </c>
      <c r="F170" s="4">
        <v>20</v>
      </c>
      <c r="G170" s="4">
        <v>18</v>
      </c>
      <c r="H170" s="4">
        <v>16</v>
      </c>
      <c r="I170" s="4">
        <v>26</v>
      </c>
      <c r="J170" s="4">
        <v>18</v>
      </c>
      <c r="K170" s="4">
        <v>14</v>
      </c>
      <c r="L170" s="4">
        <v>26</v>
      </c>
      <c r="M170" s="4">
        <v>34</v>
      </c>
      <c r="N170" s="4">
        <v>18</v>
      </c>
      <c r="O170" s="5">
        <f>SUM(Tabela3239[[#This Row],[jan/23]:[dez/23]])</f>
        <v>253</v>
      </c>
    </row>
    <row r="171" spans="1:15" x14ac:dyDescent="0.25">
      <c r="A171" s="4" t="s">
        <v>339</v>
      </c>
      <c r="B171" s="4" t="s">
        <v>386</v>
      </c>
      <c r="C171" s="4">
        <v>29</v>
      </c>
      <c r="D171" s="4">
        <v>17</v>
      </c>
      <c r="E171" s="4">
        <v>27</v>
      </c>
      <c r="F171" s="4">
        <v>18</v>
      </c>
      <c r="G171" s="4">
        <v>30</v>
      </c>
      <c r="H171" s="4">
        <v>17</v>
      </c>
      <c r="I171" s="4">
        <v>14</v>
      </c>
      <c r="J171" s="4">
        <v>8</v>
      </c>
      <c r="K171" s="4">
        <v>6</v>
      </c>
      <c r="L171" s="4">
        <v>19</v>
      </c>
      <c r="M171" s="4">
        <v>34</v>
      </c>
      <c r="N171" s="4">
        <v>33</v>
      </c>
      <c r="O171" s="5">
        <f>SUM(Tabela3239[[#This Row],[jan/23]:[dez/23]])</f>
        <v>252</v>
      </c>
    </row>
    <row r="172" spans="1:15" x14ac:dyDescent="0.25">
      <c r="A172" s="4" t="s">
        <v>343</v>
      </c>
      <c r="B172" s="4" t="s">
        <v>552</v>
      </c>
      <c r="C172" s="4">
        <v>36</v>
      </c>
      <c r="D172" s="4">
        <v>45</v>
      </c>
      <c r="E172" s="4">
        <v>33</v>
      </c>
      <c r="F172" s="4">
        <v>23</v>
      </c>
      <c r="G172" s="4">
        <v>16</v>
      </c>
      <c r="H172" s="4">
        <v>31</v>
      </c>
      <c r="I172" s="4">
        <v>3</v>
      </c>
      <c r="J172" s="4">
        <v>17</v>
      </c>
      <c r="K172" s="4">
        <v>15</v>
      </c>
      <c r="L172" s="4">
        <v>17</v>
      </c>
      <c r="M172" s="4">
        <v>6</v>
      </c>
      <c r="N172" s="4">
        <v>9</v>
      </c>
      <c r="O172" s="5">
        <f>SUM(Tabela3239[[#This Row],[jan/23]:[dez/23]])</f>
        <v>251</v>
      </c>
    </row>
    <row r="173" spans="1:15" x14ac:dyDescent="0.25">
      <c r="A173" s="4" t="s">
        <v>345</v>
      </c>
      <c r="B173" s="4" t="s">
        <v>268</v>
      </c>
      <c r="C173" s="4">
        <v>37</v>
      </c>
      <c r="D173" s="4">
        <v>16</v>
      </c>
      <c r="E173" s="4">
        <v>22</v>
      </c>
      <c r="F173" s="4">
        <v>18</v>
      </c>
      <c r="G173" s="4">
        <v>16</v>
      </c>
      <c r="H173" s="4">
        <v>17</v>
      </c>
      <c r="I173" s="4">
        <v>14</v>
      </c>
      <c r="J173" s="4">
        <v>24</v>
      </c>
      <c r="K173" s="4">
        <v>21</v>
      </c>
      <c r="L173" s="4">
        <v>31</v>
      </c>
      <c r="M173" s="4">
        <v>13</v>
      </c>
      <c r="N173" s="4">
        <v>8</v>
      </c>
      <c r="O173" s="5">
        <f>SUM(Tabela3239[[#This Row],[jan/23]:[dez/23]])</f>
        <v>237</v>
      </c>
    </row>
    <row r="174" spans="1:15" x14ac:dyDescent="0.25">
      <c r="A174" s="4" t="s">
        <v>347</v>
      </c>
      <c r="B174" s="4" t="s">
        <v>326</v>
      </c>
      <c r="C174" s="4"/>
      <c r="D174" s="4"/>
      <c r="E174" s="4"/>
      <c r="F174" s="4">
        <v>34</v>
      </c>
      <c r="G174" s="4">
        <v>37</v>
      </c>
      <c r="H174" s="4">
        <v>23</v>
      </c>
      <c r="I174" s="4">
        <v>29</v>
      </c>
      <c r="J174" s="4">
        <v>21</v>
      </c>
      <c r="K174" s="4">
        <v>15</v>
      </c>
      <c r="L174" s="4">
        <v>30</v>
      </c>
      <c r="M174" s="4">
        <v>26</v>
      </c>
      <c r="N174" s="4">
        <v>18</v>
      </c>
      <c r="O174" s="5">
        <f>SUM(Tabela3239[[#This Row],[jan/23]:[dez/23]])</f>
        <v>233</v>
      </c>
    </row>
    <row r="175" spans="1:15" x14ac:dyDescent="0.25">
      <c r="A175" s="4" t="s">
        <v>353</v>
      </c>
      <c r="B175" s="4" t="s">
        <v>652</v>
      </c>
      <c r="C175" s="4">
        <v>8</v>
      </c>
      <c r="D175" s="4">
        <v>19</v>
      </c>
      <c r="E175" s="4">
        <v>20</v>
      </c>
      <c r="F175" s="4">
        <v>19</v>
      </c>
      <c r="G175" s="4">
        <v>22</v>
      </c>
      <c r="H175" s="4">
        <v>16</v>
      </c>
      <c r="I175" s="4">
        <v>19</v>
      </c>
      <c r="J175" s="4">
        <v>15</v>
      </c>
      <c r="K175" s="4">
        <v>11</v>
      </c>
      <c r="L175" s="4">
        <v>16</v>
      </c>
      <c r="M175" s="4">
        <v>15</v>
      </c>
      <c r="N175" s="4">
        <v>38</v>
      </c>
      <c r="O175" s="5">
        <f>SUM(Tabela3239[[#This Row],[jan/23]:[dez/23]])</f>
        <v>218</v>
      </c>
    </row>
    <row r="176" spans="1:15" x14ac:dyDescent="0.25">
      <c r="A176" s="4" t="s">
        <v>351</v>
      </c>
      <c r="B176" s="4" t="s">
        <v>697</v>
      </c>
      <c r="C176" s="4">
        <v>41</v>
      </c>
      <c r="D176" s="4">
        <v>30</v>
      </c>
      <c r="E176" s="4">
        <v>32</v>
      </c>
      <c r="F176" s="4">
        <v>21</v>
      </c>
      <c r="G176" s="4">
        <v>17</v>
      </c>
      <c r="H176" s="4">
        <v>21</v>
      </c>
      <c r="I176" s="4">
        <v>17</v>
      </c>
      <c r="J176" s="4">
        <v>4</v>
      </c>
      <c r="K176" s="4">
        <v>5</v>
      </c>
      <c r="L176" s="4">
        <v>6</v>
      </c>
      <c r="M176" s="4">
        <v>4</v>
      </c>
      <c r="N176" s="4">
        <v>19</v>
      </c>
      <c r="O176" s="5">
        <f>SUM(Tabela3239[[#This Row],[jan/23]:[dez/23]])</f>
        <v>217</v>
      </c>
    </row>
    <row r="177" spans="1:15" x14ac:dyDescent="0.25">
      <c r="A177" s="4" t="s">
        <v>349</v>
      </c>
      <c r="B177" s="4" t="s">
        <v>716</v>
      </c>
      <c r="C177" s="4">
        <v>54</v>
      </c>
      <c r="D177" s="4">
        <v>13</v>
      </c>
      <c r="E177" s="4">
        <v>34</v>
      </c>
      <c r="F177" s="4">
        <v>12</v>
      </c>
      <c r="G177" s="4">
        <v>10</v>
      </c>
      <c r="H177" s="4">
        <v>11</v>
      </c>
      <c r="I177" s="4">
        <v>10</v>
      </c>
      <c r="J177" s="4">
        <v>13</v>
      </c>
      <c r="K177" s="4">
        <v>11</v>
      </c>
      <c r="L177" s="4">
        <v>13</v>
      </c>
      <c r="M177" s="4">
        <v>15</v>
      </c>
      <c r="N177" s="4">
        <v>18</v>
      </c>
      <c r="O177" s="5">
        <f>SUM(Tabela3239[[#This Row],[jan/23]:[dez/23]])</f>
        <v>214</v>
      </c>
    </row>
    <row r="178" spans="1:15" x14ac:dyDescent="0.25">
      <c r="A178" s="4" t="s">
        <v>355</v>
      </c>
      <c r="B178" s="4" t="s">
        <v>667</v>
      </c>
      <c r="C178" s="4">
        <v>8</v>
      </c>
      <c r="D178" s="4">
        <v>9</v>
      </c>
      <c r="E178" s="4">
        <v>20</v>
      </c>
      <c r="F178" s="4">
        <v>11</v>
      </c>
      <c r="G178" s="4">
        <v>29</v>
      </c>
      <c r="H178" s="4">
        <v>53</v>
      </c>
      <c r="I178" s="4">
        <v>39</v>
      </c>
      <c r="J178" s="4">
        <v>3</v>
      </c>
      <c r="K178" s="4">
        <v>12</v>
      </c>
      <c r="L178" s="4">
        <v>13</v>
      </c>
      <c r="M178" s="4">
        <v>10</v>
      </c>
      <c r="N178" s="4">
        <v>3</v>
      </c>
      <c r="O178" s="5">
        <f>SUM(Tabela3239[[#This Row],[jan/23]:[dez/23]])</f>
        <v>210</v>
      </c>
    </row>
    <row r="179" spans="1:15" x14ac:dyDescent="0.25">
      <c r="A179" s="4" t="s">
        <v>357</v>
      </c>
      <c r="B179" s="4" t="s">
        <v>803</v>
      </c>
      <c r="C179" s="4">
        <v>28</v>
      </c>
      <c r="D179" s="4">
        <v>27</v>
      </c>
      <c r="E179" s="4">
        <v>21</v>
      </c>
      <c r="F179" s="4">
        <v>16</v>
      </c>
      <c r="G179" s="4">
        <v>12</v>
      </c>
      <c r="H179" s="4">
        <v>7</v>
      </c>
      <c r="I179" s="4">
        <v>24</v>
      </c>
      <c r="J179" s="4">
        <v>35</v>
      </c>
      <c r="K179" s="4">
        <v>25</v>
      </c>
      <c r="L179" s="4">
        <v>9</v>
      </c>
      <c r="M179" s="4">
        <v>4</v>
      </c>
      <c r="N179" s="4">
        <v>1</v>
      </c>
      <c r="O179" s="5">
        <f>SUM(Tabela3239[[#This Row],[jan/23]:[dez/23]])</f>
        <v>209</v>
      </c>
    </row>
    <row r="180" spans="1:15" x14ac:dyDescent="0.25">
      <c r="A180" s="4" t="s">
        <v>361</v>
      </c>
      <c r="B180" s="4" t="s">
        <v>350</v>
      </c>
      <c r="C180" s="4">
        <v>24</v>
      </c>
      <c r="D180" s="4">
        <v>32</v>
      </c>
      <c r="E180" s="4">
        <v>40</v>
      </c>
      <c r="F180" s="4">
        <v>32</v>
      </c>
      <c r="G180" s="4">
        <v>16</v>
      </c>
      <c r="H180" s="4">
        <v>20</v>
      </c>
      <c r="I180" s="4"/>
      <c r="J180" s="4"/>
      <c r="K180" s="4"/>
      <c r="L180" s="4"/>
      <c r="M180" s="4"/>
      <c r="N180" s="4">
        <v>32</v>
      </c>
      <c r="O180" s="5">
        <f>SUM(Tabela3239[[#This Row],[jan/23]:[dez/23]])</f>
        <v>196</v>
      </c>
    </row>
    <row r="181" spans="1:15" x14ac:dyDescent="0.25">
      <c r="A181" s="4" t="s">
        <v>359</v>
      </c>
      <c r="B181" s="4" t="s">
        <v>280</v>
      </c>
      <c r="C181" s="4"/>
      <c r="D181" s="4"/>
      <c r="E181" s="4"/>
      <c r="F181" s="4"/>
      <c r="G181" s="4"/>
      <c r="H181" s="4">
        <v>2</v>
      </c>
      <c r="I181" s="4">
        <v>13</v>
      </c>
      <c r="J181" s="4"/>
      <c r="K181" s="4">
        <v>44</v>
      </c>
      <c r="L181" s="4">
        <v>44</v>
      </c>
      <c r="M181" s="4">
        <v>41</v>
      </c>
      <c r="N181" s="4">
        <v>44</v>
      </c>
      <c r="O181" s="5">
        <f>SUM(Tabela3239[[#This Row],[jan/23]:[dez/23]])</f>
        <v>188</v>
      </c>
    </row>
    <row r="182" spans="1:15" x14ac:dyDescent="0.25">
      <c r="A182" s="4" t="s">
        <v>365</v>
      </c>
      <c r="B182" s="4" t="s">
        <v>525</v>
      </c>
      <c r="C182" s="4">
        <v>14</v>
      </c>
      <c r="D182" s="4">
        <v>5</v>
      </c>
      <c r="E182" s="4">
        <v>7</v>
      </c>
      <c r="F182" s="4">
        <v>7</v>
      </c>
      <c r="G182" s="4">
        <v>7</v>
      </c>
      <c r="H182" s="4">
        <v>15</v>
      </c>
      <c r="I182" s="4">
        <v>28</v>
      </c>
      <c r="J182" s="4">
        <v>50</v>
      </c>
      <c r="K182" s="4">
        <v>19</v>
      </c>
      <c r="L182" s="4">
        <v>14</v>
      </c>
      <c r="M182" s="4">
        <v>8</v>
      </c>
      <c r="N182" s="4">
        <v>10</v>
      </c>
      <c r="O182" s="5">
        <f>SUM(Tabela3239[[#This Row],[jan/23]:[dez/23]])</f>
        <v>184</v>
      </c>
    </row>
    <row r="183" spans="1:15" x14ac:dyDescent="0.25">
      <c r="A183" s="4" t="s">
        <v>363</v>
      </c>
      <c r="B183" s="4" t="s">
        <v>308</v>
      </c>
      <c r="C183" s="4">
        <v>17</v>
      </c>
      <c r="D183" s="4">
        <v>22</v>
      </c>
      <c r="E183" s="4">
        <v>28</v>
      </c>
      <c r="F183" s="4">
        <v>16</v>
      </c>
      <c r="G183" s="4">
        <v>15</v>
      </c>
      <c r="H183" s="4">
        <v>14</v>
      </c>
      <c r="I183" s="4">
        <v>12</v>
      </c>
      <c r="J183" s="4">
        <v>8</v>
      </c>
      <c r="K183" s="4">
        <v>9</v>
      </c>
      <c r="L183" s="4">
        <v>5</v>
      </c>
      <c r="M183" s="4">
        <v>11</v>
      </c>
      <c r="N183" s="4">
        <v>20</v>
      </c>
      <c r="O183" s="5">
        <f>SUM(Tabela3239[[#This Row],[jan/23]:[dez/23]])</f>
        <v>177</v>
      </c>
    </row>
    <row r="184" spans="1:15" x14ac:dyDescent="0.25">
      <c r="A184" s="4" t="s">
        <v>369</v>
      </c>
      <c r="B184" s="4" t="s">
        <v>758</v>
      </c>
      <c r="C184" s="4">
        <v>19</v>
      </c>
      <c r="D184" s="4">
        <v>13</v>
      </c>
      <c r="E184" s="4">
        <v>48</v>
      </c>
      <c r="F184" s="4">
        <v>6</v>
      </c>
      <c r="G184" s="4">
        <v>9</v>
      </c>
      <c r="H184" s="4">
        <v>7</v>
      </c>
      <c r="I184" s="4">
        <v>5</v>
      </c>
      <c r="J184" s="4">
        <v>10</v>
      </c>
      <c r="K184" s="4">
        <v>9</v>
      </c>
      <c r="L184" s="4">
        <v>10</v>
      </c>
      <c r="M184" s="4">
        <v>9</v>
      </c>
      <c r="N184" s="4">
        <v>15</v>
      </c>
      <c r="O184" s="5">
        <f>SUM(Tabela3239[[#This Row],[jan/23]:[dez/23]])</f>
        <v>160</v>
      </c>
    </row>
    <row r="185" spans="1:15" x14ac:dyDescent="0.25">
      <c r="A185" s="4" t="s">
        <v>367</v>
      </c>
      <c r="B185" s="4" t="s">
        <v>743</v>
      </c>
      <c r="C185" s="4">
        <v>12</v>
      </c>
      <c r="D185" s="4">
        <v>14</v>
      </c>
      <c r="E185" s="4">
        <v>14</v>
      </c>
      <c r="F185" s="4">
        <v>14</v>
      </c>
      <c r="G185" s="4">
        <v>21</v>
      </c>
      <c r="H185" s="4">
        <v>19</v>
      </c>
      <c r="I185" s="4">
        <v>12</v>
      </c>
      <c r="J185" s="4">
        <v>11</v>
      </c>
      <c r="K185" s="4">
        <v>12</v>
      </c>
      <c r="L185" s="4">
        <v>11</v>
      </c>
      <c r="M185" s="4">
        <v>5</v>
      </c>
      <c r="N185" s="4">
        <v>11</v>
      </c>
      <c r="O185" s="5">
        <f>SUM(Tabela3239[[#This Row],[jan/23]:[dez/23]])</f>
        <v>156</v>
      </c>
    </row>
    <row r="186" spans="1:15" x14ac:dyDescent="0.25">
      <c r="A186" s="4" t="s">
        <v>371</v>
      </c>
      <c r="B186" s="4" t="s">
        <v>242</v>
      </c>
      <c r="C186" s="4">
        <v>12</v>
      </c>
      <c r="D186" s="4">
        <v>24</v>
      </c>
      <c r="E186" s="4">
        <v>35</v>
      </c>
      <c r="F186" s="4">
        <v>28</v>
      </c>
      <c r="G186" s="4">
        <v>24</v>
      </c>
      <c r="H186" s="4">
        <v>10</v>
      </c>
      <c r="I186" s="4">
        <v>4</v>
      </c>
      <c r="J186" s="4">
        <v>6</v>
      </c>
      <c r="K186" s="4">
        <v>4</v>
      </c>
      <c r="L186" s="4"/>
      <c r="M186" s="4">
        <v>3</v>
      </c>
      <c r="N186" s="4">
        <v>3</v>
      </c>
      <c r="O186" s="5">
        <f>SUM(Tabela3239[[#This Row],[jan/23]:[dez/23]])</f>
        <v>153</v>
      </c>
    </row>
    <row r="187" spans="1:15" x14ac:dyDescent="0.25">
      <c r="A187" s="4" t="s">
        <v>373</v>
      </c>
      <c r="B187" s="4" t="s">
        <v>580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>
        <v>56</v>
      </c>
      <c r="N187" s="4">
        <v>96</v>
      </c>
      <c r="O187" s="5">
        <f>SUM(Tabela3239[[#This Row],[jan/23]:[dez/23]])</f>
        <v>152</v>
      </c>
    </row>
    <row r="188" spans="1:15" x14ac:dyDescent="0.25">
      <c r="A188" s="4" t="s">
        <v>375</v>
      </c>
      <c r="B188" s="4" t="s">
        <v>596</v>
      </c>
      <c r="C188" s="4">
        <v>8</v>
      </c>
      <c r="D188" s="4">
        <v>7</v>
      </c>
      <c r="E188" s="4">
        <v>9</v>
      </c>
      <c r="F188" s="4">
        <v>14</v>
      </c>
      <c r="G188" s="4">
        <v>8</v>
      </c>
      <c r="H188" s="4">
        <v>9</v>
      </c>
      <c r="I188" s="4">
        <v>14</v>
      </c>
      <c r="J188" s="4">
        <v>15</v>
      </c>
      <c r="K188" s="4">
        <v>17</v>
      </c>
      <c r="L188" s="4">
        <v>6</v>
      </c>
      <c r="M188" s="4">
        <v>16</v>
      </c>
      <c r="N188" s="4">
        <v>23</v>
      </c>
      <c r="O188" s="5">
        <f>SUM(Tabela3239[[#This Row],[jan/23]:[dez/23]])</f>
        <v>146</v>
      </c>
    </row>
    <row r="189" spans="1:15" x14ac:dyDescent="0.25">
      <c r="A189" s="4" t="s">
        <v>377</v>
      </c>
      <c r="B189" s="4" t="s">
        <v>204</v>
      </c>
      <c r="C189" s="4">
        <v>8</v>
      </c>
      <c r="D189" s="4">
        <v>1</v>
      </c>
      <c r="E189" s="4">
        <v>4</v>
      </c>
      <c r="F189" s="4">
        <v>4</v>
      </c>
      <c r="G189" s="4">
        <v>8</v>
      </c>
      <c r="H189" s="4">
        <v>11</v>
      </c>
      <c r="I189" s="4">
        <v>23</v>
      </c>
      <c r="J189" s="4">
        <v>31</v>
      </c>
      <c r="K189" s="4">
        <v>23</v>
      </c>
      <c r="L189" s="4">
        <v>11</v>
      </c>
      <c r="M189" s="4">
        <v>2</v>
      </c>
      <c r="N189" s="4">
        <v>15</v>
      </c>
      <c r="O189" s="5">
        <f>SUM(Tabela3239[[#This Row],[jan/23]:[dez/23]])</f>
        <v>141</v>
      </c>
    </row>
    <row r="190" spans="1:15" x14ac:dyDescent="0.25">
      <c r="A190" s="4" t="s">
        <v>379</v>
      </c>
      <c r="B190" s="4" t="s">
        <v>288</v>
      </c>
      <c r="C190" s="4">
        <v>10</v>
      </c>
      <c r="D190" s="4">
        <v>13</v>
      </c>
      <c r="E190" s="4">
        <v>22</v>
      </c>
      <c r="F190" s="4">
        <v>22</v>
      </c>
      <c r="G190" s="4">
        <v>10</v>
      </c>
      <c r="H190" s="4">
        <v>12</v>
      </c>
      <c r="I190" s="4">
        <v>10</v>
      </c>
      <c r="J190" s="4">
        <v>11</v>
      </c>
      <c r="K190" s="4">
        <v>6</v>
      </c>
      <c r="L190" s="4">
        <v>12</v>
      </c>
      <c r="M190" s="4">
        <v>3</v>
      </c>
      <c r="N190" s="4">
        <v>6</v>
      </c>
      <c r="O190" s="5">
        <f>SUM(Tabela3239[[#This Row],[jan/23]:[dez/23]])</f>
        <v>137</v>
      </c>
    </row>
    <row r="191" spans="1:15" x14ac:dyDescent="0.25">
      <c r="A191" s="4" t="s">
        <v>383</v>
      </c>
      <c r="B191" s="4" t="s">
        <v>603</v>
      </c>
      <c r="C191" s="4">
        <v>15</v>
      </c>
      <c r="D191" s="4">
        <v>10</v>
      </c>
      <c r="E191" s="4">
        <v>14</v>
      </c>
      <c r="F191" s="4">
        <v>21</v>
      </c>
      <c r="G191" s="4">
        <v>6</v>
      </c>
      <c r="H191" s="4">
        <v>15</v>
      </c>
      <c r="I191" s="4">
        <v>9</v>
      </c>
      <c r="J191" s="4">
        <v>8</v>
      </c>
      <c r="K191" s="4">
        <v>3</v>
      </c>
      <c r="L191" s="4">
        <v>10</v>
      </c>
      <c r="M191" s="4">
        <v>9</v>
      </c>
      <c r="N191" s="4">
        <v>8</v>
      </c>
      <c r="O191" s="5">
        <f>SUM(Tabela3239[[#This Row],[jan/23]:[dez/23]])</f>
        <v>128</v>
      </c>
    </row>
    <row r="192" spans="1:15" x14ac:dyDescent="0.25">
      <c r="A192" s="4" t="s">
        <v>381</v>
      </c>
      <c r="B192" s="4" t="s">
        <v>664</v>
      </c>
      <c r="C192" s="4">
        <v>17</v>
      </c>
      <c r="D192" s="4">
        <v>6</v>
      </c>
      <c r="E192" s="4">
        <v>12</v>
      </c>
      <c r="F192" s="4">
        <v>5</v>
      </c>
      <c r="G192" s="4">
        <v>14</v>
      </c>
      <c r="H192" s="4">
        <v>15</v>
      </c>
      <c r="I192" s="4">
        <v>8</v>
      </c>
      <c r="J192" s="4">
        <v>11</v>
      </c>
      <c r="K192" s="4">
        <v>6</v>
      </c>
      <c r="L192" s="4">
        <v>9</v>
      </c>
      <c r="M192" s="4">
        <v>14</v>
      </c>
      <c r="N192" s="4">
        <v>10</v>
      </c>
      <c r="O192" s="5">
        <f>SUM(Tabela3239[[#This Row],[jan/23]:[dez/23]])</f>
        <v>127</v>
      </c>
    </row>
    <row r="193" spans="1:15" x14ac:dyDescent="0.25">
      <c r="A193" s="4" t="s">
        <v>385</v>
      </c>
      <c r="B193" s="4" t="s">
        <v>332</v>
      </c>
      <c r="C193" s="4">
        <v>13</v>
      </c>
      <c r="D193" s="4">
        <v>17</v>
      </c>
      <c r="E193" s="4">
        <v>12</v>
      </c>
      <c r="F193" s="4">
        <v>8</v>
      </c>
      <c r="G193" s="4">
        <v>9</v>
      </c>
      <c r="H193" s="4">
        <v>15</v>
      </c>
      <c r="I193" s="4">
        <v>10</v>
      </c>
      <c r="J193" s="4">
        <v>18</v>
      </c>
      <c r="K193" s="4">
        <v>6</v>
      </c>
      <c r="L193" s="4">
        <v>5</v>
      </c>
      <c r="M193" s="4">
        <v>3</v>
      </c>
      <c r="N193" s="4">
        <v>8</v>
      </c>
      <c r="O193" s="5">
        <f>SUM(Tabela3239[[#This Row],[jan/23]:[dez/23]])</f>
        <v>124</v>
      </c>
    </row>
    <row r="194" spans="1:15" x14ac:dyDescent="0.25">
      <c r="A194" s="4" t="s">
        <v>389</v>
      </c>
      <c r="B194" s="4" t="s">
        <v>450</v>
      </c>
      <c r="C194" s="4">
        <v>14</v>
      </c>
      <c r="D194" s="4">
        <v>15</v>
      </c>
      <c r="E194" s="4">
        <v>12</v>
      </c>
      <c r="F194" s="4">
        <v>13</v>
      </c>
      <c r="G194" s="4">
        <v>22</v>
      </c>
      <c r="H194" s="4">
        <v>16</v>
      </c>
      <c r="I194" s="4">
        <v>12</v>
      </c>
      <c r="J194" s="4">
        <v>6</v>
      </c>
      <c r="K194" s="4">
        <v>1</v>
      </c>
      <c r="L194" s="4">
        <v>1</v>
      </c>
      <c r="M194" s="4">
        <v>7</v>
      </c>
      <c r="N194" s="4">
        <v>3</v>
      </c>
      <c r="O194" s="5">
        <f>SUM(Tabela3239[[#This Row],[jan/23]:[dez/23]])</f>
        <v>122</v>
      </c>
    </row>
    <row r="195" spans="1:15" x14ac:dyDescent="0.25">
      <c r="A195" s="4" t="s">
        <v>387</v>
      </c>
      <c r="B195" s="4" t="s">
        <v>583</v>
      </c>
      <c r="C195" s="4">
        <v>12</v>
      </c>
      <c r="D195" s="4">
        <v>3</v>
      </c>
      <c r="E195" s="4">
        <v>6</v>
      </c>
      <c r="F195" s="4">
        <v>15</v>
      </c>
      <c r="G195" s="4">
        <v>14</v>
      </c>
      <c r="H195" s="4">
        <v>13</v>
      </c>
      <c r="I195" s="4">
        <v>15</v>
      </c>
      <c r="J195" s="4">
        <v>8</v>
      </c>
      <c r="K195" s="4">
        <v>5</v>
      </c>
      <c r="L195" s="4">
        <v>7</v>
      </c>
      <c r="M195" s="4">
        <v>2</v>
      </c>
      <c r="N195" s="4">
        <v>22</v>
      </c>
      <c r="O195" s="5">
        <f>SUM(Tabela3239[[#This Row],[jan/23]:[dez/23]])</f>
        <v>122</v>
      </c>
    </row>
    <row r="196" spans="1:15" x14ac:dyDescent="0.25">
      <c r="A196" s="4" t="s">
        <v>391</v>
      </c>
      <c r="B196" s="4" t="s">
        <v>721</v>
      </c>
      <c r="C196" s="4">
        <v>7</v>
      </c>
      <c r="D196" s="4">
        <v>5</v>
      </c>
      <c r="E196" s="4">
        <v>9</v>
      </c>
      <c r="F196" s="4">
        <v>9</v>
      </c>
      <c r="G196" s="4">
        <v>10</v>
      </c>
      <c r="H196" s="4">
        <v>9</v>
      </c>
      <c r="I196" s="4">
        <v>11</v>
      </c>
      <c r="J196" s="4">
        <v>10</v>
      </c>
      <c r="K196" s="4">
        <v>17</v>
      </c>
      <c r="L196" s="4">
        <v>14</v>
      </c>
      <c r="M196" s="4">
        <v>8</v>
      </c>
      <c r="N196" s="4">
        <v>6</v>
      </c>
      <c r="O196" s="5">
        <f>SUM(Tabela3239[[#This Row],[jan/23]:[dez/23]])</f>
        <v>115</v>
      </c>
    </row>
    <row r="197" spans="1:15" x14ac:dyDescent="0.25">
      <c r="A197" s="4" t="s">
        <v>393</v>
      </c>
      <c r="B197" s="4" t="s">
        <v>286</v>
      </c>
      <c r="C197" s="4">
        <v>3</v>
      </c>
      <c r="D197" s="4">
        <v>4</v>
      </c>
      <c r="E197" s="4"/>
      <c r="F197" s="4"/>
      <c r="G197" s="4">
        <v>9</v>
      </c>
      <c r="H197" s="4">
        <v>5</v>
      </c>
      <c r="I197" s="4">
        <v>3</v>
      </c>
      <c r="J197" s="4">
        <v>16</v>
      </c>
      <c r="K197" s="4">
        <v>15</v>
      </c>
      <c r="L197" s="4">
        <v>24</v>
      </c>
      <c r="M197" s="4">
        <v>17</v>
      </c>
      <c r="N197" s="4">
        <v>16</v>
      </c>
      <c r="O197" s="5">
        <f>SUM(Tabela3239[[#This Row],[jan/23]:[dez/23]])</f>
        <v>112</v>
      </c>
    </row>
    <row r="198" spans="1:15" x14ac:dyDescent="0.25">
      <c r="A198" s="4" t="s">
        <v>397</v>
      </c>
      <c r="B198" s="4" t="s">
        <v>274</v>
      </c>
      <c r="C198" s="4">
        <v>15</v>
      </c>
      <c r="D198" s="4">
        <v>16</v>
      </c>
      <c r="E198" s="4">
        <v>10</v>
      </c>
      <c r="F198" s="4">
        <v>11</v>
      </c>
      <c r="G198" s="4">
        <v>5</v>
      </c>
      <c r="H198" s="4">
        <v>8</v>
      </c>
      <c r="I198" s="4">
        <v>7</v>
      </c>
      <c r="J198" s="4">
        <v>12</v>
      </c>
      <c r="K198" s="4">
        <v>9</v>
      </c>
      <c r="L198" s="4">
        <v>4</v>
      </c>
      <c r="M198" s="4">
        <v>5</v>
      </c>
      <c r="N198" s="4">
        <v>9</v>
      </c>
      <c r="O198" s="5">
        <f>SUM(Tabela3239[[#This Row],[jan/23]:[dez/23]])</f>
        <v>111</v>
      </c>
    </row>
    <row r="199" spans="1:15" x14ac:dyDescent="0.25">
      <c r="A199" s="4" t="s">
        <v>395</v>
      </c>
      <c r="B199" s="4" t="s">
        <v>801</v>
      </c>
      <c r="C199" s="4">
        <v>31</v>
      </c>
      <c r="D199" s="4">
        <v>35</v>
      </c>
      <c r="E199" s="4">
        <v>45</v>
      </c>
      <c r="F199" s="4"/>
      <c r="G199" s="4"/>
      <c r="H199" s="4"/>
      <c r="I199" s="4"/>
      <c r="J199" s="4"/>
      <c r="K199" s="4"/>
      <c r="L199" s="4"/>
      <c r="M199" s="4"/>
      <c r="N199" s="4"/>
      <c r="O199" s="5">
        <f>SUM(Tabela3239[[#This Row],[jan/23]:[dez/23]])</f>
        <v>111</v>
      </c>
    </row>
    <row r="200" spans="1:15" x14ac:dyDescent="0.25">
      <c r="A200" s="4" t="s">
        <v>399</v>
      </c>
      <c r="B200" s="4" t="s">
        <v>394</v>
      </c>
      <c r="C200" s="4">
        <v>10</v>
      </c>
      <c r="D200" s="4">
        <v>6</v>
      </c>
      <c r="E200" s="4">
        <v>10</v>
      </c>
      <c r="F200" s="4">
        <v>7</v>
      </c>
      <c r="G200" s="4">
        <v>8</v>
      </c>
      <c r="H200" s="4">
        <v>9</v>
      </c>
      <c r="I200" s="4">
        <v>11</v>
      </c>
      <c r="J200" s="4">
        <v>7</v>
      </c>
      <c r="K200" s="4">
        <v>10</v>
      </c>
      <c r="L200" s="4">
        <v>9</v>
      </c>
      <c r="M200" s="4">
        <v>13</v>
      </c>
      <c r="N200" s="4">
        <v>7</v>
      </c>
      <c r="O200" s="5">
        <f>SUM(Tabela3239[[#This Row],[jan/23]:[dez/23]])</f>
        <v>107</v>
      </c>
    </row>
    <row r="201" spans="1:15" x14ac:dyDescent="0.25">
      <c r="A201" s="4" t="s">
        <v>401</v>
      </c>
      <c r="B201" s="4" t="s">
        <v>745</v>
      </c>
      <c r="C201" s="4">
        <v>17</v>
      </c>
      <c r="D201" s="4">
        <v>18</v>
      </c>
      <c r="E201" s="4">
        <v>21</v>
      </c>
      <c r="F201" s="4">
        <v>5</v>
      </c>
      <c r="G201" s="4">
        <v>6</v>
      </c>
      <c r="H201" s="4">
        <v>4</v>
      </c>
      <c r="I201" s="4">
        <v>5</v>
      </c>
      <c r="J201" s="4">
        <v>2</v>
      </c>
      <c r="K201" s="4">
        <v>9</v>
      </c>
      <c r="L201" s="4">
        <v>6</v>
      </c>
      <c r="M201" s="4">
        <v>3</v>
      </c>
      <c r="N201" s="4">
        <v>9</v>
      </c>
      <c r="O201" s="5">
        <f>SUM(Tabela3239[[#This Row],[jan/23]:[dez/23]])</f>
        <v>105</v>
      </c>
    </row>
    <row r="202" spans="1:15" x14ac:dyDescent="0.25">
      <c r="A202" s="4" t="s">
        <v>409</v>
      </c>
      <c r="B202" s="4" t="s">
        <v>670</v>
      </c>
      <c r="C202" s="4">
        <v>11</v>
      </c>
      <c r="D202" s="4">
        <v>4</v>
      </c>
      <c r="E202" s="4">
        <v>17</v>
      </c>
      <c r="F202" s="4">
        <v>4</v>
      </c>
      <c r="G202" s="4">
        <v>9</v>
      </c>
      <c r="H202" s="4">
        <v>12</v>
      </c>
      <c r="I202" s="4">
        <v>8</v>
      </c>
      <c r="J202" s="4">
        <v>13</v>
      </c>
      <c r="K202" s="4">
        <v>3</v>
      </c>
      <c r="L202" s="4">
        <v>6</v>
      </c>
      <c r="M202" s="4">
        <v>9</v>
      </c>
      <c r="N202" s="4">
        <v>6</v>
      </c>
      <c r="O202" s="5">
        <f>SUM(Tabela3239[[#This Row],[jan/23]:[dez/23]])</f>
        <v>102</v>
      </c>
    </row>
    <row r="203" spans="1:15" x14ac:dyDescent="0.25">
      <c r="A203" s="4" t="s">
        <v>407</v>
      </c>
      <c r="B203" s="4" t="s">
        <v>663</v>
      </c>
      <c r="C203" s="4">
        <v>5</v>
      </c>
      <c r="D203" s="4">
        <v>4</v>
      </c>
      <c r="E203" s="4">
        <v>6</v>
      </c>
      <c r="F203" s="4">
        <v>11</v>
      </c>
      <c r="G203" s="4">
        <v>9</v>
      </c>
      <c r="H203" s="4">
        <v>7</v>
      </c>
      <c r="I203" s="4">
        <v>10</v>
      </c>
      <c r="J203" s="4">
        <v>7</v>
      </c>
      <c r="K203" s="4">
        <v>6</v>
      </c>
      <c r="L203" s="4">
        <v>10</v>
      </c>
      <c r="M203" s="4">
        <v>13</v>
      </c>
      <c r="N203" s="4">
        <v>12</v>
      </c>
      <c r="O203" s="5">
        <f>SUM(Tabela3239[[#This Row],[jan/23]:[dez/23]])</f>
        <v>100</v>
      </c>
    </row>
    <row r="204" spans="1:15" x14ac:dyDescent="0.25">
      <c r="A204" s="4" t="s">
        <v>405</v>
      </c>
      <c r="B204" s="4" t="s">
        <v>795</v>
      </c>
      <c r="C204" s="4">
        <v>20</v>
      </c>
      <c r="D204" s="4">
        <v>10</v>
      </c>
      <c r="E204" s="4">
        <v>7</v>
      </c>
      <c r="F204" s="4">
        <v>7</v>
      </c>
      <c r="G204" s="4">
        <v>7</v>
      </c>
      <c r="H204" s="4">
        <v>12</v>
      </c>
      <c r="I204" s="4">
        <v>10</v>
      </c>
      <c r="J204" s="4">
        <v>3</v>
      </c>
      <c r="K204" s="4">
        <v>4</v>
      </c>
      <c r="L204" s="4">
        <v>2</v>
      </c>
      <c r="M204" s="4">
        <v>5</v>
      </c>
      <c r="N204" s="4">
        <v>10</v>
      </c>
      <c r="O204" s="5">
        <f>SUM(Tabela3239[[#This Row],[jan/23]:[dez/23]])</f>
        <v>97</v>
      </c>
    </row>
    <row r="205" spans="1:15" x14ac:dyDescent="0.25">
      <c r="A205" s="4" t="s">
        <v>403</v>
      </c>
      <c r="B205" s="4" t="s">
        <v>753</v>
      </c>
      <c r="C205" s="4">
        <v>21</v>
      </c>
      <c r="D205" s="4">
        <v>9</v>
      </c>
      <c r="E205" s="4">
        <v>14</v>
      </c>
      <c r="F205" s="4">
        <v>7</v>
      </c>
      <c r="G205" s="4">
        <v>2</v>
      </c>
      <c r="H205" s="4">
        <v>5</v>
      </c>
      <c r="I205" s="4">
        <v>6</v>
      </c>
      <c r="J205" s="4">
        <v>10</v>
      </c>
      <c r="K205" s="4">
        <v>8</v>
      </c>
      <c r="L205" s="4">
        <v>5</v>
      </c>
      <c r="M205" s="4">
        <v>1</v>
      </c>
      <c r="N205" s="4">
        <v>8</v>
      </c>
      <c r="O205" s="5">
        <f>SUM(Tabela3239[[#This Row],[jan/23]:[dez/23]])</f>
        <v>96</v>
      </c>
    </row>
    <row r="206" spans="1:15" x14ac:dyDescent="0.25">
      <c r="A206" s="4" t="s">
        <v>413</v>
      </c>
      <c r="B206" s="4" t="s">
        <v>815</v>
      </c>
      <c r="C206" s="4">
        <v>6</v>
      </c>
      <c r="D206" s="4">
        <v>6</v>
      </c>
      <c r="E206" s="4">
        <v>11</v>
      </c>
      <c r="F206" s="4">
        <v>4</v>
      </c>
      <c r="G206" s="4">
        <v>12</v>
      </c>
      <c r="H206" s="4">
        <v>6</v>
      </c>
      <c r="I206" s="4">
        <v>9</v>
      </c>
      <c r="J206" s="4">
        <v>8</v>
      </c>
      <c r="K206" s="4">
        <v>2</v>
      </c>
      <c r="L206" s="4">
        <v>7</v>
      </c>
      <c r="M206" s="4">
        <v>9</v>
      </c>
      <c r="N206" s="4">
        <v>14</v>
      </c>
      <c r="O206" s="5">
        <f>SUM(Tabela3239[[#This Row],[jan/23]:[dez/23]])</f>
        <v>94</v>
      </c>
    </row>
    <row r="207" spans="1:15" x14ac:dyDescent="0.25">
      <c r="A207" s="4" t="s">
        <v>411</v>
      </c>
      <c r="B207" s="4" t="s">
        <v>752</v>
      </c>
      <c r="C207" s="4"/>
      <c r="D207" s="4">
        <v>1</v>
      </c>
      <c r="E207" s="4">
        <v>3</v>
      </c>
      <c r="F207" s="4">
        <v>4</v>
      </c>
      <c r="G207" s="4">
        <v>3</v>
      </c>
      <c r="H207" s="4">
        <v>4</v>
      </c>
      <c r="I207" s="4">
        <v>16</v>
      </c>
      <c r="J207" s="4">
        <v>17</v>
      </c>
      <c r="K207" s="4">
        <v>9</v>
      </c>
      <c r="L207" s="4">
        <v>5</v>
      </c>
      <c r="M207" s="4">
        <v>8</v>
      </c>
      <c r="N207" s="4">
        <v>8</v>
      </c>
      <c r="O207" s="5">
        <f>SUM(Tabela3239[[#This Row],[jan/23]:[dez/23]])</f>
        <v>78</v>
      </c>
    </row>
    <row r="208" spans="1:15" x14ac:dyDescent="0.25">
      <c r="A208" s="4" t="s">
        <v>417</v>
      </c>
      <c r="B208" s="4" t="s">
        <v>747</v>
      </c>
      <c r="C208" s="4">
        <v>12</v>
      </c>
      <c r="D208" s="4">
        <v>10</v>
      </c>
      <c r="E208" s="4">
        <v>9</v>
      </c>
      <c r="F208" s="4">
        <v>5</v>
      </c>
      <c r="G208" s="4">
        <v>5</v>
      </c>
      <c r="H208" s="4">
        <v>9</v>
      </c>
      <c r="I208" s="4">
        <v>6</v>
      </c>
      <c r="J208" s="4">
        <v>6</v>
      </c>
      <c r="K208" s="4">
        <v>3</v>
      </c>
      <c r="L208" s="4">
        <v>10</v>
      </c>
      <c r="M208" s="4">
        <v>2</v>
      </c>
      <c r="N208" s="4"/>
      <c r="O208" s="5">
        <f>SUM(Tabela3239[[#This Row],[jan/23]:[dez/23]])</f>
        <v>77</v>
      </c>
    </row>
    <row r="209" spans="1:15" x14ac:dyDescent="0.25">
      <c r="A209" s="4" t="s">
        <v>415</v>
      </c>
      <c r="B209" s="4" t="s">
        <v>669</v>
      </c>
      <c r="C209" s="4">
        <v>1</v>
      </c>
      <c r="D209" s="4">
        <v>1</v>
      </c>
      <c r="E209" s="4"/>
      <c r="F209" s="4">
        <v>8</v>
      </c>
      <c r="G209" s="4">
        <v>3</v>
      </c>
      <c r="H209" s="4">
        <v>7</v>
      </c>
      <c r="I209" s="4">
        <v>4</v>
      </c>
      <c r="J209" s="4">
        <v>8</v>
      </c>
      <c r="K209" s="4">
        <v>6</v>
      </c>
      <c r="L209" s="4">
        <v>6</v>
      </c>
      <c r="M209" s="4">
        <v>23</v>
      </c>
      <c r="N209" s="4">
        <v>8</v>
      </c>
      <c r="O209" s="5">
        <f>SUM(Tabela3239[[#This Row],[jan/23]:[dez/23]])</f>
        <v>75</v>
      </c>
    </row>
    <row r="210" spans="1:15" x14ac:dyDescent="0.25">
      <c r="A210" s="4" t="s">
        <v>421</v>
      </c>
      <c r="B210" s="4" t="s">
        <v>748</v>
      </c>
      <c r="C210" s="4">
        <v>15</v>
      </c>
      <c r="D210" s="4">
        <v>11</v>
      </c>
      <c r="E210" s="4">
        <v>8</v>
      </c>
      <c r="F210" s="4">
        <v>9</v>
      </c>
      <c r="G210" s="4">
        <v>8</v>
      </c>
      <c r="H210" s="4">
        <v>5</v>
      </c>
      <c r="I210" s="4">
        <v>2</v>
      </c>
      <c r="J210" s="4">
        <v>3</v>
      </c>
      <c r="K210" s="4">
        <v>3</v>
      </c>
      <c r="L210" s="4">
        <v>3</v>
      </c>
      <c r="M210" s="4">
        <v>2</v>
      </c>
      <c r="N210" s="4">
        <v>3</v>
      </c>
      <c r="O210" s="5">
        <f>SUM(Tabela3239[[#This Row],[jan/23]:[dez/23]])</f>
        <v>72</v>
      </c>
    </row>
    <row r="211" spans="1:15" x14ac:dyDescent="0.25">
      <c r="A211" s="4" t="s">
        <v>419</v>
      </c>
      <c r="B211" s="4" t="s">
        <v>615</v>
      </c>
      <c r="C211" s="4">
        <v>12</v>
      </c>
      <c r="D211" s="4">
        <v>6</v>
      </c>
      <c r="E211" s="4">
        <v>10</v>
      </c>
      <c r="F211" s="4">
        <v>7</v>
      </c>
      <c r="G211" s="4">
        <v>5</v>
      </c>
      <c r="H211" s="4">
        <v>6</v>
      </c>
      <c r="I211" s="4">
        <v>5</v>
      </c>
      <c r="J211" s="4">
        <v>4</v>
      </c>
      <c r="K211" s="4">
        <v>3</v>
      </c>
      <c r="L211" s="4">
        <v>5</v>
      </c>
      <c r="M211" s="4">
        <v>2</v>
      </c>
      <c r="N211" s="4">
        <v>3</v>
      </c>
      <c r="O211" s="5">
        <f>SUM(Tabela3239[[#This Row],[jan/23]:[dez/23]])</f>
        <v>68</v>
      </c>
    </row>
    <row r="212" spans="1:15" x14ac:dyDescent="0.25">
      <c r="A212" s="4" t="s">
        <v>423</v>
      </c>
      <c r="B212" s="4" t="s">
        <v>496</v>
      </c>
      <c r="C212" s="4">
        <v>9</v>
      </c>
      <c r="D212" s="4">
        <v>5</v>
      </c>
      <c r="E212" s="4">
        <v>1</v>
      </c>
      <c r="F212" s="4">
        <v>3</v>
      </c>
      <c r="G212" s="4">
        <v>7</v>
      </c>
      <c r="H212" s="4">
        <v>3</v>
      </c>
      <c r="I212" s="4">
        <v>11</v>
      </c>
      <c r="J212" s="4">
        <v>3</v>
      </c>
      <c r="K212" s="4">
        <v>10</v>
      </c>
      <c r="L212" s="4">
        <v>5</v>
      </c>
      <c r="M212" s="4">
        <v>3</v>
      </c>
      <c r="N212" s="4">
        <v>7</v>
      </c>
      <c r="O212" s="5">
        <f>SUM(Tabela3239[[#This Row],[jan/23]:[dez/23]])</f>
        <v>67</v>
      </c>
    </row>
    <row r="213" spans="1:15" x14ac:dyDescent="0.25">
      <c r="A213" s="4" t="s">
        <v>427</v>
      </c>
      <c r="B213" s="4" t="s">
        <v>418</v>
      </c>
      <c r="C213" s="4">
        <v>8</v>
      </c>
      <c r="D213" s="4">
        <v>6</v>
      </c>
      <c r="E213" s="4">
        <v>4</v>
      </c>
      <c r="F213" s="4">
        <v>6</v>
      </c>
      <c r="G213" s="4">
        <v>5</v>
      </c>
      <c r="H213" s="4">
        <v>8</v>
      </c>
      <c r="I213" s="4">
        <v>7</v>
      </c>
      <c r="J213" s="4">
        <v>1</v>
      </c>
      <c r="K213" s="4">
        <v>5</v>
      </c>
      <c r="L213" s="4">
        <v>9</v>
      </c>
      <c r="M213" s="4">
        <v>4</v>
      </c>
      <c r="N213" s="4">
        <v>4</v>
      </c>
      <c r="O213" s="5">
        <f>SUM(Tabela3239[[#This Row],[jan/23]:[dez/23]])</f>
        <v>67</v>
      </c>
    </row>
    <row r="214" spans="1:15" x14ac:dyDescent="0.25">
      <c r="A214" s="4" t="s">
        <v>425</v>
      </c>
      <c r="B214" s="4" t="s">
        <v>689</v>
      </c>
      <c r="C214" s="4">
        <v>2</v>
      </c>
      <c r="D214" s="4">
        <v>3</v>
      </c>
      <c r="E214" s="4">
        <v>11</v>
      </c>
      <c r="F214" s="4">
        <v>1</v>
      </c>
      <c r="G214" s="4">
        <v>2</v>
      </c>
      <c r="H214" s="4">
        <v>9</v>
      </c>
      <c r="I214" s="4">
        <v>7</v>
      </c>
      <c r="J214" s="4">
        <v>4</v>
      </c>
      <c r="K214" s="4">
        <v>7</v>
      </c>
      <c r="L214" s="4">
        <v>8</v>
      </c>
      <c r="M214" s="4">
        <v>8</v>
      </c>
      <c r="N214" s="4">
        <v>4</v>
      </c>
      <c r="O214" s="5">
        <f>SUM(Tabela3239[[#This Row],[jan/23]:[dez/23]])</f>
        <v>66</v>
      </c>
    </row>
    <row r="215" spans="1:15" x14ac:dyDescent="0.25">
      <c r="A215" s="4" t="s">
        <v>445</v>
      </c>
      <c r="B215" s="4" t="s">
        <v>194</v>
      </c>
      <c r="C215" s="4">
        <v>5</v>
      </c>
      <c r="D215" s="4">
        <v>4</v>
      </c>
      <c r="E215" s="4">
        <v>13</v>
      </c>
      <c r="F215" s="4">
        <v>7</v>
      </c>
      <c r="G215" s="4">
        <v>3</v>
      </c>
      <c r="H215" s="4">
        <v>1</v>
      </c>
      <c r="I215" s="4"/>
      <c r="J215" s="4">
        <v>8</v>
      </c>
      <c r="K215" s="4">
        <v>3</v>
      </c>
      <c r="L215" s="4">
        <v>7</v>
      </c>
      <c r="M215" s="4">
        <v>8</v>
      </c>
      <c r="N215" s="4">
        <v>5</v>
      </c>
      <c r="O215" s="5">
        <f>SUM(Tabela3239[[#This Row],[jan/23]:[dez/23]])</f>
        <v>64</v>
      </c>
    </row>
    <row r="216" spans="1:15" x14ac:dyDescent="0.25">
      <c r="A216" s="4" t="s">
        <v>443</v>
      </c>
      <c r="B216" s="4" t="s">
        <v>654</v>
      </c>
      <c r="C216" s="4">
        <v>12</v>
      </c>
      <c r="D216" s="4">
        <v>6</v>
      </c>
      <c r="E216" s="4">
        <v>10</v>
      </c>
      <c r="F216" s="4">
        <v>15</v>
      </c>
      <c r="G216" s="4">
        <v>11</v>
      </c>
      <c r="H216" s="4">
        <v>3</v>
      </c>
      <c r="I216" s="4">
        <v>1</v>
      </c>
      <c r="J216" s="4">
        <v>2</v>
      </c>
      <c r="K216" s="4"/>
      <c r="L216" s="4">
        <v>2</v>
      </c>
      <c r="M216" s="4"/>
      <c r="N216" s="4">
        <v>2</v>
      </c>
      <c r="O216" s="5">
        <f>SUM(Tabela3239[[#This Row],[jan/23]:[dez/23]])</f>
        <v>64</v>
      </c>
    </row>
    <row r="217" spans="1:15" x14ac:dyDescent="0.25">
      <c r="A217" s="4" t="s">
        <v>441</v>
      </c>
      <c r="B217" s="4" t="s">
        <v>711</v>
      </c>
      <c r="C217" s="4">
        <v>8</v>
      </c>
      <c r="D217" s="4">
        <v>10</v>
      </c>
      <c r="E217" s="4">
        <v>7</v>
      </c>
      <c r="F217" s="4">
        <v>11</v>
      </c>
      <c r="G217" s="4">
        <v>4</v>
      </c>
      <c r="H217" s="4">
        <v>7</v>
      </c>
      <c r="I217" s="4">
        <v>3</v>
      </c>
      <c r="J217" s="4">
        <v>4</v>
      </c>
      <c r="K217" s="4">
        <v>2</v>
      </c>
      <c r="L217" s="4"/>
      <c r="M217" s="4">
        <v>3</v>
      </c>
      <c r="N217" s="4">
        <v>1</v>
      </c>
      <c r="O217" s="5">
        <f>SUM(Tabela3239[[#This Row],[jan/23]:[dez/23]])</f>
        <v>60</v>
      </c>
    </row>
    <row r="218" spans="1:15" x14ac:dyDescent="0.25">
      <c r="A218" s="4" t="s">
        <v>439</v>
      </c>
      <c r="B218" s="4" t="s">
        <v>750</v>
      </c>
      <c r="C218" s="4">
        <v>5</v>
      </c>
      <c r="D218" s="4">
        <v>6</v>
      </c>
      <c r="E218" s="4">
        <v>3</v>
      </c>
      <c r="F218" s="4">
        <v>3</v>
      </c>
      <c r="G218" s="4">
        <v>2</v>
      </c>
      <c r="H218" s="4">
        <v>3</v>
      </c>
      <c r="I218" s="4">
        <v>2</v>
      </c>
      <c r="J218" s="4">
        <v>2</v>
      </c>
      <c r="K218" s="4">
        <v>22</v>
      </c>
      <c r="L218" s="4">
        <v>3</v>
      </c>
      <c r="M218" s="4">
        <v>1</v>
      </c>
      <c r="N218" s="4">
        <v>6</v>
      </c>
      <c r="O218" s="5">
        <f>SUM(Tabela3239[[#This Row],[jan/23]:[dez/23]])</f>
        <v>58</v>
      </c>
    </row>
    <row r="219" spans="1:15" x14ac:dyDescent="0.25">
      <c r="A219" s="4" t="s">
        <v>437</v>
      </c>
      <c r="B219" s="4" t="s">
        <v>798</v>
      </c>
      <c r="C219" s="4">
        <v>7</v>
      </c>
      <c r="D219" s="4">
        <v>6</v>
      </c>
      <c r="E219" s="4">
        <v>18</v>
      </c>
      <c r="F219" s="4">
        <v>2</v>
      </c>
      <c r="G219" s="4">
        <v>1</v>
      </c>
      <c r="H219" s="4">
        <v>3</v>
      </c>
      <c r="I219" s="4">
        <v>4</v>
      </c>
      <c r="J219" s="4">
        <v>4</v>
      </c>
      <c r="K219" s="4">
        <v>1</v>
      </c>
      <c r="L219" s="4">
        <v>5</v>
      </c>
      <c r="M219" s="4">
        <v>3</v>
      </c>
      <c r="N219" s="4">
        <v>1</v>
      </c>
      <c r="O219" s="5">
        <f>SUM(Tabela3239[[#This Row],[jan/23]:[dez/23]])</f>
        <v>55</v>
      </c>
    </row>
    <row r="220" spans="1:15" x14ac:dyDescent="0.25">
      <c r="A220" s="4" t="s">
        <v>435</v>
      </c>
      <c r="B220" s="4" t="s">
        <v>634</v>
      </c>
      <c r="C220" s="4">
        <v>3</v>
      </c>
      <c r="D220" s="4">
        <v>1</v>
      </c>
      <c r="E220" s="4">
        <v>2</v>
      </c>
      <c r="F220" s="4">
        <v>1</v>
      </c>
      <c r="G220" s="4">
        <v>4</v>
      </c>
      <c r="H220" s="4">
        <v>8</v>
      </c>
      <c r="I220" s="4">
        <v>9</v>
      </c>
      <c r="J220" s="4">
        <v>8</v>
      </c>
      <c r="K220" s="4">
        <v>2</v>
      </c>
      <c r="L220" s="4">
        <v>4</v>
      </c>
      <c r="M220" s="4">
        <v>11</v>
      </c>
      <c r="N220" s="4">
        <v>1</v>
      </c>
      <c r="O220" s="5">
        <f>SUM(Tabela3239[[#This Row],[jan/23]:[dez/23]])</f>
        <v>54</v>
      </c>
    </row>
    <row r="221" spans="1:15" x14ac:dyDescent="0.25">
      <c r="A221" s="4" t="s">
        <v>433</v>
      </c>
      <c r="B221" s="4" t="s">
        <v>582</v>
      </c>
      <c r="C221" s="4">
        <v>9</v>
      </c>
      <c r="D221" s="4">
        <v>3</v>
      </c>
      <c r="E221" s="4">
        <v>4</v>
      </c>
      <c r="F221" s="4">
        <v>3</v>
      </c>
      <c r="G221" s="4">
        <v>6</v>
      </c>
      <c r="H221" s="4">
        <v>7</v>
      </c>
      <c r="I221" s="4">
        <v>5</v>
      </c>
      <c r="J221" s="4">
        <v>5</v>
      </c>
      <c r="K221" s="4"/>
      <c r="L221" s="4">
        <v>2</v>
      </c>
      <c r="M221" s="4">
        <v>1</v>
      </c>
      <c r="N221" s="4">
        <v>9</v>
      </c>
      <c r="O221" s="5">
        <f>SUM(Tabela3239[[#This Row],[jan/23]:[dez/23]])</f>
        <v>54</v>
      </c>
    </row>
    <row r="222" spans="1:15" x14ac:dyDescent="0.25">
      <c r="A222" s="4" t="s">
        <v>431</v>
      </c>
      <c r="B222" s="4" t="s">
        <v>358</v>
      </c>
      <c r="C222" s="4">
        <v>4</v>
      </c>
      <c r="D222" s="4">
        <v>3</v>
      </c>
      <c r="E222" s="4">
        <v>5</v>
      </c>
      <c r="F222" s="4">
        <v>2</v>
      </c>
      <c r="G222" s="4">
        <v>2</v>
      </c>
      <c r="H222" s="4">
        <v>1</v>
      </c>
      <c r="I222" s="4"/>
      <c r="J222" s="4">
        <v>5</v>
      </c>
      <c r="K222" s="4">
        <v>3</v>
      </c>
      <c r="L222" s="4">
        <v>17</v>
      </c>
      <c r="M222" s="4">
        <v>3</v>
      </c>
      <c r="N222" s="4">
        <v>4</v>
      </c>
      <c r="O222" s="5">
        <f>SUM(Tabela3239[[#This Row],[jan/23]:[dez/23]])</f>
        <v>49</v>
      </c>
    </row>
    <row r="223" spans="1:15" x14ac:dyDescent="0.25">
      <c r="A223" s="4" t="s">
        <v>429</v>
      </c>
      <c r="B223" s="4" t="s">
        <v>668</v>
      </c>
      <c r="C223" s="4">
        <v>3</v>
      </c>
      <c r="D223" s="4">
        <v>1</v>
      </c>
      <c r="E223" s="4">
        <v>4</v>
      </c>
      <c r="F223" s="4">
        <v>6</v>
      </c>
      <c r="G223" s="4">
        <v>7</v>
      </c>
      <c r="H223" s="4">
        <v>3</v>
      </c>
      <c r="I223" s="4">
        <v>2</v>
      </c>
      <c r="J223" s="4">
        <v>6</v>
      </c>
      <c r="K223" s="4">
        <v>5</v>
      </c>
      <c r="L223" s="4">
        <v>3</v>
      </c>
      <c r="M223" s="4">
        <v>3</v>
      </c>
      <c r="N223" s="4">
        <v>5</v>
      </c>
      <c r="O223" s="5">
        <f>SUM(Tabela3239[[#This Row],[jan/23]:[dez/23]])</f>
        <v>48</v>
      </c>
    </row>
    <row r="224" spans="1:15" x14ac:dyDescent="0.25">
      <c r="A224" s="4" t="s">
        <v>473</v>
      </c>
      <c r="B224" s="4" t="s">
        <v>340</v>
      </c>
      <c r="C224" s="4">
        <v>2</v>
      </c>
      <c r="D224" s="4">
        <v>4</v>
      </c>
      <c r="E224" s="4">
        <v>3</v>
      </c>
      <c r="F224" s="4">
        <v>3</v>
      </c>
      <c r="G224" s="4">
        <v>5</v>
      </c>
      <c r="H224" s="4">
        <v>1</v>
      </c>
      <c r="I224" s="4">
        <v>6</v>
      </c>
      <c r="J224" s="4">
        <v>8</v>
      </c>
      <c r="K224" s="4">
        <v>4</v>
      </c>
      <c r="L224" s="4">
        <v>3</v>
      </c>
      <c r="M224" s="4">
        <v>2</v>
      </c>
      <c r="N224" s="4">
        <v>3</v>
      </c>
      <c r="O224" s="5">
        <f>SUM(Tabela3239[[#This Row],[jan/23]:[dez/23]])</f>
        <v>44</v>
      </c>
    </row>
    <row r="225" spans="1:15" x14ac:dyDescent="0.25">
      <c r="A225" s="4" t="s">
        <v>471</v>
      </c>
      <c r="B225" s="4" t="s">
        <v>611</v>
      </c>
      <c r="C225" s="4">
        <v>1</v>
      </c>
      <c r="D225" s="4"/>
      <c r="E225" s="4"/>
      <c r="F225" s="4">
        <v>1</v>
      </c>
      <c r="G225" s="4">
        <v>1</v>
      </c>
      <c r="H225" s="4">
        <v>14</v>
      </c>
      <c r="I225" s="4">
        <v>3</v>
      </c>
      <c r="J225" s="4"/>
      <c r="K225" s="4">
        <v>2</v>
      </c>
      <c r="L225" s="4">
        <v>5</v>
      </c>
      <c r="M225" s="4">
        <v>5</v>
      </c>
      <c r="N225" s="4">
        <v>10</v>
      </c>
      <c r="O225" s="5">
        <f>SUM(Tabela3239[[#This Row],[jan/23]:[dez/23]])</f>
        <v>42</v>
      </c>
    </row>
    <row r="226" spans="1:15" x14ac:dyDescent="0.25">
      <c r="A226" s="4" t="s">
        <v>469</v>
      </c>
      <c r="B226" s="4" t="s">
        <v>526</v>
      </c>
      <c r="C226" s="4">
        <v>1</v>
      </c>
      <c r="D226" s="4">
        <v>2</v>
      </c>
      <c r="E226" s="4">
        <v>6</v>
      </c>
      <c r="F226" s="4">
        <v>2</v>
      </c>
      <c r="G226" s="4">
        <v>9</v>
      </c>
      <c r="H226" s="4">
        <v>15</v>
      </c>
      <c r="I226" s="4">
        <v>4</v>
      </c>
      <c r="J226" s="4"/>
      <c r="K226" s="4">
        <v>1</v>
      </c>
      <c r="L226" s="4">
        <v>2</v>
      </c>
      <c r="M226" s="4"/>
      <c r="N226" s="4"/>
      <c r="O226" s="5">
        <f>SUM(Tabela3239[[#This Row],[jan/23]:[dez/23]])</f>
        <v>42</v>
      </c>
    </row>
    <row r="227" spans="1:15" x14ac:dyDescent="0.25">
      <c r="A227" s="4" t="s">
        <v>467</v>
      </c>
      <c r="B227" s="4" t="s">
        <v>304</v>
      </c>
      <c r="C227" s="4">
        <v>4</v>
      </c>
      <c r="D227" s="4">
        <v>2</v>
      </c>
      <c r="E227" s="4">
        <v>2</v>
      </c>
      <c r="F227" s="4">
        <v>5</v>
      </c>
      <c r="G227" s="4">
        <v>5</v>
      </c>
      <c r="H227" s="4">
        <v>2</v>
      </c>
      <c r="I227" s="4">
        <v>2</v>
      </c>
      <c r="J227" s="4">
        <v>7</v>
      </c>
      <c r="K227" s="4">
        <v>1</v>
      </c>
      <c r="L227" s="4">
        <v>1</v>
      </c>
      <c r="M227" s="4">
        <v>3</v>
      </c>
      <c r="N227" s="4">
        <v>7</v>
      </c>
      <c r="O227" s="5">
        <f>SUM(Tabela3239[[#This Row],[jan/23]:[dez/23]])</f>
        <v>41</v>
      </c>
    </row>
    <row r="228" spans="1:15" x14ac:dyDescent="0.25">
      <c r="A228" s="4" t="s">
        <v>465</v>
      </c>
      <c r="B228" s="4" t="s">
        <v>627</v>
      </c>
      <c r="C228" s="4">
        <v>11</v>
      </c>
      <c r="D228" s="4">
        <v>1</v>
      </c>
      <c r="E228" s="4">
        <v>1</v>
      </c>
      <c r="F228" s="4">
        <v>4</v>
      </c>
      <c r="G228" s="4"/>
      <c r="H228" s="4">
        <v>2</v>
      </c>
      <c r="I228" s="4">
        <v>3</v>
      </c>
      <c r="J228" s="4">
        <v>4</v>
      </c>
      <c r="K228" s="4">
        <v>2</v>
      </c>
      <c r="L228" s="4">
        <v>3</v>
      </c>
      <c r="M228" s="4">
        <v>3</v>
      </c>
      <c r="N228" s="4">
        <v>5</v>
      </c>
      <c r="O228" s="5">
        <f>SUM(Tabela3239[[#This Row],[jan/23]:[dez/23]])</f>
        <v>39</v>
      </c>
    </row>
    <row r="229" spans="1:15" x14ac:dyDescent="0.25">
      <c r="A229" s="4" t="s">
        <v>463</v>
      </c>
      <c r="B229" s="4" t="s">
        <v>665</v>
      </c>
      <c r="C229" s="4">
        <v>7</v>
      </c>
      <c r="D229" s="4">
        <v>11</v>
      </c>
      <c r="E229" s="4">
        <v>15</v>
      </c>
      <c r="F229" s="4">
        <v>3</v>
      </c>
      <c r="G229" s="4"/>
      <c r="H229" s="4">
        <v>1</v>
      </c>
      <c r="I229" s="4"/>
      <c r="J229" s="4"/>
      <c r="K229" s="4"/>
      <c r="L229" s="4"/>
      <c r="M229" s="4"/>
      <c r="N229" s="4"/>
      <c r="O229" s="5">
        <f>SUM(Tabela3239[[#This Row],[jan/23]:[dez/23]])</f>
        <v>37</v>
      </c>
    </row>
    <row r="230" spans="1:15" x14ac:dyDescent="0.25">
      <c r="A230" s="4" t="s">
        <v>461</v>
      </c>
      <c r="B230" s="4" t="s">
        <v>809</v>
      </c>
      <c r="C230" s="4">
        <v>2</v>
      </c>
      <c r="D230" s="4">
        <v>2</v>
      </c>
      <c r="E230" s="4">
        <v>4</v>
      </c>
      <c r="F230" s="4">
        <v>1</v>
      </c>
      <c r="G230" s="4">
        <v>6</v>
      </c>
      <c r="H230" s="4"/>
      <c r="I230" s="4">
        <v>5</v>
      </c>
      <c r="J230" s="4">
        <v>9</v>
      </c>
      <c r="K230" s="4">
        <v>5</v>
      </c>
      <c r="L230" s="4">
        <v>1</v>
      </c>
      <c r="M230" s="4">
        <v>1</v>
      </c>
      <c r="N230" s="4"/>
      <c r="O230" s="5">
        <f>SUM(Tabela3239[[#This Row],[jan/23]:[dez/23]])</f>
        <v>36</v>
      </c>
    </row>
    <row r="231" spans="1:15" x14ac:dyDescent="0.25">
      <c r="A231" s="4" t="s">
        <v>459</v>
      </c>
      <c r="B231" s="4" t="s">
        <v>800</v>
      </c>
      <c r="C231" s="4">
        <v>8</v>
      </c>
      <c r="D231" s="4">
        <v>5</v>
      </c>
      <c r="E231" s="4">
        <v>3</v>
      </c>
      <c r="F231" s="4">
        <v>3</v>
      </c>
      <c r="G231" s="4">
        <v>7</v>
      </c>
      <c r="H231" s="4">
        <v>2</v>
      </c>
      <c r="I231" s="4">
        <v>2</v>
      </c>
      <c r="J231" s="4">
        <v>3</v>
      </c>
      <c r="K231" s="4">
        <v>1</v>
      </c>
      <c r="L231" s="4"/>
      <c r="M231" s="4">
        <v>2</v>
      </c>
      <c r="N231" s="4"/>
      <c r="O231" s="5">
        <f>SUM(Tabela3239[[#This Row],[jan/23]:[dez/23]])</f>
        <v>36</v>
      </c>
    </row>
    <row r="232" spans="1:15" x14ac:dyDescent="0.25">
      <c r="A232" s="4" t="s">
        <v>457</v>
      </c>
      <c r="B232" s="4" t="s">
        <v>807</v>
      </c>
      <c r="C232" s="4">
        <v>3</v>
      </c>
      <c r="D232" s="4">
        <v>2</v>
      </c>
      <c r="E232" s="4">
        <v>1</v>
      </c>
      <c r="F232" s="4"/>
      <c r="G232" s="4">
        <v>5</v>
      </c>
      <c r="H232" s="4">
        <v>6</v>
      </c>
      <c r="I232" s="4">
        <v>3</v>
      </c>
      <c r="J232" s="4">
        <v>6</v>
      </c>
      <c r="K232" s="4">
        <v>4</v>
      </c>
      <c r="L232" s="4"/>
      <c r="M232" s="4">
        <v>1</v>
      </c>
      <c r="N232" s="4">
        <v>5</v>
      </c>
      <c r="O232" s="5">
        <f>SUM(Tabela3239[[#This Row],[jan/23]:[dez/23]])</f>
        <v>36</v>
      </c>
    </row>
    <row r="233" spans="1:15" x14ac:dyDescent="0.25">
      <c r="A233" s="4" t="s">
        <v>455</v>
      </c>
      <c r="B233" s="4" t="s">
        <v>682</v>
      </c>
      <c r="C233" s="4">
        <v>2</v>
      </c>
      <c r="D233" s="4">
        <v>2</v>
      </c>
      <c r="E233" s="4">
        <v>7</v>
      </c>
      <c r="F233" s="4">
        <v>8</v>
      </c>
      <c r="G233" s="4">
        <v>3</v>
      </c>
      <c r="H233" s="4">
        <v>6</v>
      </c>
      <c r="I233" s="4">
        <v>4</v>
      </c>
      <c r="J233" s="4"/>
      <c r="K233" s="4"/>
      <c r="L233" s="4">
        <v>1</v>
      </c>
      <c r="M233" s="4"/>
      <c r="N233" s="4">
        <v>2</v>
      </c>
      <c r="O233" s="5">
        <f>SUM(Tabela3239[[#This Row],[jan/23]:[dez/23]])</f>
        <v>35</v>
      </c>
    </row>
    <row r="234" spans="1:15" x14ac:dyDescent="0.25">
      <c r="A234" s="4" t="s">
        <v>453</v>
      </c>
      <c r="B234" s="4" t="s">
        <v>728</v>
      </c>
      <c r="C234" s="4">
        <v>2</v>
      </c>
      <c r="D234" s="4">
        <v>3</v>
      </c>
      <c r="E234" s="4">
        <v>2</v>
      </c>
      <c r="F234" s="4">
        <v>5</v>
      </c>
      <c r="G234" s="4">
        <v>3</v>
      </c>
      <c r="H234" s="4">
        <v>2</v>
      </c>
      <c r="I234" s="4">
        <v>4</v>
      </c>
      <c r="J234" s="4">
        <v>7</v>
      </c>
      <c r="K234" s="4">
        <v>2</v>
      </c>
      <c r="L234" s="4">
        <v>1</v>
      </c>
      <c r="M234" s="4">
        <v>2</v>
      </c>
      <c r="N234" s="4">
        <v>2</v>
      </c>
      <c r="O234" s="5">
        <f>SUM(Tabela3239[[#This Row],[jan/23]:[dez/23]])</f>
        <v>35</v>
      </c>
    </row>
    <row r="235" spans="1:15" x14ac:dyDescent="0.25">
      <c r="A235" s="4" t="s">
        <v>451</v>
      </c>
      <c r="B235" s="4" t="s">
        <v>549</v>
      </c>
      <c r="C235" s="4">
        <v>1</v>
      </c>
      <c r="D235" s="4">
        <v>2</v>
      </c>
      <c r="E235" s="4">
        <v>5</v>
      </c>
      <c r="F235" s="4">
        <v>4</v>
      </c>
      <c r="G235" s="4">
        <v>5</v>
      </c>
      <c r="H235" s="4">
        <v>3</v>
      </c>
      <c r="I235" s="4">
        <v>2</v>
      </c>
      <c r="J235" s="4">
        <v>5</v>
      </c>
      <c r="K235" s="4">
        <v>2</v>
      </c>
      <c r="L235" s="4">
        <v>2</v>
      </c>
      <c r="M235" s="4">
        <v>1</v>
      </c>
      <c r="N235" s="4">
        <v>2</v>
      </c>
      <c r="O235" s="5">
        <f>SUM(Tabela3239[[#This Row],[jan/23]:[dez/23]])</f>
        <v>34</v>
      </c>
    </row>
    <row r="236" spans="1:15" x14ac:dyDescent="0.25">
      <c r="A236" s="4" t="s">
        <v>449</v>
      </c>
      <c r="B236" s="4" t="s">
        <v>370</v>
      </c>
      <c r="C236" s="4">
        <v>2</v>
      </c>
      <c r="D236" s="4">
        <v>1</v>
      </c>
      <c r="E236" s="4">
        <v>2</v>
      </c>
      <c r="F236" s="4">
        <v>2</v>
      </c>
      <c r="G236" s="4">
        <v>6</v>
      </c>
      <c r="H236" s="4">
        <v>3</v>
      </c>
      <c r="I236" s="4">
        <v>1</v>
      </c>
      <c r="J236" s="4">
        <v>3</v>
      </c>
      <c r="K236" s="4">
        <v>3</v>
      </c>
      <c r="L236" s="4">
        <v>2</v>
      </c>
      <c r="M236" s="4">
        <v>1</v>
      </c>
      <c r="N236" s="4">
        <v>4</v>
      </c>
      <c r="O236" s="5">
        <f>SUM(Tabela3239[[#This Row],[jan/23]:[dez/23]])</f>
        <v>30</v>
      </c>
    </row>
    <row r="237" spans="1:15" x14ac:dyDescent="0.25">
      <c r="A237" s="4" t="s">
        <v>447</v>
      </c>
      <c r="B237" s="4" t="s">
        <v>547</v>
      </c>
      <c r="C237" s="4">
        <v>3</v>
      </c>
      <c r="D237" s="4">
        <v>1</v>
      </c>
      <c r="E237" s="4">
        <v>1</v>
      </c>
      <c r="F237" s="4">
        <v>1</v>
      </c>
      <c r="G237" s="4">
        <v>2</v>
      </c>
      <c r="H237" s="4"/>
      <c r="I237" s="4">
        <v>3</v>
      </c>
      <c r="J237" s="4">
        <v>6</v>
      </c>
      <c r="K237" s="4">
        <v>3</v>
      </c>
      <c r="L237" s="4">
        <v>4</v>
      </c>
      <c r="M237" s="4">
        <v>3</v>
      </c>
      <c r="N237" s="4">
        <v>1</v>
      </c>
      <c r="O237" s="5">
        <f>SUM(Tabela3239[[#This Row],[jan/23]:[dez/23]])</f>
        <v>28</v>
      </c>
    </row>
    <row r="238" spans="1:15" x14ac:dyDescent="0.25">
      <c r="A238" s="4" t="s">
        <v>515</v>
      </c>
      <c r="B238" s="4" t="s">
        <v>590</v>
      </c>
      <c r="C238" s="4">
        <v>3</v>
      </c>
      <c r="D238" s="4">
        <v>1</v>
      </c>
      <c r="E238" s="4">
        <v>1</v>
      </c>
      <c r="F238" s="4">
        <v>1</v>
      </c>
      <c r="G238" s="4"/>
      <c r="H238" s="4">
        <v>4</v>
      </c>
      <c r="I238" s="4">
        <v>4</v>
      </c>
      <c r="J238" s="4">
        <v>3</v>
      </c>
      <c r="K238" s="4">
        <v>1</v>
      </c>
      <c r="L238" s="4">
        <v>3</v>
      </c>
      <c r="M238" s="4">
        <v>1</v>
      </c>
      <c r="N238" s="4">
        <v>5</v>
      </c>
      <c r="O238" s="5">
        <f>SUM(Tabela3239[[#This Row],[jan/23]:[dez/23]])</f>
        <v>27</v>
      </c>
    </row>
    <row r="239" spans="1:15" x14ac:dyDescent="0.25">
      <c r="A239" s="4" t="s">
        <v>513</v>
      </c>
      <c r="B239" s="4" t="s">
        <v>777</v>
      </c>
      <c r="C239" s="4">
        <v>2</v>
      </c>
      <c r="D239" s="4">
        <v>2</v>
      </c>
      <c r="E239" s="4"/>
      <c r="F239" s="4">
        <v>2</v>
      </c>
      <c r="G239" s="4">
        <v>9</v>
      </c>
      <c r="H239" s="4">
        <v>11</v>
      </c>
      <c r="I239" s="4"/>
      <c r="J239" s="4"/>
      <c r="K239" s="4"/>
      <c r="L239" s="4"/>
      <c r="M239" s="4"/>
      <c r="N239" s="4"/>
      <c r="O239" s="5">
        <f>SUM(Tabela3239[[#This Row],[jan/23]:[dez/23]])</f>
        <v>26</v>
      </c>
    </row>
    <row r="240" spans="1:15" x14ac:dyDescent="0.25">
      <c r="A240" s="4" t="s">
        <v>511</v>
      </c>
      <c r="B240" s="4" t="s">
        <v>676</v>
      </c>
      <c r="C240" s="4">
        <v>3</v>
      </c>
      <c r="D240" s="4">
        <v>1</v>
      </c>
      <c r="E240" s="4">
        <v>5</v>
      </c>
      <c r="F240" s="4">
        <v>6</v>
      </c>
      <c r="G240" s="4">
        <v>2</v>
      </c>
      <c r="H240" s="4">
        <v>1</v>
      </c>
      <c r="I240" s="4">
        <v>1</v>
      </c>
      <c r="J240" s="4">
        <v>1</v>
      </c>
      <c r="K240" s="4"/>
      <c r="L240" s="4">
        <v>2</v>
      </c>
      <c r="M240" s="4">
        <v>1</v>
      </c>
      <c r="N240" s="4">
        <v>1</v>
      </c>
      <c r="O240" s="5">
        <f>SUM(Tabela3239[[#This Row],[jan/23]:[dez/23]])</f>
        <v>24</v>
      </c>
    </row>
    <row r="241" spans="1:15" x14ac:dyDescent="0.25">
      <c r="A241" s="4" t="s">
        <v>509</v>
      </c>
      <c r="B241" s="4" t="s">
        <v>543</v>
      </c>
      <c r="C241" s="4">
        <v>1</v>
      </c>
      <c r="D241" s="4">
        <v>1</v>
      </c>
      <c r="E241" s="4">
        <v>6</v>
      </c>
      <c r="F241" s="4">
        <v>2</v>
      </c>
      <c r="G241" s="4">
        <v>1</v>
      </c>
      <c r="H241" s="4">
        <v>3</v>
      </c>
      <c r="I241" s="4">
        <v>4</v>
      </c>
      <c r="J241" s="4"/>
      <c r="K241" s="4">
        <v>1</v>
      </c>
      <c r="L241" s="4"/>
      <c r="M241" s="4">
        <v>1</v>
      </c>
      <c r="N241" s="4">
        <v>4</v>
      </c>
      <c r="O241" s="5">
        <f>SUM(Tabela3239[[#This Row],[jan/23]:[dez/23]])</f>
        <v>24</v>
      </c>
    </row>
    <row r="242" spans="1:15" x14ac:dyDescent="0.25">
      <c r="A242" s="4" t="s">
        <v>507</v>
      </c>
      <c r="B242" s="4" t="s">
        <v>760</v>
      </c>
      <c r="C242" s="4">
        <v>1</v>
      </c>
      <c r="D242" s="4">
        <v>1</v>
      </c>
      <c r="E242" s="4">
        <v>1</v>
      </c>
      <c r="F242" s="4"/>
      <c r="G242" s="4">
        <v>3</v>
      </c>
      <c r="H242" s="4"/>
      <c r="I242" s="4">
        <v>3</v>
      </c>
      <c r="J242" s="4">
        <v>1</v>
      </c>
      <c r="K242" s="4">
        <v>2</v>
      </c>
      <c r="L242" s="4">
        <v>4</v>
      </c>
      <c r="M242" s="4">
        <v>2</v>
      </c>
      <c r="N242" s="4">
        <v>5</v>
      </c>
      <c r="O242" s="5">
        <f>SUM(Tabela3239[[#This Row],[jan/23]:[dez/23]])</f>
        <v>23</v>
      </c>
    </row>
    <row r="243" spans="1:15" x14ac:dyDescent="0.25">
      <c r="A243" s="4" t="s">
        <v>505</v>
      </c>
      <c r="B243" s="4" t="s">
        <v>262</v>
      </c>
      <c r="C243" s="4">
        <v>1</v>
      </c>
      <c r="D243" s="4">
        <v>1</v>
      </c>
      <c r="E243" s="4"/>
      <c r="F243" s="4">
        <v>1</v>
      </c>
      <c r="G243" s="4">
        <v>4</v>
      </c>
      <c r="H243" s="4"/>
      <c r="I243" s="4"/>
      <c r="J243" s="4"/>
      <c r="K243" s="4">
        <v>2</v>
      </c>
      <c r="L243" s="4">
        <v>4</v>
      </c>
      <c r="M243" s="4">
        <v>4</v>
      </c>
      <c r="N243" s="4">
        <v>4</v>
      </c>
      <c r="O243" s="5">
        <f>SUM(Tabela3239[[#This Row],[jan/23]:[dez/23]])</f>
        <v>21</v>
      </c>
    </row>
    <row r="244" spans="1:15" x14ac:dyDescent="0.25">
      <c r="A244" s="4" t="s">
        <v>503</v>
      </c>
      <c r="B244" s="4" t="s">
        <v>757</v>
      </c>
      <c r="C244" s="4">
        <v>2</v>
      </c>
      <c r="D244" s="4">
        <v>3</v>
      </c>
      <c r="E244" s="4">
        <v>5</v>
      </c>
      <c r="F244" s="4">
        <v>1</v>
      </c>
      <c r="G244" s="4">
        <v>1</v>
      </c>
      <c r="H244" s="4">
        <v>3</v>
      </c>
      <c r="I244" s="4">
        <v>1</v>
      </c>
      <c r="J244" s="4"/>
      <c r="K244" s="4">
        <v>2</v>
      </c>
      <c r="L244" s="4">
        <v>1</v>
      </c>
      <c r="M244" s="4">
        <v>2</v>
      </c>
      <c r="N244" s="4"/>
      <c r="O244" s="5">
        <f>SUM(Tabela3239[[#This Row],[jan/23]:[dez/23]])</f>
        <v>21</v>
      </c>
    </row>
    <row r="245" spans="1:15" x14ac:dyDescent="0.25">
      <c r="A245" s="4" t="s">
        <v>501</v>
      </c>
      <c r="B245" s="4" t="s">
        <v>612</v>
      </c>
      <c r="C245" s="4">
        <v>5</v>
      </c>
      <c r="D245" s="4">
        <v>11</v>
      </c>
      <c r="E245" s="4"/>
      <c r="F245" s="4"/>
      <c r="G245" s="4"/>
      <c r="H245" s="4"/>
      <c r="I245" s="4"/>
      <c r="J245" s="4"/>
      <c r="K245" s="4">
        <v>4</v>
      </c>
      <c r="L245" s="4">
        <v>1</v>
      </c>
      <c r="M245" s="4"/>
      <c r="N245" s="4"/>
      <c r="O245" s="5">
        <f>SUM(Tabela3239[[#This Row],[jan/23]:[dez/23]])</f>
        <v>21</v>
      </c>
    </row>
    <row r="246" spans="1:15" x14ac:dyDescent="0.25">
      <c r="A246" s="4" t="s">
        <v>499</v>
      </c>
      <c r="B246" s="4" t="s">
        <v>811</v>
      </c>
      <c r="C246" s="4">
        <v>7</v>
      </c>
      <c r="D246" s="4">
        <v>5</v>
      </c>
      <c r="E246" s="4">
        <v>2</v>
      </c>
      <c r="F246" s="4">
        <v>4</v>
      </c>
      <c r="G246" s="4">
        <v>1</v>
      </c>
      <c r="H246" s="4"/>
      <c r="I246" s="4">
        <v>1</v>
      </c>
      <c r="J246" s="4"/>
      <c r="K246" s="4"/>
      <c r="L246" s="4"/>
      <c r="M246" s="4"/>
      <c r="N246" s="4"/>
      <c r="O246" s="5">
        <f>SUM(Tabela3239[[#This Row],[jan/23]:[dez/23]])</f>
        <v>20</v>
      </c>
    </row>
    <row r="247" spans="1:15" x14ac:dyDescent="0.25">
      <c r="A247" s="4" t="s">
        <v>497</v>
      </c>
      <c r="B247" s="4" t="s">
        <v>342</v>
      </c>
      <c r="C247" s="4">
        <v>3</v>
      </c>
      <c r="D247" s="4"/>
      <c r="E247" s="4">
        <v>3</v>
      </c>
      <c r="F247" s="4"/>
      <c r="G247" s="4"/>
      <c r="H247" s="4">
        <v>1</v>
      </c>
      <c r="I247" s="4">
        <v>4</v>
      </c>
      <c r="J247" s="4">
        <v>2</v>
      </c>
      <c r="K247" s="4">
        <v>1</v>
      </c>
      <c r="L247" s="4"/>
      <c r="M247" s="4">
        <v>3</v>
      </c>
      <c r="N247" s="4">
        <v>2</v>
      </c>
      <c r="O247" s="5">
        <f>SUM(Tabela3239[[#This Row],[jan/23]:[dez/23]])</f>
        <v>19</v>
      </c>
    </row>
    <row r="248" spans="1:15" x14ac:dyDescent="0.25">
      <c r="A248" s="4" t="s">
        <v>495</v>
      </c>
      <c r="B248" s="4" t="s">
        <v>510</v>
      </c>
      <c r="C248" s="4"/>
      <c r="D248" s="4"/>
      <c r="E248" s="4"/>
      <c r="F248" s="4"/>
      <c r="G248" s="4">
        <v>2</v>
      </c>
      <c r="H248" s="4">
        <v>2</v>
      </c>
      <c r="I248" s="4">
        <v>4</v>
      </c>
      <c r="J248" s="4">
        <v>3</v>
      </c>
      <c r="K248" s="4">
        <v>3</v>
      </c>
      <c r="L248" s="4">
        <v>2</v>
      </c>
      <c r="M248" s="4">
        <v>2</v>
      </c>
      <c r="N248" s="4">
        <v>1</v>
      </c>
      <c r="O248" s="5">
        <f>SUM(Tabela3239[[#This Row],[jan/23]:[dez/23]])</f>
        <v>19</v>
      </c>
    </row>
    <row r="249" spans="1:15" x14ac:dyDescent="0.25">
      <c r="A249" s="4" t="s">
        <v>493</v>
      </c>
      <c r="B249" s="4" t="s">
        <v>705</v>
      </c>
      <c r="C249" s="4">
        <v>2</v>
      </c>
      <c r="D249" s="4">
        <v>1</v>
      </c>
      <c r="E249" s="4">
        <v>3</v>
      </c>
      <c r="F249" s="4">
        <v>1</v>
      </c>
      <c r="G249" s="4">
        <v>2</v>
      </c>
      <c r="H249" s="4">
        <v>2</v>
      </c>
      <c r="I249" s="4">
        <v>1</v>
      </c>
      <c r="J249" s="4">
        <v>1</v>
      </c>
      <c r="K249" s="4">
        <v>3</v>
      </c>
      <c r="L249" s="4"/>
      <c r="M249" s="4"/>
      <c r="N249" s="4">
        <v>2</v>
      </c>
      <c r="O249" s="5">
        <f>SUM(Tabela3239[[#This Row],[jan/23]:[dez/23]])</f>
        <v>18</v>
      </c>
    </row>
    <row r="250" spans="1:15" x14ac:dyDescent="0.25">
      <c r="A250" s="4" t="s">
        <v>491</v>
      </c>
      <c r="B250" s="4" t="s">
        <v>592</v>
      </c>
      <c r="C250" s="4"/>
      <c r="D250" s="4"/>
      <c r="E250" s="4">
        <v>5</v>
      </c>
      <c r="F250" s="4"/>
      <c r="G250" s="4"/>
      <c r="H250" s="4"/>
      <c r="I250" s="4"/>
      <c r="J250" s="4"/>
      <c r="K250" s="4"/>
      <c r="L250" s="4"/>
      <c r="M250" s="4"/>
      <c r="N250" s="4">
        <v>10</v>
      </c>
      <c r="O250" s="5">
        <f>SUM(Tabela3239[[#This Row],[jan/23]:[dez/23]])</f>
        <v>15</v>
      </c>
    </row>
    <row r="251" spans="1:15" x14ac:dyDescent="0.25">
      <c r="A251" s="4" t="s">
        <v>489</v>
      </c>
      <c r="B251" s="4" t="s">
        <v>586</v>
      </c>
      <c r="C251" s="4">
        <v>1</v>
      </c>
      <c r="D251" s="4">
        <v>2</v>
      </c>
      <c r="E251" s="4">
        <v>1</v>
      </c>
      <c r="F251" s="4">
        <v>1</v>
      </c>
      <c r="G251" s="4"/>
      <c r="H251" s="4"/>
      <c r="I251" s="4"/>
      <c r="J251" s="4"/>
      <c r="K251" s="4"/>
      <c r="L251" s="4"/>
      <c r="M251" s="4"/>
      <c r="N251" s="4">
        <v>10</v>
      </c>
      <c r="O251" s="5">
        <f>SUM(Tabela3239[[#This Row],[jan/23]:[dez/23]])</f>
        <v>15</v>
      </c>
    </row>
    <row r="252" spans="1:15" x14ac:dyDescent="0.25">
      <c r="A252" s="4" t="s">
        <v>487</v>
      </c>
      <c r="B252" s="4" t="s">
        <v>530</v>
      </c>
      <c r="C252" s="4"/>
      <c r="D252" s="4"/>
      <c r="E252" s="4"/>
      <c r="F252" s="4"/>
      <c r="G252" s="4">
        <v>2</v>
      </c>
      <c r="H252" s="4">
        <v>6</v>
      </c>
      <c r="I252" s="4">
        <v>6</v>
      </c>
      <c r="J252" s="4"/>
      <c r="K252" s="4"/>
      <c r="L252" s="4"/>
      <c r="M252" s="4">
        <v>1</v>
      </c>
      <c r="N252" s="4"/>
      <c r="O252" s="5">
        <f>SUM(Tabela3239[[#This Row],[jan/23]:[dez/23]])</f>
        <v>15</v>
      </c>
    </row>
    <row r="253" spans="1:15" x14ac:dyDescent="0.25">
      <c r="A253" s="4" t="s">
        <v>485</v>
      </c>
      <c r="B253" s="4" t="s">
        <v>406</v>
      </c>
      <c r="C253" s="4">
        <v>1</v>
      </c>
      <c r="D253" s="4"/>
      <c r="E253" s="4"/>
      <c r="F253" s="4">
        <v>2</v>
      </c>
      <c r="G253" s="4">
        <v>2</v>
      </c>
      <c r="H253" s="4">
        <v>2</v>
      </c>
      <c r="I253" s="4"/>
      <c r="J253" s="4">
        <v>1</v>
      </c>
      <c r="K253" s="4">
        <v>4</v>
      </c>
      <c r="L253" s="4"/>
      <c r="M253" s="4">
        <v>3</v>
      </c>
      <c r="N253" s="4"/>
      <c r="O253" s="5">
        <f>SUM(Tabela3239[[#This Row],[jan/23]:[dez/23]])</f>
        <v>15</v>
      </c>
    </row>
    <row r="254" spans="1:15" x14ac:dyDescent="0.25">
      <c r="A254" s="4" t="s">
        <v>483</v>
      </c>
      <c r="B254" s="4" t="s">
        <v>816</v>
      </c>
      <c r="C254" s="4"/>
      <c r="D254" s="4"/>
      <c r="E254" s="4">
        <v>14</v>
      </c>
      <c r="F254" s="4"/>
      <c r="G254" s="4"/>
      <c r="H254" s="4"/>
      <c r="I254" s="4"/>
      <c r="J254" s="4"/>
      <c r="K254" s="4"/>
      <c r="L254" s="4"/>
      <c r="M254" s="4"/>
      <c r="N254" s="4"/>
      <c r="O254" s="5">
        <f>SUM(Tabela3239[[#This Row],[jan/23]:[dez/23]])</f>
        <v>14</v>
      </c>
    </row>
    <row r="255" spans="1:15" x14ac:dyDescent="0.25">
      <c r="A255" s="4" t="s">
        <v>481</v>
      </c>
      <c r="B255" s="4" t="s">
        <v>474</v>
      </c>
      <c r="C255" s="4">
        <v>4</v>
      </c>
      <c r="D255" s="4">
        <v>4</v>
      </c>
      <c r="E255" s="4">
        <v>2</v>
      </c>
      <c r="F255" s="4">
        <v>1</v>
      </c>
      <c r="G255" s="4">
        <v>2</v>
      </c>
      <c r="H255" s="4"/>
      <c r="I255" s="4">
        <v>1</v>
      </c>
      <c r="J255" s="4"/>
      <c r="K255" s="4"/>
      <c r="L255" s="4"/>
      <c r="M255" s="4"/>
      <c r="N255" s="4"/>
      <c r="O255" s="5">
        <f>SUM(Tabela3239[[#This Row],[jan/23]:[dez/23]])</f>
        <v>14</v>
      </c>
    </row>
    <row r="256" spans="1:15" x14ac:dyDescent="0.25">
      <c r="A256" s="4" t="s">
        <v>479</v>
      </c>
      <c r="B256" s="4" t="s">
        <v>817</v>
      </c>
      <c r="C256" s="4"/>
      <c r="D256" s="4"/>
      <c r="E256" s="4">
        <v>1</v>
      </c>
      <c r="F256" s="4">
        <v>1</v>
      </c>
      <c r="G256" s="4">
        <v>1</v>
      </c>
      <c r="H256" s="4"/>
      <c r="I256" s="4"/>
      <c r="J256" s="4">
        <v>1</v>
      </c>
      <c r="K256" s="4">
        <v>1</v>
      </c>
      <c r="L256" s="4">
        <v>1</v>
      </c>
      <c r="M256" s="4">
        <v>2</v>
      </c>
      <c r="N256" s="4">
        <v>4</v>
      </c>
      <c r="O256" s="5">
        <f>SUM(Tabela3239[[#This Row],[jan/23]:[dez/23]])</f>
        <v>12</v>
      </c>
    </row>
    <row r="257" spans="1:15" x14ac:dyDescent="0.25">
      <c r="A257" s="4" t="s">
        <v>477</v>
      </c>
      <c r="B257" s="4" t="s">
        <v>704</v>
      </c>
      <c r="C257" s="4">
        <v>1</v>
      </c>
      <c r="D257" s="4"/>
      <c r="E257" s="4">
        <v>2</v>
      </c>
      <c r="F257" s="4"/>
      <c r="G257" s="4">
        <v>1</v>
      </c>
      <c r="H257" s="4">
        <v>2</v>
      </c>
      <c r="I257" s="4">
        <v>1</v>
      </c>
      <c r="J257" s="4"/>
      <c r="K257" s="4"/>
      <c r="L257" s="4">
        <v>3</v>
      </c>
      <c r="M257" s="4">
        <v>1</v>
      </c>
      <c r="N257" s="4">
        <v>1</v>
      </c>
      <c r="O257" s="5">
        <f>SUM(Tabela3239[[#This Row],[jan/23]:[dez/23]])</f>
        <v>12</v>
      </c>
    </row>
    <row r="258" spans="1:15" x14ac:dyDescent="0.25">
      <c r="A258" s="4" t="s">
        <v>475</v>
      </c>
      <c r="B258" s="4" t="s">
        <v>548</v>
      </c>
      <c r="C258" s="4">
        <v>2</v>
      </c>
      <c r="D258" s="4">
        <v>2</v>
      </c>
      <c r="E258" s="4"/>
      <c r="F258" s="4">
        <v>2</v>
      </c>
      <c r="G258" s="4"/>
      <c r="H258" s="4"/>
      <c r="I258" s="4">
        <v>2</v>
      </c>
      <c r="J258" s="4">
        <v>3</v>
      </c>
      <c r="K258" s="4"/>
      <c r="L258" s="4"/>
      <c r="M258" s="4">
        <v>1</v>
      </c>
      <c r="N258" s="4"/>
      <c r="O258" s="5">
        <f>SUM(Tabela3239[[#This Row],[jan/23]:[dez/23]])</f>
        <v>12</v>
      </c>
    </row>
    <row r="259" spans="1:15" x14ac:dyDescent="0.25">
      <c r="A259" s="4" t="s">
        <v>555</v>
      </c>
      <c r="B259" s="4" t="s">
        <v>458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>
        <v>11</v>
      </c>
      <c r="O259" s="5">
        <f>SUM(Tabela3239[[#This Row],[jan/23]:[dez/23]])</f>
        <v>11</v>
      </c>
    </row>
    <row r="260" spans="1:15" x14ac:dyDescent="0.25">
      <c r="A260" s="4" t="s">
        <v>556</v>
      </c>
      <c r="B260" s="4" t="s">
        <v>751</v>
      </c>
      <c r="C260" s="4"/>
      <c r="D260" s="4">
        <v>1</v>
      </c>
      <c r="E260" s="4"/>
      <c r="F260" s="4">
        <v>1</v>
      </c>
      <c r="G260" s="4"/>
      <c r="H260" s="4"/>
      <c r="I260" s="4">
        <v>1</v>
      </c>
      <c r="J260" s="4">
        <v>3</v>
      </c>
      <c r="K260" s="4">
        <v>1</v>
      </c>
      <c r="L260" s="4"/>
      <c r="M260" s="4">
        <v>3</v>
      </c>
      <c r="N260" s="4"/>
      <c r="O260" s="5">
        <f>SUM(Tabela3239[[#This Row],[jan/23]:[dez/23]])</f>
        <v>10</v>
      </c>
    </row>
    <row r="261" spans="1:15" x14ac:dyDescent="0.25">
      <c r="A261" s="4" t="s">
        <v>557</v>
      </c>
      <c r="B261" s="4" t="s">
        <v>818</v>
      </c>
      <c r="C261" s="4">
        <v>3</v>
      </c>
      <c r="D261" s="4"/>
      <c r="E261" s="4">
        <v>2</v>
      </c>
      <c r="F261" s="4">
        <v>1</v>
      </c>
      <c r="G261" s="4"/>
      <c r="H261" s="4">
        <v>1</v>
      </c>
      <c r="I261" s="4">
        <v>1</v>
      </c>
      <c r="J261" s="4"/>
      <c r="K261" s="4">
        <v>1</v>
      </c>
      <c r="L261" s="4"/>
      <c r="M261" s="4"/>
      <c r="N261" s="4"/>
      <c r="O261" s="5">
        <f>SUM(Tabela3239[[#This Row],[jan/23]:[dez/23]])</f>
        <v>9</v>
      </c>
    </row>
    <row r="262" spans="1:15" x14ac:dyDescent="0.25">
      <c r="A262" s="4" t="s">
        <v>558</v>
      </c>
      <c r="B262" s="4" t="s">
        <v>810</v>
      </c>
      <c r="C262" s="4">
        <v>3</v>
      </c>
      <c r="D262" s="4">
        <v>1</v>
      </c>
      <c r="E262" s="4">
        <v>2</v>
      </c>
      <c r="F262" s="4">
        <v>2</v>
      </c>
      <c r="G262" s="4"/>
      <c r="H262" s="4"/>
      <c r="I262" s="4"/>
      <c r="J262" s="4"/>
      <c r="K262" s="4"/>
      <c r="L262" s="4"/>
      <c r="M262" s="4"/>
      <c r="N262" s="4"/>
      <c r="O262" s="5">
        <f>SUM(Tabela3239[[#This Row],[jan/23]:[dez/23]])</f>
        <v>8</v>
      </c>
    </row>
    <row r="263" spans="1:15" x14ac:dyDescent="0.25">
      <c r="A263" s="4" t="s">
        <v>559</v>
      </c>
      <c r="B263" s="4" t="s">
        <v>781</v>
      </c>
      <c r="C263" s="4"/>
      <c r="D263" s="4">
        <v>2</v>
      </c>
      <c r="E263" s="4">
        <v>1</v>
      </c>
      <c r="F263" s="4">
        <v>3</v>
      </c>
      <c r="G263" s="4">
        <v>2</v>
      </c>
      <c r="H263" s="4"/>
      <c r="I263" s="4"/>
      <c r="J263" s="4"/>
      <c r="K263" s="4"/>
      <c r="L263" s="4"/>
      <c r="M263" s="4"/>
      <c r="N263" s="4"/>
      <c r="O263" s="5">
        <f>SUM(Tabela3239[[#This Row],[jan/23]:[dez/23]])</f>
        <v>8</v>
      </c>
    </row>
    <row r="264" spans="1:15" x14ac:dyDescent="0.25">
      <c r="A264" s="4" t="s">
        <v>561</v>
      </c>
      <c r="B264" s="4" t="s">
        <v>802</v>
      </c>
      <c r="C264" s="4"/>
      <c r="D264" s="4"/>
      <c r="E264" s="4">
        <v>8</v>
      </c>
      <c r="F264" s="4"/>
      <c r="G264" s="4"/>
      <c r="H264" s="4"/>
      <c r="I264" s="4"/>
      <c r="J264" s="4"/>
      <c r="K264" s="4"/>
      <c r="L264" s="4"/>
      <c r="M264" s="4"/>
      <c r="N264" s="4"/>
      <c r="O264" s="5">
        <f>SUM(Tabela3239[[#This Row],[jan/23]:[dez/23]])</f>
        <v>8</v>
      </c>
    </row>
    <row r="265" spans="1:15" x14ac:dyDescent="0.25">
      <c r="A265" s="4" t="s">
        <v>563</v>
      </c>
      <c r="B265" s="4" t="s">
        <v>674</v>
      </c>
      <c r="C265" s="4"/>
      <c r="D265" s="4"/>
      <c r="E265" s="4">
        <v>3</v>
      </c>
      <c r="F265" s="4"/>
      <c r="G265" s="4"/>
      <c r="H265" s="4">
        <v>1</v>
      </c>
      <c r="I265" s="4"/>
      <c r="J265" s="4">
        <v>1</v>
      </c>
      <c r="K265" s="4"/>
      <c r="L265" s="4"/>
      <c r="M265" s="4"/>
      <c r="N265" s="4">
        <v>3</v>
      </c>
      <c r="O265" s="5">
        <f>SUM(Tabela3239[[#This Row],[jan/23]:[dez/23]])</f>
        <v>8</v>
      </c>
    </row>
    <row r="266" spans="1:15" x14ac:dyDescent="0.25">
      <c r="A266" s="4" t="s">
        <v>564</v>
      </c>
      <c r="B266" s="4" t="s">
        <v>804</v>
      </c>
      <c r="C266" s="4"/>
      <c r="D266" s="4">
        <v>1</v>
      </c>
      <c r="E266" s="4">
        <v>1</v>
      </c>
      <c r="F266" s="4"/>
      <c r="G266" s="4"/>
      <c r="H266" s="4"/>
      <c r="I266" s="4">
        <v>3</v>
      </c>
      <c r="J266" s="4"/>
      <c r="K266" s="4"/>
      <c r="L266" s="4"/>
      <c r="M266" s="4">
        <v>1</v>
      </c>
      <c r="N266" s="4">
        <v>1</v>
      </c>
      <c r="O266" s="5">
        <f>SUM(Tabela3239[[#This Row],[jan/23]:[dez/23]])</f>
        <v>7</v>
      </c>
    </row>
    <row r="267" spans="1:15" x14ac:dyDescent="0.25">
      <c r="A267" s="4" t="s">
        <v>566</v>
      </c>
      <c r="B267" s="4" t="s">
        <v>724</v>
      </c>
      <c r="C267" s="4"/>
      <c r="D267" s="4"/>
      <c r="E267" s="4">
        <v>1</v>
      </c>
      <c r="F267" s="4"/>
      <c r="G267" s="4"/>
      <c r="H267" s="4">
        <v>1</v>
      </c>
      <c r="I267" s="4"/>
      <c r="J267" s="4">
        <v>1</v>
      </c>
      <c r="K267" s="4"/>
      <c r="L267" s="4">
        <v>1</v>
      </c>
      <c r="M267" s="4">
        <v>1</v>
      </c>
      <c r="N267" s="4">
        <v>1</v>
      </c>
      <c r="O267" s="5">
        <f>SUM(Tabela3239[[#This Row],[jan/23]:[dez/23]])</f>
        <v>6</v>
      </c>
    </row>
    <row r="268" spans="1:15" x14ac:dyDescent="0.25">
      <c r="A268" s="4" t="s">
        <v>567</v>
      </c>
      <c r="B268" s="4" t="s">
        <v>708</v>
      </c>
      <c r="C268" s="4">
        <v>3</v>
      </c>
      <c r="D268" s="4">
        <v>1</v>
      </c>
      <c r="E268" s="4"/>
      <c r="F268" s="4"/>
      <c r="G268" s="4">
        <v>1</v>
      </c>
      <c r="H268" s="4"/>
      <c r="I268" s="4"/>
      <c r="J268" s="4"/>
      <c r="K268" s="4"/>
      <c r="L268" s="4"/>
      <c r="M268" s="4">
        <v>1</v>
      </c>
      <c r="N268" s="4"/>
      <c r="O268" s="5">
        <f>SUM(Tabela3239[[#This Row],[jan/23]:[dez/23]])</f>
        <v>6</v>
      </c>
    </row>
    <row r="269" spans="1:15" x14ac:dyDescent="0.25">
      <c r="A269" s="4" t="s">
        <v>569</v>
      </c>
      <c r="B269" s="4" t="s">
        <v>614</v>
      </c>
      <c r="C269" s="4"/>
      <c r="D269" s="4">
        <v>2</v>
      </c>
      <c r="E269" s="4"/>
      <c r="F269" s="4"/>
      <c r="G269" s="4"/>
      <c r="H269" s="4"/>
      <c r="I269" s="4"/>
      <c r="J269" s="4">
        <v>2</v>
      </c>
      <c r="K269" s="4"/>
      <c r="L269" s="4"/>
      <c r="M269" s="4">
        <v>1</v>
      </c>
      <c r="N269" s="4"/>
      <c r="O269" s="5">
        <f>SUM(Tabela3239[[#This Row],[jan/23]:[dez/23]])</f>
        <v>5</v>
      </c>
    </row>
    <row r="270" spans="1:15" x14ac:dyDescent="0.25">
      <c r="A270" s="4" t="s">
        <v>571</v>
      </c>
      <c r="B270" s="4" t="s">
        <v>684</v>
      </c>
      <c r="C270" s="4"/>
      <c r="D270" s="4">
        <v>1</v>
      </c>
      <c r="E270" s="4"/>
      <c r="F270" s="4">
        <v>1</v>
      </c>
      <c r="G270" s="4">
        <v>1</v>
      </c>
      <c r="H270" s="4">
        <v>1</v>
      </c>
      <c r="I270" s="4"/>
      <c r="J270" s="4"/>
      <c r="K270" s="4"/>
      <c r="L270" s="4">
        <v>1</v>
      </c>
      <c r="M270" s="4"/>
      <c r="N270" s="4"/>
      <c r="O270" s="5">
        <f>SUM(Tabela3239[[#This Row],[jan/23]:[dez/23]])</f>
        <v>5</v>
      </c>
    </row>
    <row r="271" spans="1:15" x14ac:dyDescent="0.25">
      <c r="A271" s="4" t="s">
        <v>572</v>
      </c>
      <c r="B271" s="4" t="s">
        <v>806</v>
      </c>
      <c r="C271" s="4">
        <v>1</v>
      </c>
      <c r="D271" s="4">
        <v>2</v>
      </c>
      <c r="E271" s="4"/>
      <c r="F271" s="4">
        <v>1</v>
      </c>
      <c r="G271" s="4"/>
      <c r="H271" s="4"/>
      <c r="I271" s="4">
        <v>1</v>
      </c>
      <c r="J271" s="4"/>
      <c r="K271" s="4"/>
      <c r="L271" s="4"/>
      <c r="M271" s="4"/>
      <c r="N271" s="4"/>
      <c r="O271" s="5">
        <f>SUM(Tabela3239[[#This Row],[jan/23]:[dez/23]])</f>
        <v>5</v>
      </c>
    </row>
    <row r="272" spans="1:15" x14ac:dyDescent="0.25">
      <c r="A272" s="4" t="s">
        <v>617</v>
      </c>
      <c r="B272" s="4" t="s">
        <v>718</v>
      </c>
      <c r="C272" s="4">
        <v>2</v>
      </c>
      <c r="D272" s="4">
        <v>2</v>
      </c>
      <c r="E272" s="4"/>
      <c r="F272" s="4"/>
      <c r="G272" s="4"/>
      <c r="H272" s="4">
        <v>1</v>
      </c>
      <c r="I272" s="4"/>
      <c r="J272" s="4"/>
      <c r="K272" s="4"/>
      <c r="L272" s="4"/>
      <c r="M272" s="4"/>
      <c r="N272" s="4"/>
      <c r="O272" s="5">
        <f>SUM(Tabela3239[[#This Row],[jan/23]:[dez/23]])</f>
        <v>5</v>
      </c>
    </row>
    <row r="273" spans="1:15" x14ac:dyDescent="0.25">
      <c r="A273" s="4" t="s">
        <v>618</v>
      </c>
      <c r="B273" s="4" t="s">
        <v>819</v>
      </c>
      <c r="C273" s="4"/>
      <c r="D273" s="4">
        <v>3</v>
      </c>
      <c r="E273" s="4"/>
      <c r="F273" s="4">
        <v>1</v>
      </c>
      <c r="G273" s="4"/>
      <c r="H273" s="4"/>
      <c r="I273" s="4"/>
      <c r="J273" s="4"/>
      <c r="K273" s="4"/>
      <c r="L273" s="4"/>
      <c r="M273" s="4">
        <v>1</v>
      </c>
      <c r="N273" s="4"/>
      <c r="O273" s="5">
        <f>SUM(Tabela3239[[#This Row],[jan/23]:[dez/23]])</f>
        <v>5</v>
      </c>
    </row>
    <row r="274" spans="1:15" x14ac:dyDescent="0.25">
      <c r="A274" s="4" t="s">
        <v>619</v>
      </c>
      <c r="B274" s="4" t="s">
        <v>706</v>
      </c>
      <c r="C274" s="4"/>
      <c r="D274" s="4">
        <v>1</v>
      </c>
      <c r="E274" s="4"/>
      <c r="F274" s="4"/>
      <c r="G274" s="4">
        <v>1</v>
      </c>
      <c r="H274" s="4"/>
      <c r="I274" s="4"/>
      <c r="J274" s="4">
        <v>3</v>
      </c>
      <c r="K274" s="4"/>
      <c r="L274" s="4"/>
      <c r="M274" s="4"/>
      <c r="N274" s="4"/>
      <c r="O274" s="5">
        <f>SUM(Tabela3239[[#This Row],[jan/23]:[dez/23]])</f>
        <v>5</v>
      </c>
    </row>
    <row r="275" spans="1:15" x14ac:dyDescent="0.25">
      <c r="A275" s="4" t="s">
        <v>620</v>
      </c>
      <c r="B275" s="4" t="s">
        <v>710</v>
      </c>
      <c r="C275" s="4">
        <v>1</v>
      </c>
      <c r="D275" s="4"/>
      <c r="E275" s="4"/>
      <c r="F275" s="4">
        <v>1</v>
      </c>
      <c r="G275" s="4"/>
      <c r="H275" s="4"/>
      <c r="I275" s="4"/>
      <c r="J275" s="4">
        <v>1</v>
      </c>
      <c r="K275" s="4">
        <v>1</v>
      </c>
      <c r="L275" s="4"/>
      <c r="M275" s="4">
        <v>1</v>
      </c>
      <c r="N275" s="4"/>
      <c r="O275" s="5">
        <f>SUM(Tabela3239[[#This Row],[jan/23]:[dez/23]])</f>
        <v>5</v>
      </c>
    </row>
    <row r="276" spans="1:15" x14ac:dyDescent="0.25">
      <c r="A276" s="4" t="s">
        <v>621</v>
      </c>
      <c r="B276" s="4" t="s">
        <v>813</v>
      </c>
      <c r="C276" s="4"/>
      <c r="D276" s="4">
        <v>1</v>
      </c>
      <c r="E276" s="4">
        <v>1</v>
      </c>
      <c r="F276" s="4">
        <v>1</v>
      </c>
      <c r="G276" s="4"/>
      <c r="H276" s="4">
        <v>1</v>
      </c>
      <c r="I276" s="4"/>
      <c r="J276" s="4"/>
      <c r="K276" s="4"/>
      <c r="L276" s="4"/>
      <c r="M276" s="4"/>
      <c r="N276" s="4"/>
      <c r="O276" s="5">
        <f>SUM(Tabela3239[[#This Row],[jan/23]:[dez/23]])</f>
        <v>4</v>
      </c>
    </row>
    <row r="277" spans="1:15" x14ac:dyDescent="0.25">
      <c r="A277" s="4" t="s">
        <v>623</v>
      </c>
      <c r="B277" s="4" t="s">
        <v>714</v>
      </c>
      <c r="C277" s="4">
        <v>2</v>
      </c>
      <c r="D277" s="4">
        <v>1</v>
      </c>
      <c r="E277" s="4"/>
      <c r="F277" s="4"/>
      <c r="G277" s="4"/>
      <c r="H277" s="4">
        <v>1</v>
      </c>
      <c r="I277" s="4"/>
      <c r="J277" s="4"/>
      <c r="K277" s="4"/>
      <c r="L277" s="4"/>
      <c r="M277" s="4"/>
      <c r="N277" s="4"/>
      <c r="O277" s="5">
        <f>SUM(Tabela3239[[#This Row],[jan/23]:[dez/23]])</f>
        <v>4</v>
      </c>
    </row>
    <row r="278" spans="1:15" x14ac:dyDescent="0.25">
      <c r="A278" s="4" t="s">
        <v>624</v>
      </c>
      <c r="B278" s="4" t="s">
        <v>636</v>
      </c>
      <c r="C278" s="4">
        <v>1</v>
      </c>
      <c r="D278" s="4">
        <v>1</v>
      </c>
      <c r="E278" s="4"/>
      <c r="F278" s="4"/>
      <c r="G278" s="4"/>
      <c r="H278" s="4"/>
      <c r="I278" s="4"/>
      <c r="J278" s="4"/>
      <c r="K278" s="4"/>
      <c r="L278" s="4">
        <v>1</v>
      </c>
      <c r="M278" s="4">
        <v>1</v>
      </c>
      <c r="N278" s="4"/>
      <c r="O278" s="5">
        <f>SUM(Tabela3239[[#This Row],[jan/23]:[dez/23]])</f>
        <v>4</v>
      </c>
    </row>
    <row r="279" spans="1:15" x14ac:dyDescent="0.25">
      <c r="A279" s="4" t="s">
        <v>626</v>
      </c>
      <c r="B279" s="4" t="s">
        <v>820</v>
      </c>
      <c r="C279" s="4">
        <v>3</v>
      </c>
      <c r="D279" s="4"/>
      <c r="E279" s="4"/>
      <c r="F279" s="4"/>
      <c r="G279" s="4"/>
      <c r="H279" s="4">
        <v>1</v>
      </c>
      <c r="I279" s="4"/>
      <c r="J279" s="4"/>
      <c r="K279" s="4"/>
      <c r="L279" s="4"/>
      <c r="M279" s="4"/>
      <c r="N279" s="4"/>
      <c r="O279" s="5">
        <f>SUM(Tabela3239[[#This Row],[jan/23]:[dez/23]])</f>
        <v>4</v>
      </c>
    </row>
    <row r="280" spans="1:15" x14ac:dyDescent="0.25">
      <c r="A280" s="4" t="s">
        <v>628</v>
      </c>
      <c r="B280" s="4" t="s">
        <v>719</v>
      </c>
      <c r="C280" s="4">
        <v>1</v>
      </c>
      <c r="D280" s="4"/>
      <c r="E280" s="4"/>
      <c r="F280" s="4"/>
      <c r="G280" s="4">
        <v>2</v>
      </c>
      <c r="H280" s="4"/>
      <c r="I280" s="4"/>
      <c r="J280" s="4"/>
      <c r="K280" s="4"/>
      <c r="L280" s="4"/>
      <c r="M280" s="4"/>
      <c r="N280" s="4"/>
      <c r="O280" s="5">
        <f>SUM(Tabela3239[[#This Row],[jan/23]:[dez/23]])</f>
        <v>3</v>
      </c>
    </row>
    <row r="281" spans="1:15" x14ac:dyDescent="0.25">
      <c r="A281" s="4" t="s">
        <v>630</v>
      </c>
      <c r="B281" s="4" t="s">
        <v>266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>
        <v>3</v>
      </c>
      <c r="O281" s="5">
        <f>SUM(Tabela3239[[#This Row],[jan/23]:[dez/23]])</f>
        <v>3</v>
      </c>
    </row>
    <row r="282" spans="1:15" x14ac:dyDescent="0.25">
      <c r="A282" s="4" t="s">
        <v>631</v>
      </c>
      <c r="B282" s="4" t="s">
        <v>765</v>
      </c>
      <c r="C282" s="4">
        <v>1</v>
      </c>
      <c r="D282" s="4"/>
      <c r="E282" s="4"/>
      <c r="F282" s="4">
        <v>1</v>
      </c>
      <c r="G282" s="4"/>
      <c r="H282" s="4"/>
      <c r="I282" s="4"/>
      <c r="J282" s="4">
        <v>1</v>
      </c>
      <c r="K282" s="4"/>
      <c r="L282" s="4"/>
      <c r="M282" s="4"/>
      <c r="N282" s="4"/>
      <c r="O282" s="5">
        <f>SUM(Tabela3239[[#This Row],[jan/23]:[dez/23]])</f>
        <v>3</v>
      </c>
    </row>
    <row r="283" spans="1:15" x14ac:dyDescent="0.25">
      <c r="A283" s="4" t="s">
        <v>633</v>
      </c>
      <c r="B283" s="4" t="s">
        <v>821</v>
      </c>
      <c r="C283" s="4"/>
      <c r="D283" s="4"/>
      <c r="E283" s="4"/>
      <c r="F283" s="4"/>
      <c r="G283" s="4"/>
      <c r="H283" s="4"/>
      <c r="I283" s="4"/>
      <c r="J283" s="4"/>
      <c r="K283" s="4">
        <v>1</v>
      </c>
      <c r="L283" s="4"/>
      <c r="M283" s="4">
        <v>2</v>
      </c>
      <c r="N283" s="4"/>
      <c r="O283" s="5">
        <f>SUM(Tabela3239[[#This Row],[jan/23]:[dez/23]])</f>
        <v>3</v>
      </c>
    </row>
    <row r="284" spans="1:15" x14ac:dyDescent="0.25">
      <c r="A284" s="4" t="s">
        <v>635</v>
      </c>
      <c r="B284" s="4" t="s">
        <v>356</v>
      </c>
      <c r="C284" s="4"/>
      <c r="D284" s="4"/>
      <c r="E284" s="4"/>
      <c r="F284" s="4"/>
      <c r="G284" s="4"/>
      <c r="H284" s="4">
        <v>2</v>
      </c>
      <c r="I284" s="4"/>
      <c r="J284" s="4"/>
      <c r="K284" s="4">
        <v>1</v>
      </c>
      <c r="L284" s="4"/>
      <c r="M284" s="4"/>
      <c r="N284" s="4"/>
      <c r="O284" s="5">
        <f>SUM(Tabela3239[[#This Row],[jan/23]:[dez/23]])</f>
        <v>3</v>
      </c>
    </row>
    <row r="285" spans="1:15" x14ac:dyDescent="0.25">
      <c r="A285" s="4" t="s">
        <v>637</v>
      </c>
      <c r="B285" s="4" t="s">
        <v>822</v>
      </c>
      <c r="C285" s="4"/>
      <c r="D285" s="4">
        <v>1</v>
      </c>
      <c r="E285" s="4"/>
      <c r="F285" s="4">
        <v>1</v>
      </c>
      <c r="G285" s="4"/>
      <c r="H285" s="4"/>
      <c r="I285" s="4"/>
      <c r="J285" s="4">
        <v>1</v>
      </c>
      <c r="K285" s="4"/>
      <c r="L285" s="4"/>
      <c r="M285" s="4"/>
      <c r="N285" s="4"/>
      <c r="O285" s="5">
        <f>SUM(Tabela3239[[#This Row],[jan/23]:[dez/23]])</f>
        <v>3</v>
      </c>
    </row>
    <row r="286" spans="1:15" x14ac:dyDescent="0.25">
      <c r="A286" s="4" t="s">
        <v>638</v>
      </c>
      <c r="B286" s="4" t="s">
        <v>805</v>
      </c>
      <c r="C286" s="4">
        <v>2</v>
      </c>
      <c r="D286" s="4"/>
      <c r="E286" s="4">
        <v>1</v>
      </c>
      <c r="F286" s="4"/>
      <c r="G286" s="4"/>
      <c r="H286" s="4"/>
      <c r="I286" s="4"/>
      <c r="J286" s="4"/>
      <c r="K286" s="4"/>
      <c r="L286" s="4"/>
      <c r="M286" s="4"/>
      <c r="N286" s="4"/>
      <c r="O286" s="5">
        <f>SUM(Tabela3239[[#This Row],[jan/23]:[dez/23]])</f>
        <v>3</v>
      </c>
    </row>
    <row r="287" spans="1:15" x14ac:dyDescent="0.25">
      <c r="A287" s="4" t="s">
        <v>639</v>
      </c>
      <c r="B287" s="4" t="s">
        <v>492</v>
      </c>
      <c r="C287" s="4"/>
      <c r="D287" s="4"/>
      <c r="E287" s="4"/>
      <c r="F287" s="4"/>
      <c r="G287" s="4">
        <v>1</v>
      </c>
      <c r="H287" s="4"/>
      <c r="I287" s="4"/>
      <c r="J287" s="4"/>
      <c r="K287" s="4"/>
      <c r="L287" s="4"/>
      <c r="M287" s="4"/>
      <c r="N287" s="4">
        <v>2</v>
      </c>
      <c r="O287" s="5">
        <f>SUM(Tabela3239[[#This Row],[jan/23]:[dez/23]])</f>
        <v>3</v>
      </c>
    </row>
    <row r="288" spans="1:15" x14ac:dyDescent="0.25">
      <c r="A288" s="4" t="s">
        <v>641</v>
      </c>
      <c r="B288" s="4" t="s">
        <v>685</v>
      </c>
      <c r="C288" s="4"/>
      <c r="D288" s="4"/>
      <c r="E288" s="4"/>
      <c r="F288" s="4"/>
      <c r="G288" s="4"/>
      <c r="H288" s="4"/>
      <c r="I288" s="4"/>
      <c r="J288" s="4"/>
      <c r="K288" s="4">
        <v>1</v>
      </c>
      <c r="L288" s="4">
        <v>1</v>
      </c>
      <c r="M288" s="4"/>
      <c r="N288" s="4"/>
      <c r="O288" s="5">
        <f>SUM(Tabela3239[[#This Row],[jan/23]:[dez/23]])</f>
        <v>2</v>
      </c>
    </row>
    <row r="289" spans="1:15" x14ac:dyDescent="0.25">
      <c r="A289" s="4" t="s">
        <v>642</v>
      </c>
      <c r="B289" s="4" t="s">
        <v>823</v>
      </c>
      <c r="C289" s="4"/>
      <c r="D289" s="4"/>
      <c r="E289" s="4"/>
      <c r="F289" s="4"/>
      <c r="G289" s="4"/>
      <c r="H289" s="4">
        <v>1</v>
      </c>
      <c r="I289" s="4"/>
      <c r="J289" s="4">
        <v>1</v>
      </c>
      <c r="K289" s="4"/>
      <c r="L289" s="4"/>
      <c r="M289" s="4"/>
      <c r="N289" s="4"/>
      <c r="O289" s="5">
        <f>SUM(Tabela3239[[#This Row],[jan/23]:[dez/23]])</f>
        <v>2</v>
      </c>
    </row>
    <row r="290" spans="1:15" x14ac:dyDescent="0.25">
      <c r="A290" s="4" t="s">
        <v>644</v>
      </c>
      <c r="B290" s="4" t="s">
        <v>680</v>
      </c>
      <c r="C290" s="4">
        <v>1</v>
      </c>
      <c r="D290" s="4"/>
      <c r="E290" s="4"/>
      <c r="F290" s="4"/>
      <c r="G290" s="4"/>
      <c r="H290" s="4">
        <v>1</v>
      </c>
      <c r="I290" s="4"/>
      <c r="J290" s="4"/>
      <c r="K290" s="4"/>
      <c r="L290" s="4"/>
      <c r="M290" s="4"/>
      <c r="N290" s="4"/>
      <c r="O290" s="5">
        <f>SUM(Tabela3239[[#This Row],[jan/23]:[dez/23]])</f>
        <v>2</v>
      </c>
    </row>
    <row r="291" spans="1:15" x14ac:dyDescent="0.25">
      <c r="A291" s="4" t="s">
        <v>646</v>
      </c>
      <c r="B291" s="4" t="s">
        <v>484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>
        <v>2</v>
      </c>
      <c r="O291" s="5">
        <f>SUM(Tabela3239[[#This Row],[jan/23]:[dez/23]])</f>
        <v>2</v>
      </c>
    </row>
    <row r="292" spans="1:15" x14ac:dyDescent="0.25">
      <c r="A292" s="4" t="s">
        <v>648</v>
      </c>
      <c r="B292" s="4" t="s">
        <v>824</v>
      </c>
      <c r="C292" s="4"/>
      <c r="D292" s="4"/>
      <c r="E292" s="4"/>
      <c r="F292" s="4">
        <v>1</v>
      </c>
      <c r="G292" s="4"/>
      <c r="H292" s="4"/>
      <c r="I292" s="4"/>
      <c r="J292" s="4"/>
      <c r="K292" s="4"/>
      <c r="L292" s="4"/>
      <c r="M292" s="4"/>
      <c r="N292" s="4">
        <v>1</v>
      </c>
      <c r="O292" s="5">
        <f>SUM(Tabela3239[[#This Row],[jan/23]:[dez/23]])</f>
        <v>2</v>
      </c>
    </row>
    <row r="293" spans="1:15" x14ac:dyDescent="0.25">
      <c r="A293" s="4" t="s">
        <v>650</v>
      </c>
      <c r="B293" s="4" t="s">
        <v>678</v>
      </c>
      <c r="C293" s="4">
        <v>1</v>
      </c>
      <c r="D293" s="4"/>
      <c r="E293" s="4">
        <v>1</v>
      </c>
      <c r="F293" s="4"/>
      <c r="G293" s="4"/>
      <c r="H293" s="4"/>
      <c r="I293" s="4"/>
      <c r="J293" s="4"/>
      <c r="K293" s="4"/>
      <c r="L293" s="4"/>
      <c r="M293" s="4"/>
      <c r="N293" s="4"/>
      <c r="O293" s="5">
        <f>SUM(Tabela3239[[#This Row],[jan/23]:[dez/23]])</f>
        <v>2</v>
      </c>
    </row>
    <row r="294" spans="1:15" x14ac:dyDescent="0.25">
      <c r="A294" s="4" t="s">
        <v>651</v>
      </c>
      <c r="B294" s="4" t="s">
        <v>808</v>
      </c>
      <c r="C294" s="4"/>
      <c r="D294" s="4"/>
      <c r="E294" s="4"/>
      <c r="F294" s="4"/>
      <c r="G294" s="4"/>
      <c r="H294" s="4">
        <v>1</v>
      </c>
      <c r="I294" s="4"/>
      <c r="J294" s="4"/>
      <c r="K294" s="4"/>
      <c r="L294" s="4">
        <v>1</v>
      </c>
      <c r="M294" s="4"/>
      <c r="N294" s="4"/>
      <c r="O294" s="5">
        <f>SUM(Tabela3239[[#This Row],[jan/23]:[dez/23]])</f>
        <v>2</v>
      </c>
    </row>
    <row r="295" spans="1:15" x14ac:dyDescent="0.25">
      <c r="A295" s="4" t="s">
        <v>653</v>
      </c>
      <c r="B295" s="4" t="s">
        <v>755</v>
      </c>
      <c r="C295" s="4">
        <v>2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>
        <f>SUM(Tabela3239[[#This Row],[jan/23]:[dez/23]])</f>
        <v>2</v>
      </c>
    </row>
    <row r="296" spans="1:15" x14ac:dyDescent="0.25">
      <c r="A296" s="4" t="s">
        <v>655</v>
      </c>
      <c r="B296" s="4" t="s">
        <v>779</v>
      </c>
      <c r="C296" s="4"/>
      <c r="D296" s="4"/>
      <c r="E296" s="4">
        <v>1</v>
      </c>
      <c r="F296" s="4"/>
      <c r="G296" s="4"/>
      <c r="H296" s="4"/>
      <c r="I296" s="4"/>
      <c r="J296" s="4"/>
      <c r="K296" s="4"/>
      <c r="L296" s="4"/>
      <c r="M296" s="4"/>
      <c r="N296" s="4"/>
      <c r="O296" s="5">
        <f>SUM(Tabela3239[[#This Row],[jan/23]:[dez/23]])</f>
        <v>1</v>
      </c>
    </row>
    <row r="297" spans="1:15" x14ac:dyDescent="0.25">
      <c r="A297" s="4" t="s">
        <v>657</v>
      </c>
      <c r="B297" s="4" t="s">
        <v>715</v>
      </c>
      <c r="C297" s="4"/>
      <c r="D297" s="4"/>
      <c r="E297" s="4"/>
      <c r="F297" s="4"/>
      <c r="G297" s="4"/>
      <c r="H297" s="4"/>
      <c r="I297" s="4"/>
      <c r="J297" s="4">
        <v>1</v>
      </c>
      <c r="K297" s="4"/>
      <c r="L297" s="4"/>
      <c r="M297" s="4"/>
      <c r="N297" s="4"/>
      <c r="O297" s="5">
        <f>SUM(Tabela3239[[#This Row],[jan/23]:[dez/23]])</f>
        <v>1</v>
      </c>
    </row>
    <row r="298" spans="1:15" x14ac:dyDescent="0.25">
      <c r="A298" s="4" t="s">
        <v>658</v>
      </c>
      <c r="B298" s="4" t="s">
        <v>712</v>
      </c>
      <c r="C298" s="4"/>
      <c r="D298" s="4"/>
      <c r="E298" s="4"/>
      <c r="F298" s="4"/>
      <c r="G298" s="4">
        <v>1</v>
      </c>
      <c r="H298" s="4"/>
      <c r="I298" s="4"/>
      <c r="J298" s="4"/>
      <c r="K298" s="4"/>
      <c r="L298" s="4"/>
      <c r="M298" s="4"/>
      <c r="N298" s="4"/>
      <c r="O298" s="5">
        <f>SUM(Tabela3239[[#This Row],[jan/23]:[dez/23]])</f>
        <v>1</v>
      </c>
    </row>
    <row r="299" spans="1:15" x14ac:dyDescent="0.25">
      <c r="A299" s="4" t="s">
        <v>660</v>
      </c>
      <c r="B299" s="4" t="s">
        <v>687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>
        <v>1</v>
      </c>
      <c r="N299" s="4"/>
      <c r="O299" s="5">
        <f>SUM(Tabela3239[[#This Row],[jan/23]:[dez/23]])</f>
        <v>1</v>
      </c>
    </row>
    <row r="300" spans="1:15" x14ac:dyDescent="0.25">
      <c r="A300" s="4" t="s">
        <v>693</v>
      </c>
      <c r="B300" s="4" t="s">
        <v>770</v>
      </c>
      <c r="C300" s="4"/>
      <c r="D300" s="4"/>
      <c r="E300" s="4"/>
      <c r="F300" s="4">
        <v>1</v>
      </c>
      <c r="G300" s="4"/>
      <c r="H300" s="4"/>
      <c r="I300" s="4"/>
      <c r="J300" s="4"/>
      <c r="K300" s="4"/>
      <c r="L300" s="4"/>
      <c r="M300" s="4"/>
      <c r="N300" s="4"/>
      <c r="O300" s="5">
        <f>SUM(Tabela3239[[#This Row],[jan/23]:[dez/23]])</f>
        <v>1</v>
      </c>
    </row>
    <row r="301" spans="1:15" x14ac:dyDescent="0.25">
      <c r="A301" s="4" t="s">
        <v>720</v>
      </c>
      <c r="B301" s="4" t="s">
        <v>786</v>
      </c>
      <c r="C301" s="4"/>
      <c r="D301" s="4"/>
      <c r="E301" s="4"/>
      <c r="F301" s="4">
        <v>1</v>
      </c>
      <c r="G301" s="4"/>
      <c r="H301" s="4"/>
      <c r="I301" s="4"/>
      <c r="J301" s="4"/>
      <c r="K301" s="4"/>
      <c r="L301" s="4"/>
      <c r="M301" s="4"/>
      <c r="N301" s="4"/>
      <c r="O301" s="5">
        <f>SUM(Tabela3239[[#This Row],[jan/23]:[dez/23]])</f>
        <v>1</v>
      </c>
    </row>
    <row r="302" spans="1:15" s="9" customFormat="1" x14ac:dyDescent="0.25">
      <c r="A302" s="10" t="s">
        <v>722</v>
      </c>
      <c r="B302" s="10" t="s">
        <v>661</v>
      </c>
      <c r="C302" s="10"/>
      <c r="D302" s="10"/>
      <c r="E302" s="10"/>
      <c r="F302" s="10"/>
      <c r="G302" s="10"/>
      <c r="H302" s="10">
        <v>1</v>
      </c>
      <c r="I302" s="10"/>
      <c r="J302" s="10"/>
      <c r="K302" s="10"/>
      <c r="L302" s="10"/>
      <c r="M302" s="10"/>
      <c r="N302" s="10"/>
      <c r="O302" s="5">
        <f>SUM(Tabela3239[[#This Row],[jan/23]:[dez/23]])</f>
        <v>1</v>
      </c>
    </row>
    <row r="303" spans="1:15" s="8" customForma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7"/>
    </row>
    <row r="304" spans="1:15" s="8" customForma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7"/>
    </row>
    <row r="305" spans="1:15" s="8" customForma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7"/>
    </row>
    <row r="306" spans="1:15" s="8" customForma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7"/>
    </row>
    <row r="307" spans="1:15" s="8" customForma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7"/>
    </row>
    <row r="308" spans="1:15" s="8" customForma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7"/>
    </row>
    <row r="309" spans="1:15" s="8" customForma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7"/>
    </row>
    <row r="310" spans="1:15" s="8" customForma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7"/>
    </row>
    <row r="311" spans="1:15" s="8" customForma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7"/>
    </row>
    <row r="312" spans="1:15" s="8" customForma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7"/>
    </row>
    <row r="313" spans="1:15" s="8" customForma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7"/>
    </row>
    <row r="314" spans="1:15" s="8" customForma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7"/>
    </row>
    <row r="315" spans="1:15" s="8" customForma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7"/>
    </row>
    <row r="316" spans="1:15" s="8" customForma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7"/>
    </row>
    <row r="317" spans="1:15" s="8" customForma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7"/>
    </row>
    <row r="318" spans="1:15" s="8" customForma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7"/>
    </row>
    <row r="319" spans="1:15" s="8" customForma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7"/>
    </row>
    <row r="320" spans="1:15" s="8" customForma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7"/>
    </row>
    <row r="321" s="8" customFormat="1" x14ac:dyDescent="0.25"/>
    <row r="322" s="8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1B09-146A-495B-BFE9-2C66DD10A8E1}">
  <dimension ref="A1:O326"/>
  <sheetViews>
    <sheetView workbookViewId="0">
      <selection activeCell="O301" sqref="O301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8.85546875" bestFit="1" customWidth="1"/>
    <col min="4" max="4" width="9" bestFit="1" customWidth="1"/>
    <col min="5" max="5" width="9.5703125" bestFit="1" customWidth="1"/>
    <col min="6" max="6" width="9" bestFit="1" customWidth="1"/>
    <col min="7" max="7" width="9.42578125" bestFit="1" customWidth="1"/>
    <col min="8" max="8" width="9" bestFit="1" customWidth="1"/>
    <col min="9" max="9" width="8.42578125" bestFit="1" customWidth="1"/>
    <col min="10" max="10" width="9.28515625" bestFit="1" customWidth="1"/>
    <col min="11" max="11" width="8.85546875" bestFit="1" customWidth="1"/>
    <col min="13" max="13" width="9.42578125" bestFit="1" customWidth="1"/>
    <col min="14" max="14" width="9.28515625" bestFit="1" customWidth="1"/>
    <col min="15" max="15" width="8.85546875" bestFit="1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3</v>
      </c>
      <c r="C2" s="5">
        <v>13900</v>
      </c>
      <c r="D2" s="5">
        <v>11980</v>
      </c>
      <c r="E2" s="5">
        <v>14745</v>
      </c>
      <c r="F2" s="5">
        <v>12689</v>
      </c>
      <c r="G2" s="5">
        <v>15007</v>
      </c>
      <c r="H2" s="5">
        <v>14923</v>
      </c>
      <c r="I2" s="5">
        <v>15234</v>
      </c>
      <c r="J2" s="5">
        <v>18513</v>
      </c>
      <c r="K2" s="5">
        <v>17236</v>
      </c>
      <c r="L2" s="5">
        <v>18322</v>
      </c>
      <c r="M2" s="5">
        <v>18611</v>
      </c>
      <c r="N2" s="5">
        <v>17508</v>
      </c>
      <c r="O2" s="5">
        <f>SUM(Tabela323[[#This Row],[jan/23]:[dez/23]])</f>
        <v>188668</v>
      </c>
    </row>
    <row r="3" spans="1:15" x14ac:dyDescent="0.25">
      <c r="A3" s="4" t="s">
        <v>2</v>
      </c>
      <c r="B3" s="4" t="s">
        <v>7</v>
      </c>
      <c r="C3" s="5">
        <v>7362</v>
      </c>
      <c r="D3" s="5">
        <v>6521</v>
      </c>
      <c r="E3" s="5">
        <v>10638</v>
      </c>
      <c r="F3" s="5">
        <v>7934</v>
      </c>
      <c r="G3" s="5">
        <v>8981</v>
      </c>
      <c r="H3" s="5">
        <v>9715</v>
      </c>
      <c r="I3" s="5">
        <v>9312</v>
      </c>
      <c r="J3" s="5">
        <v>10376</v>
      </c>
      <c r="K3" s="5">
        <v>8530</v>
      </c>
      <c r="L3" s="5">
        <v>8878</v>
      </c>
      <c r="M3" s="5">
        <v>8527</v>
      </c>
      <c r="N3" s="5">
        <v>8770</v>
      </c>
      <c r="O3" s="5">
        <f>SUM(Tabela323[[#This Row],[jan/23]:[dez/23]])</f>
        <v>105544</v>
      </c>
    </row>
    <row r="4" spans="1:15" x14ac:dyDescent="0.25">
      <c r="A4" s="4" t="s">
        <v>4</v>
      </c>
      <c r="B4" s="4" t="s">
        <v>404</v>
      </c>
      <c r="C4" s="5">
        <v>7079</v>
      </c>
      <c r="D4" s="5">
        <v>5765</v>
      </c>
      <c r="E4" s="5">
        <v>8021</v>
      </c>
      <c r="F4" s="5">
        <v>6650</v>
      </c>
      <c r="G4" s="5">
        <v>9326</v>
      </c>
      <c r="H4" s="5">
        <v>7812</v>
      </c>
      <c r="I4" s="5">
        <v>7248</v>
      </c>
      <c r="J4" s="5">
        <v>7631</v>
      </c>
      <c r="K4" s="5">
        <v>8727</v>
      </c>
      <c r="L4" s="5">
        <v>9689</v>
      </c>
      <c r="M4" s="5">
        <v>9067</v>
      </c>
      <c r="N4" s="5">
        <v>7881</v>
      </c>
      <c r="O4" s="5">
        <f>SUM(Tabela323[[#This Row],[jan/23]:[dez/23]])</f>
        <v>94896</v>
      </c>
    </row>
    <row r="5" spans="1:15" x14ac:dyDescent="0.25">
      <c r="A5" s="4" t="s">
        <v>6</v>
      </c>
      <c r="B5" s="4" t="s">
        <v>92</v>
      </c>
      <c r="C5" s="5">
        <v>5073</v>
      </c>
      <c r="D5" s="5">
        <v>4564</v>
      </c>
      <c r="E5" s="5">
        <v>6311</v>
      </c>
      <c r="F5" s="5">
        <v>5515</v>
      </c>
      <c r="G5" s="5">
        <v>8220</v>
      </c>
      <c r="H5" s="5">
        <v>6529</v>
      </c>
      <c r="I5" s="5">
        <v>6236</v>
      </c>
      <c r="J5" s="5">
        <v>6824</v>
      </c>
      <c r="K5" s="5">
        <v>6026</v>
      </c>
      <c r="L5" s="5">
        <v>6280</v>
      </c>
      <c r="M5" s="5">
        <v>6290</v>
      </c>
      <c r="N5" s="5">
        <v>6054</v>
      </c>
      <c r="O5" s="5">
        <f>SUM(Tabela323[[#This Row],[jan/23]:[dez/23]])</f>
        <v>73922</v>
      </c>
    </row>
    <row r="6" spans="1:15" x14ac:dyDescent="0.25">
      <c r="A6" s="4" t="s">
        <v>8</v>
      </c>
      <c r="B6" s="4" t="s">
        <v>593</v>
      </c>
      <c r="C6" s="5">
        <v>4064</v>
      </c>
      <c r="D6" s="5">
        <v>3368</v>
      </c>
      <c r="E6" s="5">
        <v>5706</v>
      </c>
      <c r="F6" s="5">
        <v>4619</v>
      </c>
      <c r="G6" s="5">
        <v>6811</v>
      </c>
      <c r="H6" s="5">
        <v>6635</v>
      </c>
      <c r="I6" s="5">
        <v>6300</v>
      </c>
      <c r="J6" s="5">
        <v>7412</v>
      </c>
      <c r="K6" s="5">
        <v>6123</v>
      </c>
      <c r="L6" s="5">
        <v>6203</v>
      </c>
      <c r="M6" s="5">
        <v>6014</v>
      </c>
      <c r="N6" s="5">
        <v>5737</v>
      </c>
      <c r="O6" s="5">
        <f>SUM(Tabela323[[#This Row],[jan/23]:[dez/23]])</f>
        <v>68992</v>
      </c>
    </row>
    <row r="7" spans="1:15" x14ac:dyDescent="0.25">
      <c r="A7" s="4" t="s">
        <v>10</v>
      </c>
      <c r="B7" s="4" t="s">
        <v>100</v>
      </c>
      <c r="C7" s="5">
        <v>4277</v>
      </c>
      <c r="D7" s="5">
        <v>4181</v>
      </c>
      <c r="E7" s="5">
        <v>6516</v>
      </c>
      <c r="F7" s="5">
        <v>6110</v>
      </c>
      <c r="G7" s="5">
        <v>8699</v>
      </c>
      <c r="H7" s="5">
        <v>9087</v>
      </c>
      <c r="I7" s="5">
        <v>6663</v>
      </c>
      <c r="J7" s="5">
        <v>6064</v>
      </c>
      <c r="K7" s="5">
        <v>3967</v>
      </c>
      <c r="L7" s="5">
        <v>4081</v>
      </c>
      <c r="M7" s="5">
        <v>3794</v>
      </c>
      <c r="N7" s="5">
        <v>3913</v>
      </c>
      <c r="O7" s="5">
        <f>SUM(Tabela323[[#This Row],[jan/23]:[dez/23]])</f>
        <v>67352</v>
      </c>
    </row>
    <row r="8" spans="1:15" x14ac:dyDescent="0.25">
      <c r="A8" s="4" t="s">
        <v>14</v>
      </c>
      <c r="B8" s="4" t="s">
        <v>48</v>
      </c>
      <c r="C8" s="5">
        <v>4014</v>
      </c>
      <c r="D8" s="5">
        <v>3469</v>
      </c>
      <c r="E8" s="5">
        <v>5455</v>
      </c>
      <c r="F8" s="5">
        <v>4969</v>
      </c>
      <c r="G8" s="5">
        <v>5553</v>
      </c>
      <c r="H8" s="5">
        <v>5734</v>
      </c>
      <c r="I8" s="5">
        <v>6250</v>
      </c>
      <c r="J8" s="5">
        <v>6679</v>
      </c>
      <c r="K8" s="5">
        <v>6036</v>
      </c>
      <c r="L8" s="5">
        <v>5934</v>
      </c>
      <c r="M8" s="5">
        <v>5537</v>
      </c>
      <c r="N8" s="5">
        <v>6568</v>
      </c>
      <c r="O8" s="5">
        <f>SUM(Tabela323[[#This Row],[jan/23]:[dez/23]])</f>
        <v>66198</v>
      </c>
    </row>
    <row r="9" spans="1:15" x14ac:dyDescent="0.25">
      <c r="A9" s="4" t="s">
        <v>16</v>
      </c>
      <c r="B9" s="4" t="s">
        <v>1</v>
      </c>
      <c r="C9" s="5">
        <v>4412</v>
      </c>
      <c r="D9" s="5">
        <v>3289</v>
      </c>
      <c r="E9" s="5">
        <v>4570</v>
      </c>
      <c r="F9" s="5">
        <v>3122</v>
      </c>
      <c r="G9" s="5">
        <v>4612</v>
      </c>
      <c r="H9" s="5">
        <v>4024</v>
      </c>
      <c r="I9" s="5">
        <v>3526</v>
      </c>
      <c r="J9" s="5">
        <v>5108</v>
      </c>
      <c r="K9" s="5">
        <v>4621</v>
      </c>
      <c r="L9" s="5">
        <v>5392</v>
      </c>
      <c r="M9" s="5">
        <v>5295</v>
      </c>
      <c r="N9" s="5">
        <v>6903</v>
      </c>
      <c r="O9" s="5">
        <f>SUM(Tabela323[[#This Row],[jan/23]:[dez/23]])</f>
        <v>54874</v>
      </c>
    </row>
    <row r="10" spans="1:15" x14ac:dyDescent="0.25">
      <c r="A10" s="4" t="s">
        <v>18</v>
      </c>
      <c r="B10" s="4" t="s">
        <v>15</v>
      </c>
      <c r="C10" s="5">
        <v>3169</v>
      </c>
      <c r="D10" s="5">
        <v>3049</v>
      </c>
      <c r="E10" s="5">
        <v>3902</v>
      </c>
      <c r="F10" s="5">
        <v>3642</v>
      </c>
      <c r="G10" s="5">
        <v>5294</v>
      </c>
      <c r="H10" s="5">
        <v>6562</v>
      </c>
      <c r="I10" s="5">
        <v>4315</v>
      </c>
      <c r="J10" s="5">
        <v>5363</v>
      </c>
      <c r="K10" s="5">
        <v>3602</v>
      </c>
      <c r="L10" s="5">
        <v>5407</v>
      </c>
      <c r="M10" s="5">
        <v>5167</v>
      </c>
      <c r="N10" s="5">
        <v>4799</v>
      </c>
      <c r="O10" s="5">
        <f>SUM(Tabela323[[#This Row],[jan/23]:[dez/23]])</f>
        <v>54271</v>
      </c>
    </row>
    <row r="11" spans="1:15" x14ac:dyDescent="0.25">
      <c r="A11" s="4" t="s">
        <v>20</v>
      </c>
      <c r="B11" s="4" t="s">
        <v>28</v>
      </c>
      <c r="C11" s="5">
        <v>3258</v>
      </c>
      <c r="D11" s="5">
        <v>3582</v>
      </c>
      <c r="E11" s="5">
        <v>4400</v>
      </c>
      <c r="F11" s="5">
        <v>3470</v>
      </c>
      <c r="G11" s="5">
        <v>4401</v>
      </c>
      <c r="H11" s="5">
        <v>5579</v>
      </c>
      <c r="I11" s="5">
        <v>5028</v>
      </c>
      <c r="J11" s="5">
        <v>4793</v>
      </c>
      <c r="K11" s="5">
        <v>3918</v>
      </c>
      <c r="L11" s="5">
        <v>4122</v>
      </c>
      <c r="M11" s="5">
        <v>3950</v>
      </c>
      <c r="N11" s="5">
        <v>4229</v>
      </c>
      <c r="O11" s="5">
        <f>SUM(Tabela323[[#This Row],[jan/23]:[dez/23]])</f>
        <v>50730</v>
      </c>
    </row>
    <row r="12" spans="1:15" x14ac:dyDescent="0.25">
      <c r="A12" s="4" t="s">
        <v>23</v>
      </c>
      <c r="B12" s="4" t="s">
        <v>24</v>
      </c>
      <c r="C12" s="5">
        <v>3093</v>
      </c>
      <c r="D12" s="5">
        <v>2719</v>
      </c>
      <c r="E12" s="5">
        <v>3985</v>
      </c>
      <c r="F12" s="5">
        <v>3940</v>
      </c>
      <c r="G12" s="5">
        <v>4450</v>
      </c>
      <c r="H12" s="5">
        <v>3820</v>
      </c>
      <c r="I12" s="5">
        <v>4151</v>
      </c>
      <c r="J12" s="5">
        <v>4195</v>
      </c>
      <c r="K12" s="5">
        <v>4177</v>
      </c>
      <c r="L12" s="5">
        <v>4963</v>
      </c>
      <c r="M12" s="5">
        <v>4582</v>
      </c>
      <c r="N12" s="5">
        <v>5121</v>
      </c>
      <c r="O12" s="5">
        <f>SUM(Tabela323[[#This Row],[jan/23]:[dez/23]])</f>
        <v>49196</v>
      </c>
    </row>
    <row r="13" spans="1:15" x14ac:dyDescent="0.25">
      <c r="A13" s="4" t="s">
        <v>25</v>
      </c>
      <c r="B13" s="4" t="s">
        <v>34</v>
      </c>
      <c r="C13" s="5">
        <v>3268</v>
      </c>
      <c r="D13" s="5">
        <v>3594</v>
      </c>
      <c r="E13" s="5">
        <v>4317</v>
      </c>
      <c r="F13" s="5">
        <v>3576</v>
      </c>
      <c r="G13" s="5">
        <v>4408</v>
      </c>
      <c r="H13" s="5">
        <v>4058</v>
      </c>
      <c r="I13" s="5">
        <v>3511</v>
      </c>
      <c r="J13" s="5">
        <v>4419</v>
      </c>
      <c r="K13" s="5">
        <v>3780</v>
      </c>
      <c r="L13" s="5">
        <v>4488</v>
      </c>
      <c r="M13" s="5">
        <v>4095</v>
      </c>
      <c r="N13" s="5">
        <v>4267</v>
      </c>
      <c r="O13" s="5">
        <f>SUM(Tabela323[[#This Row],[jan/23]:[dez/23]])</f>
        <v>47781</v>
      </c>
    </row>
    <row r="14" spans="1:15" x14ac:dyDescent="0.25">
      <c r="A14" s="4" t="s">
        <v>27</v>
      </c>
      <c r="B14" s="4" t="s">
        <v>44</v>
      </c>
      <c r="C14" s="5">
        <v>2916</v>
      </c>
      <c r="D14" s="5">
        <v>2992</v>
      </c>
      <c r="E14" s="5">
        <v>3591</v>
      </c>
      <c r="F14" s="5">
        <v>2895</v>
      </c>
      <c r="G14" s="5">
        <v>3999</v>
      </c>
      <c r="H14" s="5">
        <v>3633</v>
      </c>
      <c r="I14" s="5">
        <v>3816</v>
      </c>
      <c r="J14" s="5">
        <v>4089</v>
      </c>
      <c r="K14" s="5">
        <v>3292</v>
      </c>
      <c r="L14" s="5">
        <v>4335</v>
      </c>
      <c r="M14" s="5">
        <v>3614</v>
      </c>
      <c r="N14" s="5">
        <v>3275</v>
      </c>
      <c r="O14" s="5">
        <f>SUM(Tabela323[[#This Row],[jan/23]:[dez/23]])</f>
        <v>42447</v>
      </c>
    </row>
    <row r="15" spans="1:15" x14ac:dyDescent="0.25">
      <c r="A15" s="4" t="s">
        <v>29</v>
      </c>
      <c r="B15" s="4" t="s">
        <v>578</v>
      </c>
      <c r="C15" s="5">
        <v>3018</v>
      </c>
      <c r="D15" s="5">
        <v>2656</v>
      </c>
      <c r="E15" s="5">
        <v>4055</v>
      </c>
      <c r="F15" s="5">
        <v>3271</v>
      </c>
      <c r="G15" s="5">
        <v>3997</v>
      </c>
      <c r="H15" s="5">
        <v>3652</v>
      </c>
      <c r="I15" s="5">
        <v>3542</v>
      </c>
      <c r="J15" s="5">
        <v>4034</v>
      </c>
      <c r="K15" s="5">
        <v>2831</v>
      </c>
      <c r="L15" s="5">
        <v>3805</v>
      </c>
      <c r="M15" s="5">
        <v>3361</v>
      </c>
      <c r="N15" s="5">
        <v>3769</v>
      </c>
      <c r="O15" s="5">
        <f>SUM(Tabela323[[#This Row],[jan/23]:[dez/23]])</f>
        <v>41991</v>
      </c>
    </row>
    <row r="16" spans="1:15" x14ac:dyDescent="0.25">
      <c r="A16" s="4" t="s">
        <v>31</v>
      </c>
      <c r="B16" s="4" t="s">
        <v>21</v>
      </c>
      <c r="C16" s="5">
        <v>1182</v>
      </c>
      <c r="D16" s="5">
        <v>2331</v>
      </c>
      <c r="E16" s="5">
        <v>3487</v>
      </c>
      <c r="F16" s="5">
        <v>3056</v>
      </c>
      <c r="G16" s="5">
        <v>3751</v>
      </c>
      <c r="H16" s="5">
        <v>3518</v>
      </c>
      <c r="I16" s="5">
        <v>3169</v>
      </c>
      <c r="J16" s="5">
        <v>4379</v>
      </c>
      <c r="K16" s="5">
        <v>3466</v>
      </c>
      <c r="L16" s="5">
        <v>4027</v>
      </c>
      <c r="M16" s="5">
        <v>4164</v>
      </c>
      <c r="N16" s="5">
        <v>5099</v>
      </c>
      <c r="O16" s="5">
        <f>SUM(Tabela323[[#This Row],[jan/23]:[dez/23]])</f>
        <v>41629</v>
      </c>
    </row>
    <row r="17" spans="1:15" x14ac:dyDescent="0.25">
      <c r="A17" s="4" t="s">
        <v>33</v>
      </c>
      <c r="B17" s="4" t="s">
        <v>130</v>
      </c>
      <c r="C17" s="5">
        <v>2181</v>
      </c>
      <c r="D17" s="5">
        <v>2442</v>
      </c>
      <c r="E17" s="5">
        <v>4446</v>
      </c>
      <c r="F17" s="5">
        <v>2934</v>
      </c>
      <c r="G17" s="5">
        <v>3117</v>
      </c>
      <c r="H17" s="5">
        <v>3293</v>
      </c>
      <c r="I17" s="5">
        <v>3661</v>
      </c>
      <c r="J17" s="5">
        <v>4063</v>
      </c>
      <c r="K17" s="5">
        <v>3823</v>
      </c>
      <c r="L17" s="5">
        <v>3964</v>
      </c>
      <c r="M17" s="5">
        <v>4089</v>
      </c>
      <c r="N17" s="5">
        <v>2809</v>
      </c>
      <c r="O17" s="5">
        <f>SUM(Tabela323[[#This Row],[jan/23]:[dez/23]])</f>
        <v>40822</v>
      </c>
    </row>
    <row r="18" spans="1:15" x14ac:dyDescent="0.25">
      <c r="A18" s="4" t="s">
        <v>35</v>
      </c>
      <c r="B18" s="4" t="s">
        <v>432</v>
      </c>
      <c r="C18" s="5">
        <v>3273</v>
      </c>
      <c r="D18" s="5">
        <v>2943</v>
      </c>
      <c r="E18" s="5">
        <v>3534</v>
      </c>
      <c r="F18" s="5">
        <v>2644</v>
      </c>
      <c r="G18" s="5">
        <v>3221</v>
      </c>
      <c r="H18" s="5">
        <v>3524</v>
      </c>
      <c r="I18" s="5">
        <v>3456</v>
      </c>
      <c r="J18" s="5">
        <v>5013</v>
      </c>
      <c r="K18" s="5">
        <v>4782</v>
      </c>
      <c r="L18" s="5">
        <v>3055</v>
      </c>
      <c r="M18" s="5">
        <v>2350</v>
      </c>
      <c r="N18" s="5">
        <v>2575</v>
      </c>
      <c r="O18" s="5">
        <f>SUM(Tabela323[[#This Row],[jan/23]:[dez/23]])</f>
        <v>40370</v>
      </c>
    </row>
    <row r="19" spans="1:15" x14ac:dyDescent="0.25">
      <c r="A19" s="4" t="s">
        <v>37</v>
      </c>
      <c r="B19" s="4" t="s">
        <v>30</v>
      </c>
      <c r="C19" s="5">
        <v>2731</v>
      </c>
      <c r="D19" s="5">
        <v>2952</v>
      </c>
      <c r="E19" s="5">
        <v>3511</v>
      </c>
      <c r="F19" s="5">
        <v>2745</v>
      </c>
      <c r="G19" s="5">
        <v>2869</v>
      </c>
      <c r="H19" s="5">
        <v>2994</v>
      </c>
      <c r="I19" s="5">
        <v>3176</v>
      </c>
      <c r="J19" s="5">
        <v>4576</v>
      </c>
      <c r="K19" s="5">
        <v>3009</v>
      </c>
      <c r="L19" s="5">
        <v>3017</v>
      </c>
      <c r="M19" s="5">
        <v>3423</v>
      </c>
      <c r="N19" s="5">
        <v>3345</v>
      </c>
      <c r="O19" s="5">
        <f>SUM(Tabela323[[#This Row],[jan/23]:[dez/23]])</f>
        <v>38348</v>
      </c>
    </row>
    <row r="20" spans="1:15" x14ac:dyDescent="0.25">
      <c r="A20" s="4" t="s">
        <v>39</v>
      </c>
      <c r="B20" s="4" t="s">
        <v>38</v>
      </c>
      <c r="C20" s="5">
        <v>2545</v>
      </c>
      <c r="D20" s="5">
        <v>2034</v>
      </c>
      <c r="E20" s="5">
        <v>2827</v>
      </c>
      <c r="F20" s="5">
        <v>2515</v>
      </c>
      <c r="G20" s="5">
        <v>3150</v>
      </c>
      <c r="H20" s="5">
        <v>2832</v>
      </c>
      <c r="I20" s="5">
        <v>3065</v>
      </c>
      <c r="J20" s="5">
        <v>2923</v>
      </c>
      <c r="K20" s="5">
        <v>2694</v>
      </c>
      <c r="L20" s="5">
        <v>2662</v>
      </c>
      <c r="M20" s="5">
        <v>3112</v>
      </c>
      <c r="N20" s="5">
        <v>4019</v>
      </c>
      <c r="O20" s="5">
        <f>SUM(Tabela323[[#This Row],[jan/23]:[dez/23]])</f>
        <v>34378</v>
      </c>
    </row>
    <row r="21" spans="1:15" x14ac:dyDescent="0.25">
      <c r="A21" s="4" t="s">
        <v>41</v>
      </c>
      <c r="B21" s="4" t="s">
        <v>372</v>
      </c>
      <c r="C21" s="5">
        <v>2045</v>
      </c>
      <c r="D21" s="5">
        <v>2108</v>
      </c>
      <c r="E21" s="5">
        <v>3367</v>
      </c>
      <c r="F21" s="5">
        <v>2782</v>
      </c>
      <c r="G21" s="5">
        <v>5482</v>
      </c>
      <c r="H21" s="5">
        <v>4414</v>
      </c>
      <c r="I21" s="5">
        <v>3355</v>
      </c>
      <c r="J21" s="5">
        <v>3539</v>
      </c>
      <c r="K21" s="5">
        <v>3194</v>
      </c>
      <c r="L21" s="5">
        <v>1481</v>
      </c>
      <c r="M21" s="5">
        <v>1179</v>
      </c>
      <c r="N21" s="5">
        <v>1386</v>
      </c>
      <c r="O21" s="5">
        <f>SUM(Tabela323[[#This Row],[jan/23]:[dez/23]])</f>
        <v>34332</v>
      </c>
    </row>
    <row r="22" spans="1:15" x14ac:dyDescent="0.25">
      <c r="A22" s="4" t="s">
        <v>43</v>
      </c>
      <c r="B22" s="4" t="s">
        <v>575</v>
      </c>
      <c r="C22" s="5">
        <v>2755</v>
      </c>
      <c r="D22" s="5">
        <v>2666</v>
      </c>
      <c r="E22" s="5">
        <v>3383</v>
      </c>
      <c r="F22" s="5">
        <v>2673</v>
      </c>
      <c r="G22" s="5">
        <v>3531</v>
      </c>
      <c r="H22" s="5">
        <v>3213</v>
      </c>
      <c r="I22" s="5">
        <v>2699</v>
      </c>
      <c r="J22" s="5">
        <v>3123</v>
      </c>
      <c r="K22" s="5">
        <v>2560</v>
      </c>
      <c r="L22" s="5">
        <v>2332</v>
      </c>
      <c r="M22" s="5">
        <v>2496</v>
      </c>
      <c r="N22" s="5">
        <v>2733</v>
      </c>
      <c r="O22" s="5">
        <f>SUM(Tabela323[[#This Row],[jan/23]:[dez/23]])</f>
        <v>34164</v>
      </c>
    </row>
    <row r="23" spans="1:15" x14ac:dyDescent="0.25">
      <c r="A23" s="4" t="s">
        <v>45</v>
      </c>
      <c r="B23" s="4" t="s">
        <v>36</v>
      </c>
      <c r="C23" s="5">
        <v>1973</v>
      </c>
      <c r="D23" s="5">
        <v>2086</v>
      </c>
      <c r="E23" s="5">
        <v>3501</v>
      </c>
      <c r="F23" s="5">
        <v>1578</v>
      </c>
      <c r="G23" s="5">
        <v>1621</v>
      </c>
      <c r="H23" s="5">
        <v>2007</v>
      </c>
      <c r="I23" s="5">
        <v>2473</v>
      </c>
      <c r="J23" s="5">
        <v>3469</v>
      </c>
      <c r="K23" s="5">
        <v>3448</v>
      </c>
      <c r="L23" s="5">
        <v>3556</v>
      </c>
      <c r="M23" s="5">
        <v>4041</v>
      </c>
      <c r="N23" s="5">
        <v>3713</v>
      </c>
      <c r="O23" s="5">
        <f>SUM(Tabela323[[#This Row],[jan/23]:[dez/23]])</f>
        <v>33466</v>
      </c>
    </row>
    <row r="24" spans="1:15" x14ac:dyDescent="0.25">
      <c r="A24" s="4" t="s">
        <v>47</v>
      </c>
      <c r="B24" s="4" t="s">
        <v>58</v>
      </c>
      <c r="C24" s="5">
        <v>2646</v>
      </c>
      <c r="D24" s="5">
        <v>2105</v>
      </c>
      <c r="E24" s="5">
        <v>2692</v>
      </c>
      <c r="F24" s="5">
        <v>2168</v>
      </c>
      <c r="G24" s="5">
        <v>2786</v>
      </c>
      <c r="H24" s="5">
        <v>2466</v>
      </c>
      <c r="I24" s="5">
        <v>2409</v>
      </c>
      <c r="J24" s="5">
        <v>3020</v>
      </c>
      <c r="K24" s="5">
        <v>2796</v>
      </c>
      <c r="L24" s="5">
        <v>2831</v>
      </c>
      <c r="M24" s="5">
        <v>3392</v>
      </c>
      <c r="N24" s="5">
        <v>2922</v>
      </c>
      <c r="O24" s="5">
        <f>SUM(Tabela323[[#This Row],[jan/23]:[dez/23]])</f>
        <v>32233</v>
      </c>
    </row>
    <row r="25" spans="1:15" x14ac:dyDescent="0.25">
      <c r="A25" s="4" t="s">
        <v>49</v>
      </c>
      <c r="B25" s="4" t="s">
        <v>576</v>
      </c>
      <c r="C25" s="5">
        <v>2063</v>
      </c>
      <c r="D25" s="5">
        <v>2054</v>
      </c>
      <c r="E25" s="5">
        <v>2971</v>
      </c>
      <c r="F25" s="5">
        <v>2580</v>
      </c>
      <c r="G25" s="5">
        <v>2509</v>
      </c>
      <c r="H25" s="5">
        <v>2461</v>
      </c>
      <c r="I25" s="5">
        <v>2589</v>
      </c>
      <c r="J25" s="5">
        <v>3187</v>
      </c>
      <c r="K25" s="5">
        <v>2381</v>
      </c>
      <c r="L25" s="5">
        <v>2769</v>
      </c>
      <c r="M25" s="5">
        <v>2841</v>
      </c>
      <c r="N25" s="5">
        <v>2991</v>
      </c>
      <c r="O25" s="5">
        <f>SUM(Tabela323[[#This Row],[jan/23]:[dez/23]])</f>
        <v>31396</v>
      </c>
    </row>
    <row r="26" spans="1:15" x14ac:dyDescent="0.25">
      <c r="A26" s="4" t="s">
        <v>51</v>
      </c>
      <c r="B26" s="4" t="s">
        <v>454</v>
      </c>
      <c r="C26" s="5">
        <v>1661</v>
      </c>
      <c r="D26" s="5">
        <v>1734</v>
      </c>
      <c r="E26" s="5">
        <v>2217</v>
      </c>
      <c r="F26" s="5">
        <v>2206</v>
      </c>
      <c r="G26" s="5">
        <v>3096</v>
      </c>
      <c r="H26" s="5">
        <v>3268</v>
      </c>
      <c r="I26" s="5">
        <v>1464</v>
      </c>
      <c r="J26" s="5">
        <v>2726</v>
      </c>
      <c r="K26" s="5">
        <v>3159</v>
      </c>
      <c r="L26" s="5">
        <v>3254</v>
      </c>
      <c r="M26" s="5">
        <v>3217</v>
      </c>
      <c r="N26" s="5">
        <v>3193</v>
      </c>
      <c r="O26" s="5">
        <f>SUM(Tabela323[[#This Row],[jan/23]:[dez/23]])</f>
        <v>31195</v>
      </c>
    </row>
    <row r="27" spans="1:15" x14ac:dyDescent="0.25">
      <c r="A27" s="4" t="s">
        <v>53</v>
      </c>
      <c r="B27" s="4" t="s">
        <v>56</v>
      </c>
      <c r="C27" s="5">
        <v>2180</v>
      </c>
      <c r="D27" s="5">
        <v>1664</v>
      </c>
      <c r="E27" s="5">
        <v>2034</v>
      </c>
      <c r="F27" s="5">
        <v>2189</v>
      </c>
      <c r="G27" s="5">
        <v>2721</v>
      </c>
      <c r="H27" s="5">
        <v>3013</v>
      </c>
      <c r="I27" s="5">
        <v>2673</v>
      </c>
      <c r="J27" s="5">
        <v>2887</v>
      </c>
      <c r="K27" s="5">
        <v>2866</v>
      </c>
      <c r="L27" s="5">
        <v>2690</v>
      </c>
      <c r="M27" s="5">
        <v>2536</v>
      </c>
      <c r="N27" s="5">
        <v>2996</v>
      </c>
      <c r="O27" s="5">
        <f>SUM(Tabela323[[#This Row],[jan/23]:[dez/23]])</f>
        <v>30449</v>
      </c>
    </row>
    <row r="28" spans="1:15" x14ac:dyDescent="0.25">
      <c r="A28" s="4" t="s">
        <v>55</v>
      </c>
      <c r="B28" s="4" t="s">
        <v>17</v>
      </c>
      <c r="C28" s="5"/>
      <c r="D28" s="5"/>
      <c r="E28" s="5"/>
      <c r="F28" s="5"/>
      <c r="G28" s="5">
        <v>88</v>
      </c>
      <c r="H28" s="5">
        <v>1643</v>
      </c>
      <c r="I28" s="5">
        <v>3235</v>
      </c>
      <c r="J28" s="5">
        <v>4075</v>
      </c>
      <c r="K28" s="5">
        <v>4124</v>
      </c>
      <c r="L28" s="5">
        <v>4159</v>
      </c>
      <c r="M28" s="5">
        <v>5015</v>
      </c>
      <c r="N28" s="5">
        <v>5590</v>
      </c>
      <c r="O28" s="5">
        <f>SUM(Tabela323[[#This Row],[jan/23]:[dez/23]])</f>
        <v>27929</v>
      </c>
    </row>
    <row r="29" spans="1:15" x14ac:dyDescent="0.25">
      <c r="A29" s="4" t="s">
        <v>57</v>
      </c>
      <c r="B29" s="4" t="s">
        <v>452</v>
      </c>
      <c r="C29" s="5">
        <v>1284</v>
      </c>
      <c r="D29" s="5">
        <v>1128</v>
      </c>
      <c r="E29" s="5">
        <v>2740</v>
      </c>
      <c r="F29" s="5">
        <v>2305</v>
      </c>
      <c r="G29" s="5">
        <v>2521</v>
      </c>
      <c r="H29" s="5">
        <v>2499</v>
      </c>
      <c r="I29" s="5">
        <v>2220</v>
      </c>
      <c r="J29" s="5">
        <v>2852</v>
      </c>
      <c r="K29" s="5">
        <v>2625</v>
      </c>
      <c r="L29" s="5">
        <v>2480</v>
      </c>
      <c r="M29" s="5">
        <v>2768</v>
      </c>
      <c r="N29" s="5">
        <v>2234</v>
      </c>
      <c r="O29" s="5">
        <f>SUM(Tabela323[[#This Row],[jan/23]:[dez/23]])</f>
        <v>27656</v>
      </c>
    </row>
    <row r="30" spans="1:15" x14ac:dyDescent="0.25">
      <c r="A30" s="4" t="s">
        <v>59</v>
      </c>
      <c r="B30" s="4" t="s">
        <v>112</v>
      </c>
      <c r="C30" s="5">
        <v>1502</v>
      </c>
      <c r="D30" s="5">
        <v>1427</v>
      </c>
      <c r="E30" s="5">
        <v>1892</v>
      </c>
      <c r="F30" s="5">
        <v>1779</v>
      </c>
      <c r="G30" s="5">
        <v>2054</v>
      </c>
      <c r="H30" s="5">
        <v>2262</v>
      </c>
      <c r="I30" s="5">
        <v>2184</v>
      </c>
      <c r="J30" s="5">
        <v>3269</v>
      </c>
      <c r="K30" s="5">
        <v>3191</v>
      </c>
      <c r="L30" s="5">
        <v>2124</v>
      </c>
      <c r="M30" s="5">
        <v>1731</v>
      </c>
      <c r="N30" s="5">
        <v>2603</v>
      </c>
      <c r="O30" s="5">
        <f>SUM(Tabela323[[#This Row],[jan/23]:[dez/23]])</f>
        <v>26018</v>
      </c>
    </row>
    <row r="31" spans="1:15" x14ac:dyDescent="0.25">
      <c r="A31" s="4" t="s">
        <v>61</v>
      </c>
      <c r="B31" s="4" t="s">
        <v>232</v>
      </c>
      <c r="C31" s="5">
        <v>2029</v>
      </c>
      <c r="D31" s="5">
        <v>2429</v>
      </c>
      <c r="E31" s="5">
        <v>2979</v>
      </c>
      <c r="F31" s="5">
        <v>2394</v>
      </c>
      <c r="G31" s="5">
        <v>2608</v>
      </c>
      <c r="H31" s="5">
        <v>2260</v>
      </c>
      <c r="I31" s="5">
        <v>1659</v>
      </c>
      <c r="J31" s="5">
        <v>1993</v>
      </c>
      <c r="K31" s="5">
        <v>1901</v>
      </c>
      <c r="L31" s="5">
        <v>1916</v>
      </c>
      <c r="M31" s="5">
        <v>1858</v>
      </c>
      <c r="N31" s="5">
        <v>1851</v>
      </c>
      <c r="O31" s="5">
        <f>SUM(Tabela323[[#This Row],[jan/23]:[dez/23]])</f>
        <v>25877</v>
      </c>
    </row>
    <row r="32" spans="1:15" x14ac:dyDescent="0.25">
      <c r="A32" s="4" t="s">
        <v>63</v>
      </c>
      <c r="B32" s="4" t="s">
        <v>519</v>
      </c>
      <c r="C32" s="5">
        <v>2271</v>
      </c>
      <c r="D32" s="5">
        <v>2101</v>
      </c>
      <c r="E32" s="5">
        <v>2432</v>
      </c>
      <c r="F32" s="5">
        <v>1846</v>
      </c>
      <c r="G32" s="5">
        <v>2068</v>
      </c>
      <c r="H32" s="5">
        <v>1985</v>
      </c>
      <c r="I32" s="5">
        <v>1772</v>
      </c>
      <c r="J32" s="5">
        <v>1820</v>
      </c>
      <c r="K32" s="5">
        <v>1158</v>
      </c>
      <c r="L32" s="5">
        <v>2505</v>
      </c>
      <c r="M32" s="5">
        <v>2700</v>
      </c>
      <c r="N32" s="5">
        <v>2694</v>
      </c>
      <c r="O32" s="5">
        <f>SUM(Tabela323[[#This Row],[jan/23]:[dez/23]])</f>
        <v>25352</v>
      </c>
    </row>
    <row r="33" spans="1:15" x14ac:dyDescent="0.25">
      <c r="A33" s="4" t="s">
        <v>65</v>
      </c>
      <c r="B33" s="4" t="s">
        <v>390</v>
      </c>
      <c r="C33" s="5">
        <v>2007</v>
      </c>
      <c r="D33" s="5">
        <v>2015</v>
      </c>
      <c r="E33" s="5">
        <v>2631</v>
      </c>
      <c r="F33" s="5">
        <v>1996</v>
      </c>
      <c r="G33" s="5">
        <v>2512</v>
      </c>
      <c r="H33" s="5">
        <v>1989</v>
      </c>
      <c r="I33" s="5">
        <v>1847</v>
      </c>
      <c r="J33" s="5">
        <v>2389</v>
      </c>
      <c r="K33" s="5">
        <v>1948</v>
      </c>
      <c r="L33" s="5">
        <v>2004</v>
      </c>
      <c r="M33" s="5">
        <v>1908</v>
      </c>
      <c r="N33" s="5">
        <v>1713</v>
      </c>
      <c r="O33" s="5">
        <f>SUM(Tabela323[[#This Row],[jan/23]:[dez/23]])</f>
        <v>24959</v>
      </c>
    </row>
    <row r="34" spans="1:15" x14ac:dyDescent="0.25">
      <c r="A34" s="4" t="s">
        <v>67</v>
      </c>
      <c r="B34" s="4" t="s">
        <v>70</v>
      </c>
      <c r="C34" s="5">
        <v>2061</v>
      </c>
      <c r="D34" s="5">
        <v>1529</v>
      </c>
      <c r="E34" s="5">
        <v>2052</v>
      </c>
      <c r="F34" s="5">
        <v>1518</v>
      </c>
      <c r="G34" s="5">
        <v>1961</v>
      </c>
      <c r="H34" s="5">
        <v>2081</v>
      </c>
      <c r="I34" s="5">
        <v>2070</v>
      </c>
      <c r="J34" s="5">
        <v>2089</v>
      </c>
      <c r="K34" s="5">
        <v>2340</v>
      </c>
      <c r="L34" s="5">
        <v>2163</v>
      </c>
      <c r="M34" s="5">
        <v>2478</v>
      </c>
      <c r="N34" s="5">
        <v>2374</v>
      </c>
      <c r="O34" s="5">
        <f>SUM(Tabela323[[#This Row],[jan/23]:[dez/23]])</f>
        <v>24716</v>
      </c>
    </row>
    <row r="35" spans="1:15" x14ac:dyDescent="0.25">
      <c r="A35" s="4" t="s">
        <v>69</v>
      </c>
      <c r="B35" s="4" t="s">
        <v>98</v>
      </c>
      <c r="C35" s="5">
        <v>1461</v>
      </c>
      <c r="D35" s="5">
        <v>964</v>
      </c>
      <c r="E35" s="5">
        <v>1903</v>
      </c>
      <c r="F35" s="5">
        <v>1178</v>
      </c>
      <c r="G35" s="5">
        <v>1699</v>
      </c>
      <c r="H35" s="5">
        <v>1908</v>
      </c>
      <c r="I35" s="5">
        <v>1334</v>
      </c>
      <c r="J35" s="5">
        <v>1862</v>
      </c>
      <c r="K35" s="5">
        <v>2441</v>
      </c>
      <c r="L35" s="5">
        <v>2570</v>
      </c>
      <c r="M35" s="5">
        <v>3661</v>
      </c>
      <c r="N35" s="5">
        <v>2389</v>
      </c>
      <c r="O35" s="5">
        <f>SUM(Tabela323[[#This Row],[jan/23]:[dez/23]])</f>
        <v>23370</v>
      </c>
    </row>
    <row r="36" spans="1:15" x14ac:dyDescent="0.25">
      <c r="A36" s="4" t="s">
        <v>71</v>
      </c>
      <c r="B36" s="4" t="s">
        <v>604</v>
      </c>
      <c r="C36" s="5">
        <v>1633</v>
      </c>
      <c r="D36" s="5">
        <v>1745</v>
      </c>
      <c r="E36" s="5">
        <v>2139</v>
      </c>
      <c r="F36" s="5">
        <v>1758</v>
      </c>
      <c r="G36" s="5">
        <v>2310</v>
      </c>
      <c r="H36" s="5">
        <v>1902</v>
      </c>
      <c r="I36" s="5">
        <v>1756</v>
      </c>
      <c r="J36" s="5">
        <v>2005</v>
      </c>
      <c r="K36" s="5">
        <v>1801</v>
      </c>
      <c r="L36" s="5">
        <v>1693</v>
      </c>
      <c r="M36" s="5">
        <v>2161</v>
      </c>
      <c r="N36" s="5">
        <v>2046</v>
      </c>
      <c r="O36" s="5">
        <f>SUM(Tabela323[[#This Row],[jan/23]:[dez/23]])</f>
        <v>22949</v>
      </c>
    </row>
    <row r="37" spans="1:15" x14ac:dyDescent="0.25">
      <c r="A37" s="4" t="s">
        <v>73</v>
      </c>
      <c r="B37" s="4" t="s">
        <v>26</v>
      </c>
      <c r="C37" s="5"/>
      <c r="D37" s="5"/>
      <c r="E37" s="5"/>
      <c r="F37" s="5">
        <v>1</v>
      </c>
      <c r="G37" s="5">
        <v>2</v>
      </c>
      <c r="H37" s="5">
        <v>36</v>
      </c>
      <c r="I37" s="5">
        <v>317</v>
      </c>
      <c r="J37" s="5">
        <v>2890</v>
      </c>
      <c r="K37" s="5">
        <v>10358</v>
      </c>
      <c r="L37" s="5">
        <v>3926</v>
      </c>
      <c r="M37" s="5">
        <v>2231</v>
      </c>
      <c r="N37" s="5">
        <v>2818</v>
      </c>
      <c r="O37" s="5">
        <f>SUM(Tabela323[[#This Row],[jan/23]:[dez/23]])</f>
        <v>22579</v>
      </c>
    </row>
    <row r="38" spans="1:15" x14ac:dyDescent="0.25">
      <c r="A38" s="4" t="s">
        <v>75</v>
      </c>
      <c r="B38" s="4" t="s">
        <v>599</v>
      </c>
      <c r="C38" s="5">
        <v>3171</v>
      </c>
      <c r="D38" s="5">
        <v>3082</v>
      </c>
      <c r="E38" s="5">
        <v>2836</v>
      </c>
      <c r="F38" s="5">
        <v>1759</v>
      </c>
      <c r="G38" s="5">
        <v>1285</v>
      </c>
      <c r="H38" s="5">
        <v>1670</v>
      </c>
      <c r="I38" s="5">
        <v>1468</v>
      </c>
      <c r="J38" s="5">
        <v>2207</v>
      </c>
      <c r="K38" s="5">
        <v>1353</v>
      </c>
      <c r="L38" s="5">
        <v>801</v>
      </c>
      <c r="M38" s="5">
        <v>321</v>
      </c>
      <c r="N38" s="5">
        <v>188</v>
      </c>
      <c r="O38" s="5">
        <f>SUM(Tabela323[[#This Row],[jan/23]:[dez/23]])</f>
        <v>20141</v>
      </c>
    </row>
    <row r="39" spans="1:15" x14ac:dyDescent="0.25">
      <c r="A39" s="4" t="s">
        <v>77</v>
      </c>
      <c r="B39" s="4" t="s">
        <v>178</v>
      </c>
      <c r="C39" s="5">
        <v>1073</v>
      </c>
      <c r="D39" s="5">
        <v>892</v>
      </c>
      <c r="E39" s="5">
        <v>1645</v>
      </c>
      <c r="F39" s="5">
        <v>1721</v>
      </c>
      <c r="G39" s="5">
        <v>1811</v>
      </c>
      <c r="H39" s="5">
        <v>1650</v>
      </c>
      <c r="I39" s="5">
        <v>1894</v>
      </c>
      <c r="J39" s="5">
        <v>1948</v>
      </c>
      <c r="K39" s="5">
        <v>1650</v>
      </c>
      <c r="L39" s="5">
        <v>1670</v>
      </c>
      <c r="M39" s="5">
        <v>1639</v>
      </c>
      <c r="N39" s="5">
        <v>1601</v>
      </c>
      <c r="O39" s="5">
        <f>SUM(Tabela323[[#This Row],[jan/23]:[dez/23]])</f>
        <v>19194</v>
      </c>
    </row>
    <row r="40" spans="1:15" x14ac:dyDescent="0.25">
      <c r="A40" s="4" t="s">
        <v>79</v>
      </c>
      <c r="B40" s="4" t="s">
        <v>538</v>
      </c>
      <c r="C40" s="5">
        <v>1422</v>
      </c>
      <c r="D40" s="5">
        <v>1293</v>
      </c>
      <c r="E40" s="5">
        <v>1653</v>
      </c>
      <c r="F40" s="5">
        <v>1174</v>
      </c>
      <c r="G40" s="5">
        <v>1301</v>
      </c>
      <c r="H40" s="5">
        <v>1587</v>
      </c>
      <c r="I40" s="5">
        <v>2146</v>
      </c>
      <c r="J40" s="5">
        <v>2040</v>
      </c>
      <c r="K40" s="5">
        <v>1526</v>
      </c>
      <c r="L40" s="5">
        <v>1523</v>
      </c>
      <c r="M40" s="5">
        <v>1716</v>
      </c>
      <c r="N40" s="5">
        <v>1677</v>
      </c>
      <c r="O40" s="5">
        <f>SUM(Tabela323[[#This Row],[jan/23]:[dez/23]])</f>
        <v>19058</v>
      </c>
    </row>
    <row r="41" spans="1:15" x14ac:dyDescent="0.25">
      <c r="A41" s="4" t="s">
        <v>81</v>
      </c>
      <c r="B41" s="4" t="s">
        <v>66</v>
      </c>
      <c r="C41" s="5">
        <v>1469</v>
      </c>
      <c r="D41" s="5">
        <v>1686</v>
      </c>
      <c r="E41" s="5">
        <v>2090</v>
      </c>
      <c r="F41" s="5">
        <v>1900</v>
      </c>
      <c r="G41" s="5">
        <v>1574</v>
      </c>
      <c r="H41" s="5">
        <v>944</v>
      </c>
      <c r="I41" s="5">
        <v>727</v>
      </c>
      <c r="J41" s="5">
        <v>1477</v>
      </c>
      <c r="K41" s="5">
        <v>943</v>
      </c>
      <c r="L41" s="5">
        <v>1297</v>
      </c>
      <c r="M41" s="5">
        <v>1754</v>
      </c>
      <c r="N41" s="5">
        <v>1930</v>
      </c>
      <c r="O41" s="5">
        <f>SUM(Tabela323[[#This Row],[jan/23]:[dez/23]])</f>
        <v>17791</v>
      </c>
    </row>
    <row r="42" spans="1:15" x14ac:dyDescent="0.25">
      <c r="A42" s="4" t="s">
        <v>83</v>
      </c>
      <c r="B42" s="4" t="s">
        <v>74</v>
      </c>
      <c r="C42" s="5">
        <v>1135</v>
      </c>
      <c r="D42" s="5">
        <v>963</v>
      </c>
      <c r="E42" s="5">
        <v>993</v>
      </c>
      <c r="F42" s="5">
        <v>1053</v>
      </c>
      <c r="G42" s="5">
        <v>1268</v>
      </c>
      <c r="H42" s="5">
        <v>1395</v>
      </c>
      <c r="I42" s="5">
        <v>1561</v>
      </c>
      <c r="J42" s="5">
        <v>1683</v>
      </c>
      <c r="K42" s="5">
        <v>1500</v>
      </c>
      <c r="L42" s="5">
        <v>1831</v>
      </c>
      <c r="M42" s="5">
        <v>1876</v>
      </c>
      <c r="N42" s="5">
        <v>2459</v>
      </c>
      <c r="O42" s="5">
        <f>SUM(Tabela323[[#This Row],[jan/23]:[dez/23]])</f>
        <v>17717</v>
      </c>
    </row>
    <row r="43" spans="1:15" x14ac:dyDescent="0.25">
      <c r="A43" s="4" t="s">
        <v>85</v>
      </c>
      <c r="B43" s="4" t="s">
        <v>82</v>
      </c>
      <c r="C43" s="5">
        <v>1048</v>
      </c>
      <c r="D43" s="5">
        <v>1129</v>
      </c>
      <c r="E43" s="5">
        <v>1418</v>
      </c>
      <c r="F43" s="5">
        <v>1073</v>
      </c>
      <c r="G43" s="5">
        <v>1564</v>
      </c>
      <c r="H43" s="5">
        <v>1565</v>
      </c>
      <c r="I43" s="5">
        <v>1374</v>
      </c>
      <c r="J43" s="5">
        <v>1787</v>
      </c>
      <c r="K43" s="5">
        <v>1329</v>
      </c>
      <c r="L43" s="5">
        <v>1375</v>
      </c>
      <c r="M43" s="5">
        <v>1197</v>
      </c>
      <c r="N43" s="5">
        <v>1118</v>
      </c>
      <c r="O43" s="5">
        <f>SUM(Tabela323[[#This Row],[jan/23]:[dez/23]])</f>
        <v>15977</v>
      </c>
    </row>
    <row r="44" spans="1:15" x14ac:dyDescent="0.25">
      <c r="A44" s="4" t="s">
        <v>87</v>
      </c>
      <c r="B44" s="4" t="s">
        <v>512</v>
      </c>
      <c r="C44" s="5">
        <v>2</v>
      </c>
      <c r="D44" s="5">
        <v>20</v>
      </c>
      <c r="E44" s="5">
        <v>692</v>
      </c>
      <c r="F44" s="5">
        <v>1853</v>
      </c>
      <c r="G44" s="5">
        <v>1807</v>
      </c>
      <c r="H44" s="5">
        <v>1609</v>
      </c>
      <c r="I44" s="5">
        <v>1563</v>
      </c>
      <c r="J44" s="5">
        <v>1845</v>
      </c>
      <c r="K44" s="5">
        <v>1486</v>
      </c>
      <c r="L44" s="5">
        <v>1613</v>
      </c>
      <c r="M44" s="5">
        <v>1485</v>
      </c>
      <c r="N44" s="5">
        <v>1378</v>
      </c>
      <c r="O44" s="5">
        <f>SUM(Tabela323[[#This Row],[jan/23]:[dez/23]])</f>
        <v>15353</v>
      </c>
    </row>
    <row r="45" spans="1:15" x14ac:dyDescent="0.25">
      <c r="A45" s="4" t="s">
        <v>89</v>
      </c>
      <c r="B45" s="4" t="s">
        <v>52</v>
      </c>
      <c r="C45" s="5">
        <v>1135</v>
      </c>
      <c r="D45" s="5">
        <v>964</v>
      </c>
      <c r="E45" s="5">
        <v>1493</v>
      </c>
      <c r="F45" s="5">
        <v>631</v>
      </c>
      <c r="G45" s="5">
        <v>659</v>
      </c>
      <c r="H45" s="5">
        <v>1442</v>
      </c>
      <c r="I45" s="5">
        <v>1424</v>
      </c>
      <c r="J45" s="5">
        <v>1095</v>
      </c>
      <c r="K45" s="5">
        <v>1397</v>
      </c>
      <c r="L45" s="5">
        <v>1583</v>
      </c>
      <c r="M45" s="5">
        <v>1266</v>
      </c>
      <c r="N45" s="5">
        <v>1788</v>
      </c>
      <c r="O45" s="5">
        <f>SUM(Tabela323[[#This Row],[jan/23]:[dez/23]])</f>
        <v>14877</v>
      </c>
    </row>
    <row r="46" spans="1:15" x14ac:dyDescent="0.25">
      <c r="A46" s="4" t="s">
        <v>91</v>
      </c>
      <c r="B46" s="4" t="s">
        <v>584</v>
      </c>
      <c r="C46" s="5">
        <v>1339</v>
      </c>
      <c r="D46" s="5">
        <v>1597</v>
      </c>
      <c r="E46" s="5">
        <v>2034</v>
      </c>
      <c r="F46" s="5">
        <v>1032</v>
      </c>
      <c r="G46" s="5">
        <v>1208</v>
      </c>
      <c r="H46" s="5">
        <v>1054</v>
      </c>
      <c r="I46" s="5">
        <v>612</v>
      </c>
      <c r="J46" s="5">
        <v>791</v>
      </c>
      <c r="K46" s="5">
        <v>1164</v>
      </c>
      <c r="L46" s="5">
        <v>996</v>
      </c>
      <c r="M46" s="5">
        <v>871</v>
      </c>
      <c r="N46" s="5">
        <v>1355</v>
      </c>
      <c r="O46" s="5">
        <f>SUM(Tabela323[[#This Row],[jan/23]:[dez/23]])</f>
        <v>14053</v>
      </c>
    </row>
    <row r="47" spans="1:15" x14ac:dyDescent="0.25">
      <c r="A47" s="4" t="s">
        <v>93</v>
      </c>
      <c r="B47" s="4" t="s">
        <v>260</v>
      </c>
      <c r="C47" s="5">
        <v>205</v>
      </c>
      <c r="D47" s="5">
        <v>258</v>
      </c>
      <c r="E47" s="5">
        <v>686</v>
      </c>
      <c r="F47" s="5">
        <v>793</v>
      </c>
      <c r="G47" s="5">
        <v>1404</v>
      </c>
      <c r="H47" s="5">
        <v>1008</v>
      </c>
      <c r="I47" s="5">
        <v>1103</v>
      </c>
      <c r="J47" s="5">
        <v>1173</v>
      </c>
      <c r="K47" s="5">
        <v>1143</v>
      </c>
      <c r="L47" s="5">
        <v>2194</v>
      </c>
      <c r="M47" s="5">
        <v>1670</v>
      </c>
      <c r="N47" s="5">
        <v>2105</v>
      </c>
      <c r="O47" s="5">
        <f>SUM(Tabela323[[#This Row],[jan/23]:[dez/23]])</f>
        <v>13742</v>
      </c>
    </row>
    <row r="48" spans="1:15" x14ac:dyDescent="0.25">
      <c r="A48" s="4" t="s">
        <v>95</v>
      </c>
      <c r="B48" s="4" t="s">
        <v>78</v>
      </c>
      <c r="C48" s="5">
        <v>1125</v>
      </c>
      <c r="D48" s="5">
        <v>777</v>
      </c>
      <c r="E48" s="5">
        <v>1088</v>
      </c>
      <c r="F48" s="5">
        <v>978</v>
      </c>
      <c r="G48" s="5">
        <v>1155</v>
      </c>
      <c r="H48" s="5">
        <v>1147</v>
      </c>
      <c r="I48" s="5">
        <v>1062</v>
      </c>
      <c r="J48" s="5">
        <v>1011</v>
      </c>
      <c r="K48" s="5">
        <v>865</v>
      </c>
      <c r="L48" s="5">
        <v>1023</v>
      </c>
      <c r="M48" s="5">
        <v>1112</v>
      </c>
      <c r="N48" s="5">
        <v>1240</v>
      </c>
      <c r="O48" s="5">
        <f>SUM(Tabela323[[#This Row],[jan/23]:[dez/23]])</f>
        <v>12583</v>
      </c>
    </row>
    <row r="49" spans="1:15" x14ac:dyDescent="0.25">
      <c r="A49" s="4" t="s">
        <v>97</v>
      </c>
      <c r="B49" s="4" t="s">
        <v>54</v>
      </c>
      <c r="C49" s="5">
        <v>853</v>
      </c>
      <c r="D49" s="5">
        <v>712</v>
      </c>
      <c r="E49" s="5">
        <v>969</v>
      </c>
      <c r="F49" s="5">
        <v>811</v>
      </c>
      <c r="G49" s="5">
        <v>743</v>
      </c>
      <c r="H49" s="5">
        <v>1041</v>
      </c>
      <c r="I49" s="5">
        <v>1018</v>
      </c>
      <c r="J49" s="5">
        <v>1120</v>
      </c>
      <c r="K49" s="5">
        <v>1057</v>
      </c>
      <c r="L49" s="5">
        <v>1324</v>
      </c>
      <c r="M49" s="5">
        <v>1505</v>
      </c>
      <c r="N49" s="5">
        <v>1004</v>
      </c>
      <c r="O49" s="5">
        <f>SUM(Tabela323[[#This Row],[jan/23]:[dez/23]])</f>
        <v>12157</v>
      </c>
    </row>
    <row r="50" spans="1:15" x14ac:dyDescent="0.25">
      <c r="A50" s="4" t="s">
        <v>99</v>
      </c>
      <c r="B50" s="4" t="s">
        <v>19</v>
      </c>
      <c r="C50" s="5">
        <v>890</v>
      </c>
      <c r="D50" s="5">
        <v>484</v>
      </c>
      <c r="E50" s="5">
        <v>470</v>
      </c>
      <c r="F50" s="5">
        <v>675</v>
      </c>
      <c r="G50" s="5">
        <v>1352</v>
      </c>
      <c r="H50" s="5">
        <v>955</v>
      </c>
      <c r="I50" s="5">
        <v>1113</v>
      </c>
      <c r="J50" s="5">
        <v>1056</v>
      </c>
      <c r="K50" s="5">
        <v>930</v>
      </c>
      <c r="L50" s="4">
        <v>949</v>
      </c>
      <c r="M50" s="5">
        <v>1190</v>
      </c>
      <c r="N50" s="5">
        <v>2074</v>
      </c>
      <c r="O50" s="5">
        <f>SUM(Tabela323[[#This Row],[jan/23]:[dez/23]])</f>
        <v>12138</v>
      </c>
    </row>
    <row r="51" spans="1:15" x14ac:dyDescent="0.25">
      <c r="A51" s="4" t="s">
        <v>101</v>
      </c>
      <c r="B51" s="4" t="s">
        <v>104</v>
      </c>
      <c r="C51" s="5">
        <v>606</v>
      </c>
      <c r="D51" s="5">
        <v>563</v>
      </c>
      <c r="E51" s="5">
        <v>646</v>
      </c>
      <c r="F51" s="5">
        <v>679</v>
      </c>
      <c r="G51" s="5">
        <v>948</v>
      </c>
      <c r="H51" s="5">
        <v>1260</v>
      </c>
      <c r="I51" s="5">
        <v>1229</v>
      </c>
      <c r="J51" s="5">
        <v>1182</v>
      </c>
      <c r="K51" s="5">
        <v>999</v>
      </c>
      <c r="L51" s="5">
        <v>1456</v>
      </c>
      <c r="M51" s="5">
        <v>1083</v>
      </c>
      <c r="N51" s="5">
        <v>1317</v>
      </c>
      <c r="O51" s="5">
        <f>SUM(Tabela323[[#This Row],[jan/23]:[dez/23]])</f>
        <v>11968</v>
      </c>
    </row>
    <row r="52" spans="1:15" x14ac:dyDescent="0.25">
      <c r="A52" s="4" t="s">
        <v>103</v>
      </c>
      <c r="B52" s="4" t="s">
        <v>84</v>
      </c>
      <c r="C52" s="4">
        <v>901</v>
      </c>
      <c r="D52" s="4">
        <v>848</v>
      </c>
      <c r="E52" s="5">
        <v>1056</v>
      </c>
      <c r="F52" s="5">
        <v>872</v>
      </c>
      <c r="G52" s="5">
        <v>951</v>
      </c>
      <c r="H52" s="5">
        <v>839</v>
      </c>
      <c r="I52" s="5">
        <v>668</v>
      </c>
      <c r="J52" s="5">
        <v>857</v>
      </c>
      <c r="K52" s="5">
        <v>478</v>
      </c>
      <c r="L52" s="5">
        <v>1284</v>
      </c>
      <c r="M52" s="5">
        <v>1161</v>
      </c>
      <c r="N52" s="5">
        <v>1133</v>
      </c>
      <c r="O52" s="5">
        <f>SUM(Tabela323[[#This Row],[jan/23]:[dez/23]])</f>
        <v>11048</v>
      </c>
    </row>
    <row r="53" spans="1:15" x14ac:dyDescent="0.25">
      <c r="A53" s="4" t="s">
        <v>105</v>
      </c>
      <c r="B53" s="4" t="s">
        <v>72</v>
      </c>
      <c r="C53" s="5">
        <v>466</v>
      </c>
      <c r="D53" s="4">
        <v>595</v>
      </c>
      <c r="E53" s="5">
        <v>746</v>
      </c>
      <c r="F53" s="5">
        <v>776</v>
      </c>
      <c r="G53" s="5">
        <v>1042</v>
      </c>
      <c r="H53" s="5">
        <v>906</v>
      </c>
      <c r="I53" s="5">
        <v>1003</v>
      </c>
      <c r="J53" s="5">
        <v>937</v>
      </c>
      <c r="K53" s="5">
        <v>1110</v>
      </c>
      <c r="L53" s="5">
        <v>1197</v>
      </c>
      <c r="M53" s="5">
        <v>1189</v>
      </c>
      <c r="N53" s="5">
        <v>982</v>
      </c>
      <c r="O53" s="5">
        <f>SUM(Tabela323[[#This Row],[jan/23]:[dez/23]])</f>
        <v>10949</v>
      </c>
    </row>
    <row r="54" spans="1:15" x14ac:dyDescent="0.25">
      <c r="A54" s="4" t="s">
        <v>107</v>
      </c>
      <c r="B54" s="4" t="s">
        <v>150</v>
      </c>
      <c r="C54" s="5">
        <v>795</v>
      </c>
      <c r="D54" s="4">
        <v>629</v>
      </c>
      <c r="E54" s="5">
        <v>953</v>
      </c>
      <c r="F54" s="5">
        <v>805</v>
      </c>
      <c r="G54" s="5">
        <v>934</v>
      </c>
      <c r="H54" s="5">
        <v>866</v>
      </c>
      <c r="I54" s="5">
        <v>893</v>
      </c>
      <c r="J54" s="5">
        <v>1119</v>
      </c>
      <c r="K54" s="5">
        <v>945</v>
      </c>
      <c r="L54" s="5">
        <v>860</v>
      </c>
      <c r="M54" s="5">
        <v>947</v>
      </c>
      <c r="N54" s="5">
        <v>826</v>
      </c>
      <c r="O54" s="5">
        <f>SUM(Tabela323[[#This Row],[jan/23]:[dez/23]])</f>
        <v>10572</v>
      </c>
    </row>
    <row r="55" spans="1:15" x14ac:dyDescent="0.25">
      <c r="A55" s="4" t="s">
        <v>109</v>
      </c>
      <c r="B55" s="4" t="s">
        <v>398</v>
      </c>
      <c r="C55" s="4">
        <v>644</v>
      </c>
      <c r="D55" s="5">
        <v>518</v>
      </c>
      <c r="E55" s="5">
        <v>773</v>
      </c>
      <c r="F55" s="5">
        <v>704</v>
      </c>
      <c r="G55" s="4">
        <v>886</v>
      </c>
      <c r="H55" s="5">
        <v>1063</v>
      </c>
      <c r="I55" s="5">
        <v>1052</v>
      </c>
      <c r="J55" s="5">
        <v>1038</v>
      </c>
      <c r="K55" s="5">
        <v>839</v>
      </c>
      <c r="L55" s="5">
        <v>874</v>
      </c>
      <c r="M55" s="5">
        <v>894</v>
      </c>
      <c r="N55" s="5">
        <v>972</v>
      </c>
      <c r="O55" s="5">
        <f>SUM(Tabela323[[#This Row],[jan/23]:[dez/23]])</f>
        <v>10257</v>
      </c>
    </row>
    <row r="56" spans="1:15" x14ac:dyDescent="0.25">
      <c r="A56" s="4" t="s">
        <v>111</v>
      </c>
      <c r="B56" s="4" t="s">
        <v>88</v>
      </c>
      <c r="C56" s="5">
        <v>662</v>
      </c>
      <c r="D56" s="4">
        <v>630</v>
      </c>
      <c r="E56" s="5">
        <v>803</v>
      </c>
      <c r="F56" s="5">
        <v>775</v>
      </c>
      <c r="G56" s="5">
        <v>1005</v>
      </c>
      <c r="H56" s="5">
        <v>988</v>
      </c>
      <c r="I56" s="5">
        <v>829</v>
      </c>
      <c r="J56" s="5">
        <v>976</v>
      </c>
      <c r="K56" s="5">
        <v>739</v>
      </c>
      <c r="L56" s="5">
        <v>935</v>
      </c>
      <c r="M56" s="5">
        <v>772</v>
      </c>
      <c r="N56" s="5">
        <v>834</v>
      </c>
      <c r="O56" s="5">
        <f>SUM(Tabela323[[#This Row],[jan/23]:[dez/23]])</f>
        <v>9948</v>
      </c>
    </row>
    <row r="57" spans="1:15" x14ac:dyDescent="0.25">
      <c r="A57" s="4" t="s">
        <v>113</v>
      </c>
      <c r="B57" s="4" t="s">
        <v>60</v>
      </c>
      <c r="C57" s="4">
        <v>813</v>
      </c>
      <c r="D57" s="4">
        <v>607</v>
      </c>
      <c r="E57" s="5">
        <v>817</v>
      </c>
      <c r="F57" s="5">
        <v>737</v>
      </c>
      <c r="G57" s="5">
        <v>784</v>
      </c>
      <c r="H57" s="5">
        <v>1040</v>
      </c>
      <c r="I57" s="5">
        <v>693</v>
      </c>
      <c r="J57" s="5">
        <v>819</v>
      </c>
      <c r="K57" s="5">
        <v>798</v>
      </c>
      <c r="L57" s="4">
        <v>818</v>
      </c>
      <c r="M57" s="5">
        <v>861</v>
      </c>
      <c r="N57" s="5">
        <v>1096</v>
      </c>
      <c r="O57" s="5">
        <f>SUM(Tabela323[[#This Row],[jan/23]:[dez/23]])</f>
        <v>9883</v>
      </c>
    </row>
    <row r="58" spans="1:15" x14ac:dyDescent="0.25">
      <c r="A58" s="4" t="s">
        <v>115</v>
      </c>
      <c r="B58" s="4" t="s">
        <v>5</v>
      </c>
      <c r="C58" s="4"/>
      <c r="D58" s="4"/>
      <c r="E58" s="4"/>
      <c r="F58" s="4"/>
      <c r="G58" s="5"/>
      <c r="H58" s="4"/>
      <c r="I58" s="5"/>
      <c r="J58" s="5"/>
      <c r="K58" s="4">
        <v>214</v>
      </c>
      <c r="L58" s="5">
        <v>577</v>
      </c>
      <c r="M58" s="5">
        <v>3833</v>
      </c>
      <c r="N58" s="5">
        <v>4898</v>
      </c>
      <c r="O58" s="5">
        <f>SUM(Tabela323[[#This Row],[jan/23]:[dez/23]])</f>
        <v>9522</v>
      </c>
    </row>
    <row r="59" spans="1:15" x14ac:dyDescent="0.25">
      <c r="A59" s="4" t="s">
        <v>117</v>
      </c>
      <c r="B59" s="4" t="s">
        <v>587</v>
      </c>
      <c r="C59" s="4">
        <v>574</v>
      </c>
      <c r="D59" s="5">
        <v>420</v>
      </c>
      <c r="E59" s="5">
        <v>619</v>
      </c>
      <c r="F59" s="4">
        <v>580</v>
      </c>
      <c r="G59" s="4">
        <v>940</v>
      </c>
      <c r="H59" s="5">
        <v>945</v>
      </c>
      <c r="I59" s="5">
        <v>641</v>
      </c>
      <c r="J59" s="5">
        <v>732</v>
      </c>
      <c r="K59" s="5">
        <v>597</v>
      </c>
      <c r="L59" s="4">
        <v>676</v>
      </c>
      <c r="M59" s="5">
        <v>1024</v>
      </c>
      <c r="N59" s="4">
        <v>568</v>
      </c>
      <c r="O59" s="5">
        <f>SUM(Tabela323[[#This Row],[jan/23]:[dez/23]])</f>
        <v>8316</v>
      </c>
    </row>
    <row r="60" spans="1:15" x14ac:dyDescent="0.25">
      <c r="A60" s="4" t="s">
        <v>119</v>
      </c>
      <c r="B60" s="4" t="s">
        <v>154</v>
      </c>
      <c r="C60" s="4">
        <v>355</v>
      </c>
      <c r="D60" s="4">
        <v>282</v>
      </c>
      <c r="E60" s="4">
        <v>423</v>
      </c>
      <c r="F60" s="4">
        <v>504</v>
      </c>
      <c r="G60" s="4">
        <v>527</v>
      </c>
      <c r="H60" s="4">
        <v>689</v>
      </c>
      <c r="I60" s="5">
        <v>809</v>
      </c>
      <c r="J60" s="5">
        <v>1153</v>
      </c>
      <c r="K60" s="4">
        <v>932</v>
      </c>
      <c r="L60" s="4">
        <v>781</v>
      </c>
      <c r="M60" s="5">
        <v>589</v>
      </c>
      <c r="N60" s="4">
        <v>626</v>
      </c>
      <c r="O60" s="5">
        <f>SUM(Tabela323[[#This Row],[jan/23]:[dez/23]])</f>
        <v>7670</v>
      </c>
    </row>
    <row r="61" spans="1:15" x14ac:dyDescent="0.25">
      <c r="A61" s="4" t="s">
        <v>121</v>
      </c>
      <c r="B61" s="4" t="s">
        <v>256</v>
      </c>
      <c r="C61" s="4">
        <v>441</v>
      </c>
      <c r="D61" s="4">
        <v>386</v>
      </c>
      <c r="E61" s="4">
        <v>511</v>
      </c>
      <c r="F61" s="4">
        <v>535</v>
      </c>
      <c r="G61" s="4">
        <v>689</v>
      </c>
      <c r="H61" s="4">
        <v>660</v>
      </c>
      <c r="I61" s="4">
        <v>679</v>
      </c>
      <c r="J61" s="4">
        <v>847</v>
      </c>
      <c r="K61" s="4">
        <v>634</v>
      </c>
      <c r="L61" s="4">
        <v>631</v>
      </c>
      <c r="M61" s="4">
        <v>749</v>
      </c>
      <c r="N61" s="4">
        <v>567</v>
      </c>
      <c r="O61" s="5">
        <f>SUM(Tabela323[[#This Row],[jan/23]:[dez/23]])</f>
        <v>7329</v>
      </c>
    </row>
    <row r="62" spans="1:15" x14ac:dyDescent="0.25">
      <c r="A62" s="4" t="s">
        <v>123</v>
      </c>
      <c r="B62" s="4" t="s">
        <v>90</v>
      </c>
      <c r="C62" s="4">
        <v>432</v>
      </c>
      <c r="D62" s="4">
        <v>452</v>
      </c>
      <c r="E62" s="4">
        <v>566</v>
      </c>
      <c r="F62" s="4">
        <v>352</v>
      </c>
      <c r="G62" s="4">
        <v>566</v>
      </c>
      <c r="H62" s="4">
        <v>503</v>
      </c>
      <c r="I62" s="4">
        <v>652</v>
      </c>
      <c r="J62" s="4">
        <v>560</v>
      </c>
      <c r="K62" s="4">
        <v>396</v>
      </c>
      <c r="L62" s="4">
        <v>490</v>
      </c>
      <c r="M62" s="4">
        <v>600</v>
      </c>
      <c r="N62" s="4">
        <v>616</v>
      </c>
      <c r="O62" s="5">
        <f>SUM(Tabela323[[#This Row],[jan/23]:[dez/23]])</f>
        <v>6185</v>
      </c>
    </row>
    <row r="63" spans="1:15" x14ac:dyDescent="0.25">
      <c r="A63" s="4" t="s">
        <v>125</v>
      </c>
      <c r="B63" s="4" t="s">
        <v>647</v>
      </c>
      <c r="C63" s="4">
        <v>417</v>
      </c>
      <c r="D63" s="4">
        <v>329</v>
      </c>
      <c r="E63" s="4">
        <v>463</v>
      </c>
      <c r="F63" s="4">
        <v>489</v>
      </c>
      <c r="G63" s="4">
        <v>423</v>
      </c>
      <c r="H63" s="4">
        <v>472</v>
      </c>
      <c r="I63" s="4">
        <v>578</v>
      </c>
      <c r="J63" s="4">
        <v>670</v>
      </c>
      <c r="K63" s="4">
        <v>422</v>
      </c>
      <c r="L63" s="4">
        <v>578</v>
      </c>
      <c r="M63" s="4">
        <v>624</v>
      </c>
      <c r="N63" s="4">
        <v>700</v>
      </c>
      <c r="O63" s="5">
        <f>SUM(Tabela323[[#This Row],[jan/23]:[dez/23]])</f>
        <v>6165</v>
      </c>
    </row>
    <row r="64" spans="1:15" x14ac:dyDescent="0.25">
      <c r="A64" s="4" t="s">
        <v>127</v>
      </c>
      <c r="B64" s="4" t="s">
        <v>446</v>
      </c>
      <c r="C64" s="4">
        <v>405</v>
      </c>
      <c r="D64" s="4">
        <v>269</v>
      </c>
      <c r="E64" s="4">
        <v>415</v>
      </c>
      <c r="F64" s="4">
        <v>420</v>
      </c>
      <c r="G64" s="4">
        <v>301</v>
      </c>
      <c r="H64" s="4">
        <v>135</v>
      </c>
      <c r="I64" s="4">
        <v>342</v>
      </c>
      <c r="J64" s="4">
        <v>371</v>
      </c>
      <c r="K64" s="4">
        <v>633</v>
      </c>
      <c r="L64" s="5">
        <v>764</v>
      </c>
      <c r="M64" s="4">
        <v>469</v>
      </c>
      <c r="N64" s="5">
        <v>581</v>
      </c>
      <c r="O64" s="5">
        <f>SUM(Tabela323[[#This Row],[jan/23]:[dez/23]])</f>
        <v>5105</v>
      </c>
    </row>
    <row r="65" spans="1:15" x14ac:dyDescent="0.25">
      <c r="A65" s="4" t="s">
        <v>129</v>
      </c>
      <c r="B65" s="4" t="s">
        <v>214</v>
      </c>
      <c r="C65" s="4">
        <v>233</v>
      </c>
      <c r="D65" s="4">
        <v>211</v>
      </c>
      <c r="E65" s="4">
        <v>290</v>
      </c>
      <c r="F65" s="4">
        <v>258</v>
      </c>
      <c r="G65" s="4">
        <v>365</v>
      </c>
      <c r="H65" s="4">
        <v>542</v>
      </c>
      <c r="I65" s="4">
        <v>484</v>
      </c>
      <c r="J65" s="4">
        <v>624</v>
      </c>
      <c r="K65" s="5">
        <v>1331</v>
      </c>
      <c r="L65" s="4">
        <v>151</v>
      </c>
      <c r="M65" s="4">
        <v>219</v>
      </c>
      <c r="N65" s="4">
        <v>218</v>
      </c>
      <c r="O65" s="5">
        <f>SUM(Tabela323[[#This Row],[jan/23]:[dez/23]])</f>
        <v>4926</v>
      </c>
    </row>
    <row r="66" spans="1:15" x14ac:dyDescent="0.25">
      <c r="A66" s="4" t="s">
        <v>131</v>
      </c>
      <c r="B66" s="4" t="s">
        <v>536</v>
      </c>
      <c r="C66" s="4">
        <v>228</v>
      </c>
      <c r="D66" s="4">
        <v>234</v>
      </c>
      <c r="E66" s="4">
        <v>341</v>
      </c>
      <c r="F66" s="4">
        <v>241</v>
      </c>
      <c r="G66" s="4">
        <v>207</v>
      </c>
      <c r="H66" s="4">
        <v>200</v>
      </c>
      <c r="I66" s="4">
        <v>594</v>
      </c>
      <c r="J66" s="4">
        <v>772</v>
      </c>
      <c r="K66" s="4">
        <v>630</v>
      </c>
      <c r="L66" s="4">
        <v>488</v>
      </c>
      <c r="M66" s="4">
        <v>485</v>
      </c>
      <c r="N66" s="4">
        <v>503</v>
      </c>
      <c r="O66" s="5">
        <f>SUM(Tabela323[[#This Row],[jan/23]:[dez/23]])</f>
        <v>4923</v>
      </c>
    </row>
    <row r="67" spans="1:15" x14ac:dyDescent="0.25">
      <c r="A67" s="4" t="s">
        <v>133</v>
      </c>
      <c r="B67" s="4" t="s">
        <v>298</v>
      </c>
      <c r="C67" s="4"/>
      <c r="D67" s="4">
        <v>195</v>
      </c>
      <c r="E67" s="4">
        <v>353</v>
      </c>
      <c r="F67" s="4">
        <v>349</v>
      </c>
      <c r="G67" s="4">
        <v>402</v>
      </c>
      <c r="H67" s="4">
        <v>423</v>
      </c>
      <c r="I67" s="4">
        <v>522</v>
      </c>
      <c r="J67" s="4">
        <v>546</v>
      </c>
      <c r="K67" s="4">
        <v>669</v>
      </c>
      <c r="L67" s="4">
        <v>439</v>
      </c>
      <c r="M67" s="4">
        <v>438</v>
      </c>
      <c r="N67" s="4">
        <v>537</v>
      </c>
      <c r="O67" s="5">
        <f>SUM(Tabela323[[#This Row],[jan/23]:[dez/23]])</f>
        <v>4873</v>
      </c>
    </row>
    <row r="68" spans="1:15" x14ac:dyDescent="0.25">
      <c r="A68" s="4" t="s">
        <v>135</v>
      </c>
      <c r="B68" s="4" t="s">
        <v>535</v>
      </c>
      <c r="C68" s="4">
        <v>326</v>
      </c>
      <c r="D68" s="4">
        <v>380</v>
      </c>
      <c r="E68" s="4">
        <v>403</v>
      </c>
      <c r="F68" s="4">
        <v>234</v>
      </c>
      <c r="G68" s="4">
        <v>348</v>
      </c>
      <c r="H68" s="4">
        <v>424</v>
      </c>
      <c r="I68" s="4">
        <v>384</v>
      </c>
      <c r="J68" s="4">
        <v>495</v>
      </c>
      <c r="K68" s="4">
        <v>405</v>
      </c>
      <c r="L68" s="4">
        <v>516</v>
      </c>
      <c r="M68" s="4">
        <v>435</v>
      </c>
      <c r="N68" s="4">
        <v>406</v>
      </c>
      <c r="O68" s="5">
        <f>SUM(Tabela323[[#This Row],[jan/23]:[dez/23]])</f>
        <v>4756</v>
      </c>
    </row>
    <row r="69" spans="1:15" x14ac:dyDescent="0.25">
      <c r="A69" s="4" t="s">
        <v>137</v>
      </c>
      <c r="B69" s="4" t="s">
        <v>408</v>
      </c>
      <c r="C69" s="4">
        <v>266</v>
      </c>
      <c r="D69" s="4">
        <v>295</v>
      </c>
      <c r="E69" s="4">
        <v>430</v>
      </c>
      <c r="F69" s="4">
        <v>319</v>
      </c>
      <c r="G69" s="4">
        <v>467</v>
      </c>
      <c r="H69" s="4">
        <v>393</v>
      </c>
      <c r="I69" s="4">
        <v>479</v>
      </c>
      <c r="J69" s="4">
        <v>592</v>
      </c>
      <c r="K69" s="4">
        <v>695</v>
      </c>
      <c r="L69" s="4">
        <v>329</v>
      </c>
      <c r="M69" s="4">
        <v>209</v>
      </c>
      <c r="N69" s="4">
        <v>202</v>
      </c>
      <c r="O69" s="5">
        <f>SUM(Tabela323[[#This Row],[jan/23]:[dez/23]])</f>
        <v>4676</v>
      </c>
    </row>
    <row r="70" spans="1:15" x14ac:dyDescent="0.25">
      <c r="A70" s="4" t="s">
        <v>139</v>
      </c>
      <c r="B70" s="4" t="s">
        <v>570</v>
      </c>
      <c r="C70" s="4">
        <v>346</v>
      </c>
      <c r="D70" s="4">
        <v>278</v>
      </c>
      <c r="E70" s="4">
        <v>298</v>
      </c>
      <c r="F70" s="4">
        <v>345</v>
      </c>
      <c r="G70" s="4">
        <v>420</v>
      </c>
      <c r="H70" s="4">
        <v>337</v>
      </c>
      <c r="I70" s="4">
        <v>433</v>
      </c>
      <c r="J70" s="4">
        <v>415</v>
      </c>
      <c r="K70" s="4">
        <v>362</v>
      </c>
      <c r="L70" s="5">
        <v>329</v>
      </c>
      <c r="M70" s="4">
        <v>463</v>
      </c>
      <c r="N70" s="4">
        <v>494</v>
      </c>
      <c r="O70" s="5">
        <f>SUM(Tabela323[[#This Row],[jan/23]:[dez/23]])</f>
        <v>4520</v>
      </c>
    </row>
    <row r="71" spans="1:15" x14ac:dyDescent="0.25">
      <c r="A71" s="4" t="s">
        <v>141</v>
      </c>
      <c r="B71" s="4" t="s">
        <v>124</v>
      </c>
      <c r="C71" s="4">
        <v>185</v>
      </c>
      <c r="D71" s="4">
        <v>194</v>
      </c>
      <c r="E71" s="4">
        <v>332</v>
      </c>
      <c r="F71" s="4">
        <v>239</v>
      </c>
      <c r="G71" s="4">
        <v>311</v>
      </c>
      <c r="H71" s="4">
        <v>355</v>
      </c>
      <c r="I71" s="4">
        <v>375</v>
      </c>
      <c r="J71" s="4">
        <v>417</v>
      </c>
      <c r="K71" s="4">
        <v>351</v>
      </c>
      <c r="L71" s="4">
        <v>415</v>
      </c>
      <c r="M71" s="4">
        <v>396</v>
      </c>
      <c r="N71" s="4">
        <v>567</v>
      </c>
      <c r="O71" s="5">
        <f>SUM(Tabela323[[#This Row],[jan/23]:[dez/23]])</f>
        <v>4137</v>
      </c>
    </row>
    <row r="72" spans="1:15" x14ac:dyDescent="0.25">
      <c r="A72" s="4" t="s">
        <v>143</v>
      </c>
      <c r="B72" s="4" t="s">
        <v>102</v>
      </c>
      <c r="C72" s="4">
        <v>335</v>
      </c>
      <c r="D72" s="4">
        <v>219</v>
      </c>
      <c r="E72" s="4">
        <v>486</v>
      </c>
      <c r="F72" s="4">
        <v>219</v>
      </c>
      <c r="G72" s="4">
        <v>272</v>
      </c>
      <c r="H72" s="4">
        <v>333</v>
      </c>
      <c r="I72" s="4">
        <v>287</v>
      </c>
      <c r="J72" s="4">
        <v>493</v>
      </c>
      <c r="K72" s="4">
        <v>339</v>
      </c>
      <c r="L72" s="5">
        <v>333</v>
      </c>
      <c r="M72" s="4">
        <v>295</v>
      </c>
      <c r="N72" s="4">
        <v>446</v>
      </c>
      <c r="O72" s="5">
        <f>SUM(Tabela323[[#This Row],[jan/23]:[dez/23]])</f>
        <v>4057</v>
      </c>
    </row>
    <row r="73" spans="1:15" x14ac:dyDescent="0.25">
      <c r="A73" s="4" t="s">
        <v>145</v>
      </c>
      <c r="B73" s="4" t="s">
        <v>174</v>
      </c>
      <c r="C73" s="4">
        <v>206</v>
      </c>
      <c r="D73" s="4">
        <v>223</v>
      </c>
      <c r="E73" s="4">
        <v>467</v>
      </c>
      <c r="F73" s="4">
        <v>420</v>
      </c>
      <c r="G73" s="4">
        <v>405</v>
      </c>
      <c r="H73" s="4">
        <v>458</v>
      </c>
      <c r="I73" s="4">
        <v>355</v>
      </c>
      <c r="J73" s="4">
        <v>330</v>
      </c>
      <c r="K73" s="4">
        <v>321</v>
      </c>
      <c r="L73" s="4">
        <v>281</v>
      </c>
      <c r="M73" s="4">
        <v>190</v>
      </c>
      <c r="N73" s="4">
        <v>390</v>
      </c>
      <c r="O73" s="5">
        <f>SUM(Tabela323[[#This Row],[jan/23]:[dez/23]])</f>
        <v>4046</v>
      </c>
    </row>
    <row r="74" spans="1:15" x14ac:dyDescent="0.25">
      <c r="A74" s="4" t="s">
        <v>147</v>
      </c>
      <c r="B74" s="4" t="s">
        <v>322</v>
      </c>
      <c r="C74" s="4">
        <v>168</v>
      </c>
      <c r="D74" s="4">
        <v>153</v>
      </c>
      <c r="E74" s="4">
        <v>397</v>
      </c>
      <c r="F74" s="4">
        <v>451</v>
      </c>
      <c r="G74" s="4">
        <v>271</v>
      </c>
      <c r="H74" s="4">
        <v>327</v>
      </c>
      <c r="I74" s="4">
        <v>327</v>
      </c>
      <c r="J74" s="4">
        <v>381</v>
      </c>
      <c r="K74" s="4">
        <v>367</v>
      </c>
      <c r="L74" s="4">
        <v>413</v>
      </c>
      <c r="M74" s="4">
        <v>401</v>
      </c>
      <c r="N74" s="4">
        <v>387</v>
      </c>
      <c r="O74" s="5">
        <f>SUM(Tabela323[[#This Row],[jan/23]:[dez/23]])</f>
        <v>4043</v>
      </c>
    </row>
    <row r="75" spans="1:15" x14ac:dyDescent="0.25">
      <c r="A75" s="4" t="s">
        <v>149</v>
      </c>
      <c r="B75" s="4" t="s">
        <v>601</v>
      </c>
      <c r="C75" s="4">
        <v>463</v>
      </c>
      <c r="D75" s="4">
        <v>377</v>
      </c>
      <c r="E75" s="4">
        <v>483</v>
      </c>
      <c r="F75" s="4">
        <v>448</v>
      </c>
      <c r="G75" s="4">
        <v>364</v>
      </c>
      <c r="H75" s="4">
        <v>326</v>
      </c>
      <c r="I75" s="4">
        <v>296</v>
      </c>
      <c r="J75" s="4">
        <v>351</v>
      </c>
      <c r="K75" s="4">
        <v>192</v>
      </c>
      <c r="L75" s="4">
        <v>214</v>
      </c>
      <c r="M75" s="4">
        <v>241</v>
      </c>
      <c r="N75" s="4">
        <v>200</v>
      </c>
      <c r="O75" s="5">
        <f>SUM(Tabela323[[#This Row],[jan/23]:[dez/23]])</f>
        <v>3955</v>
      </c>
    </row>
    <row r="76" spans="1:15" x14ac:dyDescent="0.25">
      <c r="A76" s="4" t="s">
        <v>151</v>
      </c>
      <c r="B76" s="4" t="s">
        <v>116</v>
      </c>
      <c r="C76" s="4">
        <v>274</v>
      </c>
      <c r="D76" s="4">
        <v>224</v>
      </c>
      <c r="E76" s="4">
        <v>746</v>
      </c>
      <c r="F76" s="4">
        <v>233</v>
      </c>
      <c r="G76" s="4">
        <v>294</v>
      </c>
      <c r="H76" s="4">
        <v>367</v>
      </c>
      <c r="I76" s="4">
        <v>295</v>
      </c>
      <c r="J76" s="4">
        <v>329</v>
      </c>
      <c r="K76" s="4">
        <v>315</v>
      </c>
      <c r="L76" s="4">
        <v>239</v>
      </c>
      <c r="M76" s="4">
        <v>303</v>
      </c>
      <c r="N76" s="4">
        <v>243</v>
      </c>
      <c r="O76" s="5">
        <f>SUM(Tabela323[[#This Row],[jan/23]:[dez/23]])</f>
        <v>3862</v>
      </c>
    </row>
    <row r="77" spans="1:15" x14ac:dyDescent="0.25">
      <c r="A77" s="4" t="s">
        <v>153</v>
      </c>
      <c r="B77" s="4" t="s">
        <v>230</v>
      </c>
      <c r="C77" s="4">
        <v>256</v>
      </c>
      <c r="D77" s="4">
        <v>307</v>
      </c>
      <c r="E77" s="4">
        <v>416</v>
      </c>
      <c r="F77" s="4">
        <v>333</v>
      </c>
      <c r="G77" s="4">
        <v>376</v>
      </c>
      <c r="H77" s="4">
        <v>306</v>
      </c>
      <c r="I77" s="4">
        <v>240</v>
      </c>
      <c r="J77" s="4">
        <v>254</v>
      </c>
      <c r="K77" s="4">
        <v>267</v>
      </c>
      <c r="L77" s="4">
        <v>248</v>
      </c>
      <c r="M77" s="4">
        <v>405</v>
      </c>
      <c r="N77" s="4">
        <v>341</v>
      </c>
      <c r="O77" s="5">
        <f>SUM(Tabela323[[#This Row],[jan/23]:[dez/23]])</f>
        <v>3749</v>
      </c>
    </row>
    <row r="78" spans="1:15" x14ac:dyDescent="0.25">
      <c r="A78" s="4" t="s">
        <v>155</v>
      </c>
      <c r="B78" s="4" t="s">
        <v>196</v>
      </c>
      <c r="C78" s="4">
        <v>180</v>
      </c>
      <c r="D78" s="4">
        <v>81</v>
      </c>
      <c r="E78" s="4">
        <v>351</v>
      </c>
      <c r="F78" s="4">
        <v>195</v>
      </c>
      <c r="G78" s="4">
        <v>358</v>
      </c>
      <c r="H78" s="4">
        <v>318</v>
      </c>
      <c r="I78" s="4">
        <v>338</v>
      </c>
      <c r="J78" s="4">
        <v>386</v>
      </c>
      <c r="K78" s="4">
        <v>304</v>
      </c>
      <c r="L78" s="4">
        <v>364</v>
      </c>
      <c r="M78" s="4">
        <v>384</v>
      </c>
      <c r="N78" s="4">
        <v>380</v>
      </c>
      <c r="O78" s="5">
        <f>SUM(Tabela323[[#This Row],[jan/23]:[dez/23]])</f>
        <v>3639</v>
      </c>
    </row>
    <row r="79" spans="1:15" x14ac:dyDescent="0.25">
      <c r="A79" s="4" t="s">
        <v>157</v>
      </c>
      <c r="B79" s="4" t="s">
        <v>600</v>
      </c>
      <c r="C79" s="4">
        <v>347</v>
      </c>
      <c r="D79" s="4">
        <v>306</v>
      </c>
      <c r="E79" s="4">
        <v>257</v>
      </c>
      <c r="F79" s="4">
        <v>259</v>
      </c>
      <c r="G79" s="4">
        <v>515</v>
      </c>
      <c r="H79" s="4">
        <v>242</v>
      </c>
      <c r="I79" s="4">
        <v>290</v>
      </c>
      <c r="J79" s="4">
        <v>295</v>
      </c>
      <c r="K79" s="4">
        <v>221</v>
      </c>
      <c r="L79" s="4">
        <v>299</v>
      </c>
      <c r="M79" s="4">
        <v>255</v>
      </c>
      <c r="N79" s="4">
        <v>220</v>
      </c>
      <c r="O79" s="5">
        <f>SUM(Tabela323[[#This Row],[jan/23]:[dez/23]])</f>
        <v>3506</v>
      </c>
    </row>
    <row r="80" spans="1:15" x14ac:dyDescent="0.25">
      <c r="A80" s="4" t="s">
        <v>159</v>
      </c>
      <c r="B80" s="4" t="s">
        <v>110</v>
      </c>
      <c r="C80" s="4">
        <v>203</v>
      </c>
      <c r="D80" s="4">
        <v>165</v>
      </c>
      <c r="E80" s="4">
        <v>234</v>
      </c>
      <c r="F80" s="4">
        <v>205</v>
      </c>
      <c r="G80" s="4">
        <v>262</v>
      </c>
      <c r="H80" s="4">
        <v>394</v>
      </c>
      <c r="I80" s="4">
        <v>382</v>
      </c>
      <c r="J80" s="4">
        <v>378</v>
      </c>
      <c r="K80" s="4">
        <v>257</v>
      </c>
      <c r="L80" s="4">
        <v>277</v>
      </c>
      <c r="M80" s="4">
        <v>280</v>
      </c>
      <c r="N80" s="4">
        <v>361</v>
      </c>
      <c r="O80" s="5">
        <f>SUM(Tabela323[[#This Row],[jan/23]:[dez/23]])</f>
        <v>3398</v>
      </c>
    </row>
    <row r="81" spans="1:15" x14ac:dyDescent="0.25">
      <c r="A81" s="4" t="s">
        <v>163</v>
      </c>
      <c r="B81" s="4" t="s">
        <v>579</v>
      </c>
      <c r="C81" s="4">
        <v>319</v>
      </c>
      <c r="D81" s="4">
        <v>267</v>
      </c>
      <c r="E81" s="4">
        <v>362</v>
      </c>
      <c r="F81" s="4">
        <v>259</v>
      </c>
      <c r="G81" s="4">
        <v>358</v>
      </c>
      <c r="H81" s="4">
        <v>394</v>
      </c>
      <c r="I81" s="4">
        <v>321</v>
      </c>
      <c r="J81" s="4">
        <v>250</v>
      </c>
      <c r="K81" s="4">
        <v>198</v>
      </c>
      <c r="L81" s="4">
        <v>164</v>
      </c>
      <c r="M81" s="4">
        <v>189</v>
      </c>
      <c r="N81" s="4">
        <v>232</v>
      </c>
      <c r="O81" s="5">
        <f>SUM(Tabela323[[#This Row],[jan/23]:[dez/23]])</f>
        <v>3313</v>
      </c>
    </row>
    <row r="82" spans="1:15" x14ac:dyDescent="0.25">
      <c r="A82" s="4" t="s">
        <v>161</v>
      </c>
      <c r="B82" s="4" t="s">
        <v>160</v>
      </c>
      <c r="C82" s="4">
        <v>185</v>
      </c>
      <c r="D82" s="4">
        <v>157</v>
      </c>
      <c r="E82" s="4">
        <v>170</v>
      </c>
      <c r="F82" s="4">
        <v>344</v>
      </c>
      <c r="G82" s="4">
        <v>299</v>
      </c>
      <c r="H82" s="4">
        <v>319</v>
      </c>
      <c r="I82" s="4">
        <v>338</v>
      </c>
      <c r="J82" s="4">
        <v>422</v>
      </c>
      <c r="K82" s="4">
        <v>239</v>
      </c>
      <c r="L82" s="4">
        <v>289</v>
      </c>
      <c r="M82" s="4">
        <v>221</v>
      </c>
      <c r="N82" s="4">
        <v>298</v>
      </c>
      <c r="O82" s="5">
        <f>SUM(Tabela323[[#This Row],[jan/23]:[dez/23]])</f>
        <v>3281</v>
      </c>
    </row>
    <row r="83" spans="1:15" x14ac:dyDescent="0.25">
      <c r="A83" s="4" t="s">
        <v>165</v>
      </c>
      <c r="B83" s="4" t="s">
        <v>645</v>
      </c>
      <c r="C83" s="4">
        <v>40</v>
      </c>
      <c r="D83" s="4">
        <v>46</v>
      </c>
      <c r="E83" s="4">
        <v>32</v>
      </c>
      <c r="F83" s="4">
        <v>84</v>
      </c>
      <c r="G83" s="4">
        <v>288</v>
      </c>
      <c r="H83" s="4">
        <v>419</v>
      </c>
      <c r="I83" s="4">
        <v>461</v>
      </c>
      <c r="J83" s="4">
        <v>430</v>
      </c>
      <c r="K83" s="4">
        <v>504</v>
      </c>
      <c r="L83" s="4">
        <v>325</v>
      </c>
      <c r="M83" s="5">
        <v>254</v>
      </c>
      <c r="N83" s="5">
        <v>332</v>
      </c>
      <c r="O83" s="5">
        <f>SUM(Tabela323[[#This Row],[jan/23]:[dez/23]])</f>
        <v>3215</v>
      </c>
    </row>
    <row r="84" spans="1:15" x14ac:dyDescent="0.25">
      <c r="A84" s="4" t="s">
        <v>167</v>
      </c>
      <c r="B84" s="4" t="s">
        <v>190</v>
      </c>
      <c r="C84" s="4">
        <v>235</v>
      </c>
      <c r="D84" s="4">
        <v>226</v>
      </c>
      <c r="E84" s="4">
        <v>250</v>
      </c>
      <c r="F84" s="4">
        <v>236</v>
      </c>
      <c r="G84" s="4">
        <v>260</v>
      </c>
      <c r="H84" s="4">
        <v>253</v>
      </c>
      <c r="I84" s="4">
        <v>360</v>
      </c>
      <c r="J84" s="4">
        <v>250</v>
      </c>
      <c r="K84" s="4">
        <v>240</v>
      </c>
      <c r="L84" s="4">
        <v>330</v>
      </c>
      <c r="M84" s="4">
        <v>250</v>
      </c>
      <c r="N84" s="4">
        <v>68</v>
      </c>
      <c r="O84" s="5">
        <f>SUM(Tabela323[[#This Row],[jan/23]:[dez/23]])</f>
        <v>2958</v>
      </c>
    </row>
    <row r="85" spans="1:15" x14ac:dyDescent="0.25">
      <c r="A85" s="4" t="s">
        <v>169</v>
      </c>
      <c r="B85" s="4" t="s">
        <v>226</v>
      </c>
      <c r="C85" s="4">
        <v>230</v>
      </c>
      <c r="D85" s="4">
        <v>109</v>
      </c>
      <c r="E85" s="4">
        <v>236</v>
      </c>
      <c r="F85" s="4">
        <v>184</v>
      </c>
      <c r="G85" s="4">
        <v>326</v>
      </c>
      <c r="H85" s="4">
        <v>318</v>
      </c>
      <c r="I85" s="4">
        <v>165</v>
      </c>
      <c r="J85" s="4">
        <v>255</v>
      </c>
      <c r="K85" s="4">
        <v>248</v>
      </c>
      <c r="L85" s="4">
        <v>246</v>
      </c>
      <c r="M85" s="4">
        <v>214</v>
      </c>
      <c r="N85" s="4">
        <v>288</v>
      </c>
      <c r="O85" s="5">
        <f>SUM(Tabela323[[#This Row],[jan/23]:[dez/23]])</f>
        <v>2819</v>
      </c>
    </row>
    <row r="86" spans="1:15" x14ac:dyDescent="0.25">
      <c r="A86" s="4" t="s">
        <v>171</v>
      </c>
      <c r="B86" s="4" t="s">
        <v>610</v>
      </c>
      <c r="C86" s="4">
        <v>119</v>
      </c>
      <c r="D86" s="4">
        <v>122</v>
      </c>
      <c r="E86" s="4">
        <v>170</v>
      </c>
      <c r="F86" s="4">
        <v>124</v>
      </c>
      <c r="G86" s="4">
        <v>144</v>
      </c>
      <c r="H86" s="4">
        <v>171</v>
      </c>
      <c r="I86" s="4">
        <v>202</v>
      </c>
      <c r="J86" s="4">
        <v>544</v>
      </c>
      <c r="K86" s="4">
        <v>319</v>
      </c>
      <c r="L86" s="4">
        <v>165</v>
      </c>
      <c r="M86" s="4">
        <v>127</v>
      </c>
      <c r="N86" s="4">
        <v>199</v>
      </c>
      <c r="O86" s="5">
        <f>SUM(Tabela323[[#This Row],[jan/23]:[dez/23]])</f>
        <v>2406</v>
      </c>
    </row>
    <row r="87" spans="1:15" x14ac:dyDescent="0.25">
      <c r="A87" s="4" t="s">
        <v>173</v>
      </c>
      <c r="B87" s="4" t="s">
        <v>114</v>
      </c>
      <c r="C87" s="4">
        <v>159</v>
      </c>
      <c r="D87" s="4">
        <v>130</v>
      </c>
      <c r="E87" s="4">
        <v>164</v>
      </c>
      <c r="F87" s="4">
        <v>191</v>
      </c>
      <c r="G87" s="4">
        <v>201</v>
      </c>
      <c r="H87" s="4">
        <v>212</v>
      </c>
      <c r="I87" s="4">
        <v>212</v>
      </c>
      <c r="J87" s="4">
        <v>242</v>
      </c>
      <c r="K87" s="4">
        <v>190</v>
      </c>
      <c r="L87" s="4">
        <v>217</v>
      </c>
      <c r="M87" s="4">
        <v>183</v>
      </c>
      <c r="N87" s="4">
        <v>249</v>
      </c>
      <c r="O87" s="5">
        <f>SUM(Tabela323[[#This Row],[jan/23]:[dez/23]])</f>
        <v>2350</v>
      </c>
    </row>
    <row r="88" spans="1:15" x14ac:dyDescent="0.25">
      <c r="A88" s="4" t="s">
        <v>175</v>
      </c>
      <c r="B88" s="4" t="s">
        <v>597</v>
      </c>
      <c r="C88" s="4">
        <v>319</v>
      </c>
      <c r="D88" s="4">
        <v>213</v>
      </c>
      <c r="E88" s="4">
        <v>389</v>
      </c>
      <c r="F88" s="4">
        <v>276</v>
      </c>
      <c r="G88" s="4">
        <v>280</v>
      </c>
      <c r="H88" s="4">
        <v>227</v>
      </c>
      <c r="I88" s="4">
        <v>315</v>
      </c>
      <c r="J88" s="4">
        <v>169</v>
      </c>
      <c r="K88" s="4">
        <v>78</v>
      </c>
      <c r="L88" s="4">
        <v>36</v>
      </c>
      <c r="M88" s="4">
        <v>31</v>
      </c>
      <c r="N88" s="4">
        <v>16</v>
      </c>
      <c r="O88" s="5">
        <f>SUM(Tabela323[[#This Row],[jan/23]:[dez/23]])</f>
        <v>2349</v>
      </c>
    </row>
    <row r="89" spans="1:15" x14ac:dyDescent="0.25">
      <c r="A89" s="4" t="s">
        <v>177</v>
      </c>
      <c r="B89" s="4" t="s">
        <v>602</v>
      </c>
      <c r="C89" s="4">
        <v>74</v>
      </c>
      <c r="D89" s="4">
        <v>76</v>
      </c>
      <c r="E89" s="4">
        <v>123</v>
      </c>
      <c r="F89" s="4">
        <v>84</v>
      </c>
      <c r="G89" s="4">
        <v>129</v>
      </c>
      <c r="H89" s="4">
        <v>175</v>
      </c>
      <c r="I89" s="4">
        <v>215</v>
      </c>
      <c r="J89" s="4">
        <v>276</v>
      </c>
      <c r="K89" s="4">
        <v>225</v>
      </c>
      <c r="L89" s="4">
        <v>255</v>
      </c>
      <c r="M89" s="4">
        <v>295</v>
      </c>
      <c r="N89" s="4">
        <v>341</v>
      </c>
      <c r="O89" s="5">
        <f>SUM(Tabela323[[#This Row],[jan/23]:[dez/23]])</f>
        <v>2268</v>
      </c>
    </row>
    <row r="90" spans="1:15" x14ac:dyDescent="0.25">
      <c r="A90" s="4" t="s">
        <v>179</v>
      </c>
      <c r="B90" s="4" t="s">
        <v>608</v>
      </c>
      <c r="C90" s="4">
        <v>59</v>
      </c>
      <c r="D90" s="4">
        <v>79</v>
      </c>
      <c r="E90" s="4">
        <v>163</v>
      </c>
      <c r="F90" s="4">
        <v>247</v>
      </c>
      <c r="G90" s="4">
        <v>316</v>
      </c>
      <c r="H90" s="4">
        <v>297</v>
      </c>
      <c r="I90" s="4">
        <v>242</v>
      </c>
      <c r="J90" s="4">
        <v>183</v>
      </c>
      <c r="K90" s="4">
        <v>125</v>
      </c>
      <c r="L90" s="4">
        <v>79</v>
      </c>
      <c r="M90" s="4">
        <v>131</v>
      </c>
      <c r="N90" s="4">
        <v>237</v>
      </c>
      <c r="O90" s="5">
        <f>SUM(Tabela323[[#This Row],[jan/23]:[dez/23]])</f>
        <v>2158</v>
      </c>
    </row>
    <row r="91" spans="1:15" x14ac:dyDescent="0.25">
      <c r="A91" s="4" t="s">
        <v>181</v>
      </c>
      <c r="B91" s="4" t="s">
        <v>480</v>
      </c>
      <c r="C91" s="4">
        <v>185</v>
      </c>
      <c r="D91" s="4">
        <v>142</v>
      </c>
      <c r="E91" s="4">
        <v>203</v>
      </c>
      <c r="F91" s="4">
        <v>243</v>
      </c>
      <c r="G91" s="4">
        <v>230</v>
      </c>
      <c r="H91" s="4">
        <v>191</v>
      </c>
      <c r="I91" s="4">
        <v>250</v>
      </c>
      <c r="J91" s="4">
        <v>238</v>
      </c>
      <c r="K91" s="4">
        <v>128</v>
      </c>
      <c r="L91" s="4">
        <v>125</v>
      </c>
      <c r="M91" s="4">
        <v>88</v>
      </c>
      <c r="N91" s="4">
        <v>129</v>
      </c>
      <c r="O91" s="5">
        <f>SUM(Tabela323[[#This Row],[jan/23]:[dez/23]])</f>
        <v>2152</v>
      </c>
    </row>
    <row r="92" spans="1:15" x14ac:dyDescent="0.25">
      <c r="A92" s="4" t="s">
        <v>183</v>
      </c>
      <c r="B92" s="4" t="s">
        <v>140</v>
      </c>
      <c r="C92" s="4">
        <v>137</v>
      </c>
      <c r="D92" s="4">
        <v>102</v>
      </c>
      <c r="E92" s="4">
        <v>149</v>
      </c>
      <c r="F92" s="4">
        <v>146</v>
      </c>
      <c r="G92" s="4">
        <v>152</v>
      </c>
      <c r="H92" s="4">
        <v>153</v>
      </c>
      <c r="I92" s="4">
        <v>176</v>
      </c>
      <c r="J92" s="4">
        <v>206</v>
      </c>
      <c r="K92" s="4">
        <v>171</v>
      </c>
      <c r="L92" s="4">
        <v>169</v>
      </c>
      <c r="M92" s="4">
        <v>209</v>
      </c>
      <c r="N92" s="4">
        <v>330</v>
      </c>
      <c r="O92" s="5">
        <f>SUM(Tabela323[[#This Row],[jan/23]:[dez/23]])</f>
        <v>2100</v>
      </c>
    </row>
    <row r="93" spans="1:15" x14ac:dyDescent="0.25">
      <c r="A93" s="4" t="s">
        <v>185</v>
      </c>
      <c r="B93" s="4" t="s">
        <v>310</v>
      </c>
      <c r="C93" s="4">
        <v>130</v>
      </c>
      <c r="D93" s="4">
        <v>92</v>
      </c>
      <c r="E93" s="4">
        <v>157</v>
      </c>
      <c r="F93" s="4">
        <v>128</v>
      </c>
      <c r="G93" s="4">
        <v>196</v>
      </c>
      <c r="H93" s="4">
        <v>138</v>
      </c>
      <c r="I93" s="4">
        <v>117</v>
      </c>
      <c r="J93" s="4">
        <v>241</v>
      </c>
      <c r="K93" s="4">
        <v>146</v>
      </c>
      <c r="L93" s="4">
        <v>293</v>
      </c>
      <c r="M93" s="4">
        <v>212</v>
      </c>
      <c r="N93" s="4">
        <v>183</v>
      </c>
      <c r="O93" s="5">
        <f>SUM(Tabela323[[#This Row],[jan/23]:[dez/23]])</f>
        <v>2033</v>
      </c>
    </row>
    <row r="94" spans="1:15" x14ac:dyDescent="0.25">
      <c r="A94" s="4" t="s">
        <v>187</v>
      </c>
      <c r="B94" s="4" t="s">
        <v>607</v>
      </c>
      <c r="C94" s="4">
        <v>25</v>
      </c>
      <c r="D94" s="4">
        <v>33</v>
      </c>
      <c r="E94" s="4">
        <v>49</v>
      </c>
      <c r="F94" s="4">
        <v>21</v>
      </c>
      <c r="G94" s="4">
        <v>23</v>
      </c>
      <c r="H94" s="4">
        <v>62</v>
      </c>
      <c r="I94" s="4">
        <v>75</v>
      </c>
      <c r="J94" s="4">
        <v>124</v>
      </c>
      <c r="K94" s="4">
        <v>179</v>
      </c>
      <c r="L94" s="4">
        <v>453</v>
      </c>
      <c r="M94" s="4">
        <v>469</v>
      </c>
      <c r="N94" s="4">
        <v>508</v>
      </c>
      <c r="O94" s="5">
        <f>SUM(Tabela323[[#This Row],[jan/23]:[dez/23]])</f>
        <v>2021</v>
      </c>
    </row>
    <row r="95" spans="1:15" x14ac:dyDescent="0.25">
      <c r="A95" s="4" t="s">
        <v>189</v>
      </c>
      <c r="B95" s="4" t="s">
        <v>228</v>
      </c>
      <c r="C95" s="4">
        <v>136</v>
      </c>
      <c r="D95" s="4">
        <v>111</v>
      </c>
      <c r="E95" s="4">
        <v>182</v>
      </c>
      <c r="F95" s="4">
        <v>188</v>
      </c>
      <c r="G95" s="4">
        <v>204</v>
      </c>
      <c r="H95" s="4">
        <v>171</v>
      </c>
      <c r="I95" s="4">
        <v>160</v>
      </c>
      <c r="J95" s="4">
        <v>180</v>
      </c>
      <c r="K95" s="4">
        <v>166</v>
      </c>
      <c r="L95" s="4">
        <v>184</v>
      </c>
      <c r="M95" s="4">
        <v>115</v>
      </c>
      <c r="N95" s="4">
        <v>197</v>
      </c>
      <c r="O95" s="5">
        <f>SUM(Tabela323[[#This Row],[jan/23]:[dez/23]])</f>
        <v>1994</v>
      </c>
    </row>
    <row r="96" spans="1:15" x14ac:dyDescent="0.25">
      <c r="A96" s="4" t="s">
        <v>191</v>
      </c>
      <c r="B96" s="4" t="s">
        <v>580</v>
      </c>
      <c r="C96" s="4">
        <v>59</v>
      </c>
      <c r="D96" s="4">
        <v>93</v>
      </c>
      <c r="E96" s="4">
        <v>132</v>
      </c>
      <c r="F96" s="4">
        <v>142</v>
      </c>
      <c r="G96" s="4">
        <v>184</v>
      </c>
      <c r="H96" s="4">
        <v>216</v>
      </c>
      <c r="I96" s="4">
        <v>196</v>
      </c>
      <c r="J96" s="4">
        <v>170</v>
      </c>
      <c r="K96" s="4">
        <v>150</v>
      </c>
      <c r="L96" s="4">
        <v>162</v>
      </c>
      <c r="M96" s="4">
        <v>139</v>
      </c>
      <c r="N96" s="4">
        <v>187</v>
      </c>
      <c r="O96" s="5">
        <f>SUM(Tabela323[[#This Row],[jan/23]:[dez/23]])</f>
        <v>1830</v>
      </c>
    </row>
    <row r="97" spans="1:15" x14ac:dyDescent="0.25">
      <c r="A97" s="4" t="s">
        <v>193</v>
      </c>
      <c r="B97" s="4" t="s">
        <v>656</v>
      </c>
      <c r="C97" s="4">
        <v>325</v>
      </c>
      <c r="D97" s="4">
        <v>247</v>
      </c>
      <c r="E97" s="4">
        <v>276</v>
      </c>
      <c r="F97" s="4">
        <v>141</v>
      </c>
      <c r="G97" s="4">
        <v>122</v>
      </c>
      <c r="H97" s="4">
        <v>569</v>
      </c>
      <c r="I97" s="4">
        <v>55</v>
      </c>
      <c r="J97" s="4">
        <v>32</v>
      </c>
      <c r="K97" s="4">
        <v>17</v>
      </c>
      <c r="L97" s="4">
        <v>11</v>
      </c>
      <c r="M97" s="4">
        <v>8</v>
      </c>
      <c r="N97" s="4">
        <v>12</v>
      </c>
      <c r="O97" s="5">
        <f>SUM(Tabela323[[#This Row],[jan/23]:[dez/23]])</f>
        <v>1815</v>
      </c>
    </row>
    <row r="98" spans="1:15" x14ac:dyDescent="0.25">
      <c r="A98" s="4" t="s">
        <v>195</v>
      </c>
      <c r="B98" s="4" t="s">
        <v>152</v>
      </c>
      <c r="C98" s="4">
        <v>126</v>
      </c>
      <c r="D98" s="4">
        <v>101</v>
      </c>
      <c r="E98" s="4">
        <v>128</v>
      </c>
      <c r="F98" s="4">
        <v>85</v>
      </c>
      <c r="G98" s="4">
        <v>90</v>
      </c>
      <c r="H98" s="4">
        <v>148</v>
      </c>
      <c r="I98" s="4">
        <v>159</v>
      </c>
      <c r="J98" s="4">
        <v>166</v>
      </c>
      <c r="K98" s="4">
        <v>153</v>
      </c>
      <c r="L98" s="4">
        <v>189</v>
      </c>
      <c r="M98" s="4">
        <v>164</v>
      </c>
      <c r="N98" s="4">
        <v>141</v>
      </c>
      <c r="O98" s="5">
        <f>SUM(Tabela323[[#This Row],[jan/23]:[dez/23]])</f>
        <v>1650</v>
      </c>
    </row>
    <row r="99" spans="1:15" x14ac:dyDescent="0.25">
      <c r="A99" s="4" t="s">
        <v>197</v>
      </c>
      <c r="B99" s="4" t="s">
        <v>392</v>
      </c>
      <c r="C99" s="4">
        <v>107</v>
      </c>
      <c r="D99" s="4">
        <v>102</v>
      </c>
      <c r="E99" s="4">
        <v>131</v>
      </c>
      <c r="F99" s="4">
        <v>109</v>
      </c>
      <c r="G99" s="4">
        <v>116</v>
      </c>
      <c r="H99" s="4">
        <v>151</v>
      </c>
      <c r="I99" s="4">
        <v>147</v>
      </c>
      <c r="J99" s="4">
        <v>196</v>
      </c>
      <c r="K99" s="4">
        <v>120</v>
      </c>
      <c r="L99" s="4">
        <v>128</v>
      </c>
      <c r="M99" s="4">
        <v>134</v>
      </c>
      <c r="N99" s="4">
        <v>163</v>
      </c>
      <c r="O99" s="5">
        <f>SUM(Tabela323[[#This Row],[jan/23]:[dez/23]])</f>
        <v>1604</v>
      </c>
    </row>
    <row r="100" spans="1:15" x14ac:dyDescent="0.25">
      <c r="A100" s="4" t="s">
        <v>199</v>
      </c>
      <c r="B100" s="4" t="s">
        <v>250</v>
      </c>
      <c r="C100" s="4">
        <v>161</v>
      </c>
      <c r="D100" s="4">
        <v>258</v>
      </c>
      <c r="E100" s="4">
        <v>155</v>
      </c>
      <c r="F100" s="4">
        <v>121</v>
      </c>
      <c r="G100" s="4">
        <v>166</v>
      </c>
      <c r="H100" s="4">
        <v>133</v>
      </c>
      <c r="I100" s="4">
        <v>222</v>
      </c>
      <c r="J100" s="4">
        <v>141</v>
      </c>
      <c r="K100" s="4">
        <v>89</v>
      </c>
      <c r="L100" s="4">
        <v>54</v>
      </c>
      <c r="M100" s="4">
        <v>26</v>
      </c>
      <c r="N100" s="4">
        <v>20</v>
      </c>
      <c r="O100" s="5">
        <f>SUM(Tabela323[[#This Row],[jan/23]:[dez/23]])</f>
        <v>1546</v>
      </c>
    </row>
    <row r="101" spans="1:15" x14ac:dyDescent="0.25">
      <c r="A101" s="4" t="s">
        <v>201</v>
      </c>
      <c r="B101" s="4" t="s">
        <v>577</v>
      </c>
      <c r="C101" s="4">
        <v>87</v>
      </c>
      <c r="D101" s="4">
        <v>117</v>
      </c>
      <c r="E101" s="4">
        <v>130</v>
      </c>
      <c r="F101" s="4">
        <v>114</v>
      </c>
      <c r="G101" s="4">
        <v>107</v>
      </c>
      <c r="H101" s="4">
        <v>137</v>
      </c>
      <c r="I101" s="4">
        <v>139</v>
      </c>
      <c r="J101" s="4">
        <v>147</v>
      </c>
      <c r="K101" s="4">
        <v>138</v>
      </c>
      <c r="L101" s="4">
        <v>132</v>
      </c>
      <c r="M101" s="4">
        <v>128</v>
      </c>
      <c r="N101" s="4">
        <v>165</v>
      </c>
      <c r="O101" s="5">
        <f>SUM(Tabela323[[#This Row],[jan/23]:[dez/23]])</f>
        <v>1541</v>
      </c>
    </row>
    <row r="102" spans="1:15" x14ac:dyDescent="0.25">
      <c r="A102" s="4" t="s">
        <v>203</v>
      </c>
      <c r="B102" s="4" t="s">
        <v>136</v>
      </c>
      <c r="C102" s="4">
        <v>115</v>
      </c>
      <c r="D102" s="4">
        <v>73</v>
      </c>
      <c r="E102" s="4">
        <v>136</v>
      </c>
      <c r="F102" s="4">
        <v>167</v>
      </c>
      <c r="G102" s="4">
        <v>83</v>
      </c>
      <c r="H102" s="4">
        <v>107</v>
      </c>
      <c r="I102" s="4">
        <v>113</v>
      </c>
      <c r="J102" s="4">
        <v>156</v>
      </c>
      <c r="K102" s="4">
        <v>110</v>
      </c>
      <c r="L102" s="4">
        <v>169</v>
      </c>
      <c r="M102" s="4">
        <v>114</v>
      </c>
      <c r="N102" s="4">
        <v>165</v>
      </c>
      <c r="O102" s="5">
        <f>SUM(Tabela323[[#This Row],[jan/23]:[dez/23]])</f>
        <v>1508</v>
      </c>
    </row>
    <row r="103" spans="1:15" x14ac:dyDescent="0.25">
      <c r="A103" s="4" t="s">
        <v>205</v>
      </c>
      <c r="B103" s="4" t="s">
        <v>696</v>
      </c>
      <c r="C103" s="4">
        <v>100</v>
      </c>
      <c r="D103" s="4">
        <v>100</v>
      </c>
      <c r="E103" s="4">
        <v>150</v>
      </c>
      <c r="F103" s="4">
        <v>100</v>
      </c>
      <c r="G103" s="4">
        <v>138</v>
      </c>
      <c r="H103" s="4">
        <v>120</v>
      </c>
      <c r="I103" s="4">
        <v>100</v>
      </c>
      <c r="J103" s="4">
        <v>100</v>
      </c>
      <c r="K103" s="4">
        <v>120</v>
      </c>
      <c r="L103" s="4">
        <v>120</v>
      </c>
      <c r="M103" s="4">
        <v>100</v>
      </c>
      <c r="N103" s="4">
        <v>180</v>
      </c>
      <c r="O103" s="5">
        <f>SUM(Tabela323[[#This Row],[jan/23]:[dez/23]])</f>
        <v>1428</v>
      </c>
    </row>
    <row r="104" spans="1:15" x14ac:dyDescent="0.25">
      <c r="A104" s="4" t="s">
        <v>207</v>
      </c>
      <c r="B104" s="4" t="s">
        <v>741</v>
      </c>
      <c r="C104" s="4">
        <v>78</v>
      </c>
      <c r="D104" s="4">
        <v>60</v>
      </c>
      <c r="E104" s="4">
        <v>69</v>
      </c>
      <c r="F104" s="4">
        <v>70</v>
      </c>
      <c r="G104" s="4">
        <v>56</v>
      </c>
      <c r="H104" s="4">
        <v>49</v>
      </c>
      <c r="I104" s="4">
        <v>35</v>
      </c>
      <c r="J104" s="4">
        <v>31</v>
      </c>
      <c r="K104" s="4">
        <v>56</v>
      </c>
      <c r="L104" s="4">
        <v>47</v>
      </c>
      <c r="M104" s="4">
        <v>390</v>
      </c>
      <c r="N104" s="4">
        <v>477</v>
      </c>
      <c r="O104" s="5">
        <f>SUM(Tabela323[[#This Row],[jan/23]:[dez/23]])</f>
        <v>1418</v>
      </c>
    </row>
    <row r="105" spans="1:15" x14ac:dyDescent="0.25">
      <c r="A105" s="4" t="s">
        <v>209</v>
      </c>
      <c r="B105" s="4" t="s">
        <v>216</v>
      </c>
      <c r="C105" s="4">
        <v>91</v>
      </c>
      <c r="D105" s="4">
        <v>74</v>
      </c>
      <c r="E105" s="4">
        <v>104</v>
      </c>
      <c r="F105" s="4">
        <v>61</v>
      </c>
      <c r="G105" s="4">
        <v>88</v>
      </c>
      <c r="H105" s="4">
        <v>77</v>
      </c>
      <c r="I105" s="4">
        <v>143</v>
      </c>
      <c r="J105" s="4">
        <v>157</v>
      </c>
      <c r="K105" s="4">
        <v>130</v>
      </c>
      <c r="L105" s="4">
        <v>156</v>
      </c>
      <c r="M105" s="4">
        <v>164</v>
      </c>
      <c r="N105" s="4">
        <v>143</v>
      </c>
      <c r="O105" s="5">
        <f>SUM(Tabela323[[#This Row],[jan/23]:[dez/23]])</f>
        <v>1388</v>
      </c>
    </row>
    <row r="106" spans="1:15" x14ac:dyDescent="0.25">
      <c r="A106" s="4" t="s">
        <v>211</v>
      </c>
      <c r="B106" s="4" t="s">
        <v>424</v>
      </c>
      <c r="C106" s="4">
        <v>189</v>
      </c>
      <c r="D106" s="4">
        <v>128</v>
      </c>
      <c r="E106" s="4">
        <v>175</v>
      </c>
      <c r="F106" s="4">
        <v>48</v>
      </c>
      <c r="G106" s="4">
        <v>47</v>
      </c>
      <c r="H106" s="4">
        <v>62</v>
      </c>
      <c r="I106" s="4">
        <v>74</v>
      </c>
      <c r="J106" s="4">
        <v>56</v>
      </c>
      <c r="K106" s="4">
        <v>3</v>
      </c>
      <c r="L106" s="4">
        <v>231</v>
      </c>
      <c r="M106" s="4">
        <v>159</v>
      </c>
      <c r="N106" s="4">
        <v>82</v>
      </c>
      <c r="O106" s="5">
        <f>SUM(Tabela323[[#This Row],[jan/23]:[dez/23]])</f>
        <v>1254</v>
      </c>
    </row>
    <row r="107" spans="1:15" x14ac:dyDescent="0.25">
      <c r="A107" s="4" t="s">
        <v>213</v>
      </c>
      <c r="B107" s="4" t="s">
        <v>118</v>
      </c>
      <c r="C107" s="4"/>
      <c r="D107" s="4"/>
      <c r="E107" s="4"/>
      <c r="F107" s="4"/>
      <c r="G107" s="4"/>
      <c r="H107" s="4"/>
      <c r="I107" s="4"/>
      <c r="J107" s="4"/>
      <c r="K107" s="4"/>
      <c r="L107" s="4">
        <v>314</v>
      </c>
      <c r="M107" s="4">
        <v>480</v>
      </c>
      <c r="N107" s="4">
        <v>420</v>
      </c>
      <c r="O107" s="5">
        <f>SUM(Tabela323[[#This Row],[jan/23]:[dez/23]])</f>
        <v>1214</v>
      </c>
    </row>
    <row r="108" spans="1:15" x14ac:dyDescent="0.25">
      <c r="A108" s="4" t="s">
        <v>215</v>
      </c>
      <c r="B108" s="4" t="s">
        <v>677</v>
      </c>
      <c r="C108" s="4">
        <v>66</v>
      </c>
      <c r="D108" s="4">
        <v>54</v>
      </c>
      <c r="E108" s="4">
        <v>123</v>
      </c>
      <c r="F108" s="4">
        <v>76</v>
      </c>
      <c r="G108" s="4">
        <v>124</v>
      </c>
      <c r="H108" s="4">
        <v>166</v>
      </c>
      <c r="I108" s="4">
        <v>112</v>
      </c>
      <c r="J108" s="4">
        <v>94</v>
      </c>
      <c r="K108" s="4">
        <v>77</v>
      </c>
      <c r="L108" s="4">
        <v>111</v>
      </c>
      <c r="M108" s="4">
        <v>64</v>
      </c>
      <c r="N108" s="4">
        <v>51</v>
      </c>
      <c r="O108" s="5">
        <f>SUM(Tabela323[[#This Row],[jan/23]:[dez/23]])</f>
        <v>1118</v>
      </c>
    </row>
    <row r="109" spans="1:15" x14ac:dyDescent="0.25">
      <c r="A109" s="4" t="s">
        <v>217</v>
      </c>
      <c r="B109" s="4" t="s">
        <v>699</v>
      </c>
      <c r="C109" s="4">
        <v>75</v>
      </c>
      <c r="D109" s="4">
        <v>105</v>
      </c>
      <c r="E109" s="4">
        <v>95</v>
      </c>
      <c r="F109" s="4">
        <v>43</v>
      </c>
      <c r="G109" s="4">
        <v>55</v>
      </c>
      <c r="H109" s="4">
        <v>153</v>
      </c>
      <c r="I109" s="4">
        <v>68</v>
      </c>
      <c r="J109" s="4">
        <v>17</v>
      </c>
      <c r="K109" s="4">
        <v>5</v>
      </c>
      <c r="L109" s="4">
        <v>274</v>
      </c>
      <c r="M109" s="4">
        <v>89</v>
      </c>
      <c r="N109" s="4">
        <v>107</v>
      </c>
      <c r="O109" s="5">
        <f>SUM(Tabela323[[#This Row],[jan/23]:[dez/23]])</f>
        <v>1086</v>
      </c>
    </row>
    <row r="110" spans="1:15" x14ac:dyDescent="0.25">
      <c r="A110" s="4" t="s">
        <v>219</v>
      </c>
      <c r="B110" s="4" t="s">
        <v>264</v>
      </c>
      <c r="C110" s="4">
        <v>71</v>
      </c>
      <c r="D110" s="4">
        <v>69</v>
      </c>
      <c r="E110" s="4">
        <v>107</v>
      </c>
      <c r="F110" s="4">
        <v>82</v>
      </c>
      <c r="G110" s="4">
        <v>45</v>
      </c>
      <c r="H110" s="4">
        <v>112</v>
      </c>
      <c r="I110" s="4">
        <v>64</v>
      </c>
      <c r="J110" s="4">
        <v>97</v>
      </c>
      <c r="K110" s="4">
        <v>82</v>
      </c>
      <c r="L110" s="4">
        <v>148</v>
      </c>
      <c r="M110" s="4">
        <v>70</v>
      </c>
      <c r="N110" s="4">
        <v>125</v>
      </c>
      <c r="O110" s="5">
        <f>SUM(Tabela323[[#This Row],[jan/23]:[dez/23]])</f>
        <v>1072</v>
      </c>
    </row>
    <row r="111" spans="1:15" x14ac:dyDescent="0.25">
      <c r="A111" s="4" t="s">
        <v>221</v>
      </c>
      <c r="B111" s="4" t="s">
        <v>396</v>
      </c>
      <c r="C111" s="4"/>
      <c r="D111" s="4"/>
      <c r="E111" s="4"/>
      <c r="F111" s="4"/>
      <c r="G111" s="4"/>
      <c r="H111" s="4"/>
      <c r="I111" s="4"/>
      <c r="J111" s="4"/>
      <c r="K111" s="4">
        <v>173</v>
      </c>
      <c r="L111" s="4">
        <v>167</v>
      </c>
      <c r="M111" s="4">
        <v>241</v>
      </c>
      <c r="N111" s="4">
        <v>482</v>
      </c>
      <c r="O111" s="5">
        <f>SUM(Tabela323[[#This Row],[jan/23]:[dez/23]])</f>
        <v>1063</v>
      </c>
    </row>
    <row r="112" spans="1:15" x14ac:dyDescent="0.25">
      <c r="A112" s="4" t="s">
        <v>223</v>
      </c>
      <c r="B112" s="4" t="s">
        <v>346</v>
      </c>
      <c r="C112" s="4">
        <v>50</v>
      </c>
      <c r="D112" s="4">
        <v>29</v>
      </c>
      <c r="E112" s="4">
        <v>32</v>
      </c>
      <c r="F112" s="4">
        <v>40</v>
      </c>
      <c r="G112" s="4">
        <v>63</v>
      </c>
      <c r="H112" s="4">
        <v>115</v>
      </c>
      <c r="I112" s="4">
        <v>60</v>
      </c>
      <c r="J112" s="4">
        <v>228</v>
      </c>
      <c r="K112" s="4">
        <v>328</v>
      </c>
      <c r="L112" s="4">
        <v>21</v>
      </c>
      <c r="M112" s="4">
        <v>8</v>
      </c>
      <c r="N112" s="4">
        <v>22</v>
      </c>
      <c r="O112" s="5">
        <f>SUM(Tabela323[[#This Row],[jan/23]:[dez/23]])</f>
        <v>996</v>
      </c>
    </row>
    <row r="113" spans="1:15" x14ac:dyDescent="0.25">
      <c r="A113" s="4" t="s">
        <v>225</v>
      </c>
      <c r="B113" s="4" t="s">
        <v>683</v>
      </c>
      <c r="C113" s="4">
        <v>84</v>
      </c>
      <c r="D113" s="4">
        <v>47</v>
      </c>
      <c r="E113" s="4">
        <v>99</v>
      </c>
      <c r="F113" s="4">
        <v>98</v>
      </c>
      <c r="G113" s="4">
        <v>112</v>
      </c>
      <c r="H113" s="4">
        <v>138</v>
      </c>
      <c r="I113" s="4">
        <v>56</v>
      </c>
      <c r="J113" s="4">
        <v>47</v>
      </c>
      <c r="K113" s="4">
        <v>47</v>
      </c>
      <c r="L113" s="4">
        <v>69</v>
      </c>
      <c r="M113" s="4">
        <v>77</v>
      </c>
      <c r="N113" s="4">
        <v>91</v>
      </c>
      <c r="O113" s="5">
        <f>SUM(Tabela323[[#This Row],[jan/23]:[dez/23]])</f>
        <v>965</v>
      </c>
    </row>
    <row r="114" spans="1:15" x14ac:dyDescent="0.25">
      <c r="A114" s="4" t="s">
        <v>229</v>
      </c>
      <c r="B114" s="4" t="s">
        <v>517</v>
      </c>
      <c r="C114" s="4">
        <v>58</v>
      </c>
      <c r="D114" s="4">
        <v>57</v>
      </c>
      <c r="E114" s="4">
        <v>65</v>
      </c>
      <c r="F114" s="4">
        <v>68</v>
      </c>
      <c r="G114" s="4">
        <v>83</v>
      </c>
      <c r="H114" s="4">
        <v>54</v>
      </c>
      <c r="I114" s="4">
        <v>87</v>
      </c>
      <c r="J114" s="4">
        <v>101</v>
      </c>
      <c r="K114" s="4">
        <v>151</v>
      </c>
      <c r="L114" s="4">
        <v>56</v>
      </c>
      <c r="M114" s="4">
        <v>76</v>
      </c>
      <c r="N114" s="4">
        <v>83</v>
      </c>
      <c r="O114" s="5">
        <f>SUM(Tabela323[[#This Row],[jan/23]:[dez/23]])</f>
        <v>939</v>
      </c>
    </row>
    <row r="115" spans="1:15" x14ac:dyDescent="0.25">
      <c r="A115" s="4" t="s">
        <v>227</v>
      </c>
      <c r="B115" s="4" t="s">
        <v>514</v>
      </c>
      <c r="C115" s="4">
        <v>62</v>
      </c>
      <c r="D115" s="4">
        <v>54</v>
      </c>
      <c r="E115" s="4">
        <v>74</v>
      </c>
      <c r="F115" s="4">
        <v>57</v>
      </c>
      <c r="G115" s="4">
        <v>82</v>
      </c>
      <c r="H115" s="4">
        <v>121</v>
      </c>
      <c r="I115" s="4">
        <v>98</v>
      </c>
      <c r="J115" s="4">
        <v>112</v>
      </c>
      <c r="K115" s="4">
        <v>112</v>
      </c>
      <c r="L115" s="4">
        <v>63</v>
      </c>
      <c r="M115" s="4">
        <v>32</v>
      </c>
      <c r="N115" s="4">
        <v>48</v>
      </c>
      <c r="O115" s="5">
        <f>SUM(Tabela323[[#This Row],[jan/23]:[dez/23]])</f>
        <v>915</v>
      </c>
    </row>
    <row r="116" spans="1:15" x14ac:dyDescent="0.25">
      <c r="A116" s="4" t="s">
        <v>231</v>
      </c>
      <c r="B116" s="4" t="s">
        <v>242</v>
      </c>
      <c r="C116" s="4">
        <v>1</v>
      </c>
      <c r="D116" s="4"/>
      <c r="E116" s="4"/>
      <c r="F116" s="4"/>
      <c r="G116" s="4">
        <v>12</v>
      </c>
      <c r="H116" s="4">
        <v>10</v>
      </c>
      <c r="I116" s="4">
        <v>31</v>
      </c>
      <c r="J116" s="4">
        <v>247</v>
      </c>
      <c r="K116" s="4">
        <v>135</v>
      </c>
      <c r="L116" s="4">
        <v>104</v>
      </c>
      <c r="M116" s="4">
        <v>139</v>
      </c>
      <c r="N116" s="4">
        <v>182</v>
      </c>
      <c r="O116" s="5">
        <f>SUM(Tabela323[[#This Row],[jan/23]:[dez/23]])</f>
        <v>861</v>
      </c>
    </row>
    <row r="117" spans="1:15" x14ac:dyDescent="0.25">
      <c r="A117" s="4" t="s">
        <v>233</v>
      </c>
      <c r="B117" s="4" t="s">
        <v>270</v>
      </c>
      <c r="C117" s="4">
        <v>15</v>
      </c>
      <c r="D117" s="4">
        <v>73</v>
      </c>
      <c r="E117" s="4">
        <v>47</v>
      </c>
      <c r="F117" s="4">
        <v>58</v>
      </c>
      <c r="G117" s="4">
        <v>65</v>
      </c>
      <c r="H117" s="4">
        <v>79</v>
      </c>
      <c r="I117" s="4">
        <v>49</v>
      </c>
      <c r="J117" s="4">
        <v>36</v>
      </c>
      <c r="K117" s="4">
        <v>9</v>
      </c>
      <c r="L117" s="4">
        <v>110</v>
      </c>
      <c r="M117" s="4">
        <v>143</v>
      </c>
      <c r="N117" s="4">
        <v>129</v>
      </c>
      <c r="O117" s="5">
        <f>SUM(Tabela323[[#This Row],[jan/23]:[dez/23]])</f>
        <v>813</v>
      </c>
    </row>
    <row r="118" spans="1:15" x14ac:dyDescent="0.25">
      <c r="A118" s="4" t="s">
        <v>235</v>
      </c>
      <c r="B118" s="4" t="s">
        <v>280</v>
      </c>
      <c r="C118" s="4">
        <v>37</v>
      </c>
      <c r="D118" s="4">
        <v>47</v>
      </c>
      <c r="E118" s="4">
        <v>69</v>
      </c>
      <c r="F118" s="4">
        <v>64</v>
      </c>
      <c r="G118" s="4">
        <v>114</v>
      </c>
      <c r="H118" s="4">
        <v>60</v>
      </c>
      <c r="I118" s="4">
        <v>68</v>
      </c>
      <c r="J118" s="4">
        <v>70</v>
      </c>
      <c r="K118" s="4">
        <v>56</v>
      </c>
      <c r="L118" s="4">
        <v>42</v>
      </c>
      <c r="M118" s="4">
        <v>60</v>
      </c>
      <c r="N118" s="4">
        <v>73</v>
      </c>
      <c r="O118" s="5">
        <f>SUM(Tabela323[[#This Row],[jan/23]:[dez/23]])</f>
        <v>760</v>
      </c>
    </row>
    <row r="119" spans="1:15" x14ac:dyDescent="0.25">
      <c r="A119" s="4" t="s">
        <v>237</v>
      </c>
      <c r="B119" s="4" t="s">
        <v>690</v>
      </c>
      <c r="C119" s="4">
        <v>92</v>
      </c>
      <c r="D119" s="4">
        <v>92</v>
      </c>
      <c r="E119" s="4">
        <v>118</v>
      </c>
      <c r="F119" s="4">
        <v>165</v>
      </c>
      <c r="G119" s="4">
        <v>69</v>
      </c>
      <c r="H119" s="4">
        <v>73</v>
      </c>
      <c r="I119" s="4">
        <v>45</v>
      </c>
      <c r="J119" s="4">
        <v>38</v>
      </c>
      <c r="K119" s="4">
        <v>26</v>
      </c>
      <c r="L119" s="4">
        <v>18</v>
      </c>
      <c r="M119" s="4">
        <v>9</v>
      </c>
      <c r="N119" s="4">
        <v>9</v>
      </c>
      <c r="O119" s="5">
        <f>SUM(Tabela323[[#This Row],[jan/23]:[dez/23]])</f>
        <v>754</v>
      </c>
    </row>
    <row r="120" spans="1:15" x14ac:dyDescent="0.25">
      <c r="A120" s="4" t="s">
        <v>239</v>
      </c>
      <c r="B120" s="4" t="s">
        <v>585</v>
      </c>
      <c r="C120" s="4">
        <v>66</v>
      </c>
      <c r="D120" s="4">
        <v>52</v>
      </c>
      <c r="E120" s="4">
        <v>63</v>
      </c>
      <c r="F120" s="4">
        <v>53</v>
      </c>
      <c r="G120" s="4">
        <v>69</v>
      </c>
      <c r="H120" s="4">
        <v>57</v>
      </c>
      <c r="I120" s="4">
        <v>52</v>
      </c>
      <c r="J120" s="4">
        <v>64</v>
      </c>
      <c r="K120" s="4">
        <v>47</v>
      </c>
      <c r="L120" s="4">
        <v>38</v>
      </c>
      <c r="M120" s="4">
        <v>48</v>
      </c>
      <c r="N120" s="4">
        <v>42</v>
      </c>
      <c r="O120" s="5">
        <f>SUM(Tabela323[[#This Row],[jan/23]:[dez/23]])</f>
        <v>651</v>
      </c>
    </row>
    <row r="121" spans="1:15" x14ac:dyDescent="0.25">
      <c r="A121" s="4" t="s">
        <v>243</v>
      </c>
      <c r="B121" s="4" t="s">
        <v>294</v>
      </c>
      <c r="C121" s="4">
        <v>28</v>
      </c>
      <c r="D121" s="4">
        <v>57</v>
      </c>
      <c r="E121" s="4">
        <v>93</v>
      </c>
      <c r="F121" s="4">
        <v>58</v>
      </c>
      <c r="G121" s="4">
        <v>65</v>
      </c>
      <c r="H121" s="4">
        <v>45</v>
      </c>
      <c r="I121" s="4">
        <v>41</v>
      </c>
      <c r="J121" s="4">
        <v>47</v>
      </c>
      <c r="K121" s="4">
        <v>33</v>
      </c>
      <c r="L121" s="4">
        <v>53</v>
      </c>
      <c r="M121" s="4">
        <v>64</v>
      </c>
      <c r="N121" s="4">
        <v>53</v>
      </c>
      <c r="O121" s="5">
        <f>SUM(Tabela323[[#This Row],[jan/23]:[dez/23]])</f>
        <v>637</v>
      </c>
    </row>
    <row r="122" spans="1:15" x14ac:dyDescent="0.25">
      <c r="A122" s="4" t="s">
        <v>241</v>
      </c>
      <c r="B122" s="4" t="s">
        <v>448</v>
      </c>
      <c r="C122" s="4">
        <v>122</v>
      </c>
      <c r="D122" s="4">
        <v>112</v>
      </c>
      <c r="E122" s="4">
        <v>152</v>
      </c>
      <c r="F122" s="4">
        <v>91</v>
      </c>
      <c r="G122" s="4">
        <v>66</v>
      </c>
      <c r="H122" s="4">
        <v>37</v>
      </c>
      <c r="I122" s="4">
        <v>18</v>
      </c>
      <c r="J122" s="4">
        <v>15</v>
      </c>
      <c r="K122" s="4">
        <v>6</v>
      </c>
      <c r="L122" s="4">
        <v>5</v>
      </c>
      <c r="M122" s="4">
        <v>5</v>
      </c>
      <c r="N122" s="4">
        <v>5</v>
      </c>
      <c r="O122" s="5">
        <f>SUM(Tabela323[[#This Row],[jan/23]:[dez/23]])</f>
        <v>634</v>
      </c>
    </row>
    <row r="123" spans="1:15" x14ac:dyDescent="0.25">
      <c r="A123" s="4" t="s">
        <v>245</v>
      </c>
      <c r="B123" s="4" t="s">
        <v>695</v>
      </c>
      <c r="C123" s="4">
        <v>36</v>
      </c>
      <c r="D123" s="4">
        <v>39</v>
      </c>
      <c r="E123" s="4">
        <v>75</v>
      </c>
      <c r="F123" s="4">
        <v>82</v>
      </c>
      <c r="G123" s="4">
        <v>59</v>
      </c>
      <c r="H123" s="4">
        <v>68</v>
      </c>
      <c r="I123" s="4">
        <v>50</v>
      </c>
      <c r="J123" s="4">
        <v>66</v>
      </c>
      <c r="K123" s="4">
        <v>47</v>
      </c>
      <c r="L123" s="4">
        <v>36</v>
      </c>
      <c r="M123" s="4">
        <v>32</v>
      </c>
      <c r="N123" s="4">
        <v>40</v>
      </c>
      <c r="O123" s="5">
        <f>SUM(Tabela323[[#This Row],[jan/23]:[dez/23]])</f>
        <v>630</v>
      </c>
    </row>
    <row r="124" spans="1:15" x14ac:dyDescent="0.25">
      <c r="A124" s="4" t="s">
        <v>247</v>
      </c>
      <c r="B124" s="4" t="s">
        <v>565</v>
      </c>
      <c r="C124" s="4">
        <v>58</v>
      </c>
      <c r="D124" s="4">
        <v>52</v>
      </c>
      <c r="E124" s="4">
        <v>77</v>
      </c>
      <c r="F124" s="4">
        <v>57</v>
      </c>
      <c r="G124" s="4">
        <v>73</v>
      </c>
      <c r="H124" s="4">
        <v>72</v>
      </c>
      <c r="I124" s="4">
        <v>43</v>
      </c>
      <c r="J124" s="4">
        <v>67</v>
      </c>
      <c r="K124" s="4">
        <v>41</v>
      </c>
      <c r="L124" s="4">
        <v>31</v>
      </c>
      <c r="M124" s="4">
        <v>18</v>
      </c>
      <c r="N124" s="4">
        <v>37</v>
      </c>
      <c r="O124" s="5">
        <f>SUM(Tabela323[[#This Row],[jan/23]:[dez/23]])</f>
        <v>626</v>
      </c>
    </row>
    <row r="125" spans="1:15" x14ac:dyDescent="0.25">
      <c r="A125" s="4" t="s">
        <v>249</v>
      </c>
      <c r="B125" s="4" t="s">
        <v>508</v>
      </c>
      <c r="C125" s="4">
        <v>41</v>
      </c>
      <c r="D125" s="4">
        <v>78</v>
      </c>
      <c r="E125" s="4">
        <v>152</v>
      </c>
      <c r="F125" s="4">
        <v>84</v>
      </c>
      <c r="G125" s="4">
        <v>84</v>
      </c>
      <c r="H125" s="4">
        <v>98</v>
      </c>
      <c r="I125" s="4">
        <v>24</v>
      </c>
      <c r="J125" s="4">
        <v>23</v>
      </c>
      <c r="K125" s="4">
        <v>8</v>
      </c>
      <c r="L125" s="4">
        <v>8</v>
      </c>
      <c r="M125" s="4">
        <v>4</v>
      </c>
      <c r="N125" s="4">
        <v>2</v>
      </c>
      <c r="O125" s="5">
        <f>SUM(Tabela323[[#This Row],[jan/23]:[dez/23]])</f>
        <v>606</v>
      </c>
    </row>
    <row r="126" spans="1:15" x14ac:dyDescent="0.25">
      <c r="A126" s="4" t="s">
        <v>253</v>
      </c>
      <c r="B126" s="4" t="s">
        <v>238</v>
      </c>
      <c r="C126" s="4">
        <v>12</v>
      </c>
      <c r="D126" s="4">
        <v>12</v>
      </c>
      <c r="E126" s="4">
        <v>26</v>
      </c>
      <c r="F126" s="4">
        <v>15</v>
      </c>
      <c r="G126" s="4">
        <v>31</v>
      </c>
      <c r="H126" s="4">
        <v>52</v>
      </c>
      <c r="I126" s="4">
        <v>30</v>
      </c>
      <c r="J126" s="4">
        <v>49</v>
      </c>
      <c r="K126" s="4">
        <v>19</v>
      </c>
      <c r="L126" s="4">
        <v>35</v>
      </c>
      <c r="M126" s="4">
        <v>23</v>
      </c>
      <c r="N126" s="4">
        <v>300</v>
      </c>
      <c r="O126" s="5">
        <f>SUM(Tabela323[[#This Row],[jan/23]:[dez/23]])</f>
        <v>604</v>
      </c>
    </row>
    <row r="127" spans="1:15" x14ac:dyDescent="0.25">
      <c r="A127" s="4" t="s">
        <v>251</v>
      </c>
      <c r="B127" s="4" t="s">
        <v>252</v>
      </c>
      <c r="C127" s="4">
        <v>29</v>
      </c>
      <c r="D127" s="4">
        <v>29</v>
      </c>
      <c r="E127" s="4">
        <v>29</v>
      </c>
      <c r="F127" s="4">
        <v>32</v>
      </c>
      <c r="G127" s="4">
        <v>47</v>
      </c>
      <c r="H127" s="4">
        <v>48</v>
      </c>
      <c r="I127" s="4">
        <v>58</v>
      </c>
      <c r="J127" s="4">
        <v>89</v>
      </c>
      <c r="K127" s="4">
        <v>63</v>
      </c>
      <c r="L127" s="4">
        <v>51</v>
      </c>
      <c r="M127" s="4">
        <v>63</v>
      </c>
      <c r="N127" s="4">
        <v>60</v>
      </c>
      <c r="O127" s="5">
        <f>SUM(Tabela323[[#This Row],[jan/23]:[dez/23]])</f>
        <v>598</v>
      </c>
    </row>
    <row r="128" spans="1:15" x14ac:dyDescent="0.25">
      <c r="A128" s="4" t="s">
        <v>255</v>
      </c>
      <c r="B128" s="4" t="s">
        <v>222</v>
      </c>
      <c r="C128" s="4">
        <v>27</v>
      </c>
      <c r="D128" s="4">
        <v>32</v>
      </c>
      <c r="E128" s="4">
        <v>26</v>
      </c>
      <c r="F128" s="4">
        <v>52</v>
      </c>
      <c r="G128" s="4">
        <v>62</v>
      </c>
      <c r="H128" s="4">
        <v>71</v>
      </c>
      <c r="I128" s="4">
        <v>73</v>
      </c>
      <c r="J128" s="4">
        <v>58</v>
      </c>
      <c r="K128" s="4">
        <v>23</v>
      </c>
      <c r="L128" s="4">
        <v>61</v>
      </c>
      <c r="M128" s="4">
        <v>63</v>
      </c>
      <c r="N128" s="4">
        <v>50</v>
      </c>
      <c r="O128" s="5">
        <f>SUM(Tabela323[[#This Row],[jan/23]:[dez/23]])</f>
        <v>598</v>
      </c>
    </row>
    <row r="129" spans="1:15" x14ac:dyDescent="0.25">
      <c r="A129" s="4" t="s">
        <v>257</v>
      </c>
      <c r="B129" s="4" t="s">
        <v>202</v>
      </c>
      <c r="C129" s="4">
        <v>5</v>
      </c>
      <c r="D129" s="4">
        <v>3</v>
      </c>
      <c r="E129" s="4">
        <v>55</v>
      </c>
      <c r="F129" s="4">
        <v>53</v>
      </c>
      <c r="G129" s="4">
        <v>46</v>
      </c>
      <c r="H129" s="4">
        <v>62</v>
      </c>
      <c r="I129" s="4">
        <v>62</v>
      </c>
      <c r="J129" s="4">
        <v>60</v>
      </c>
      <c r="K129" s="4">
        <v>58</v>
      </c>
      <c r="L129" s="4">
        <v>38</v>
      </c>
      <c r="M129" s="4">
        <v>47</v>
      </c>
      <c r="N129" s="4">
        <v>104</v>
      </c>
      <c r="O129" s="5">
        <f>SUM(Tabela323[[#This Row],[jan/23]:[dez/23]])</f>
        <v>593</v>
      </c>
    </row>
    <row r="130" spans="1:15" x14ac:dyDescent="0.25">
      <c r="A130" s="4" t="s">
        <v>259</v>
      </c>
      <c r="B130" s="4" t="s">
        <v>518</v>
      </c>
      <c r="C130" s="4">
        <v>24</v>
      </c>
      <c r="D130" s="4">
        <v>20</v>
      </c>
      <c r="E130" s="4">
        <v>50</v>
      </c>
      <c r="F130" s="4">
        <v>50</v>
      </c>
      <c r="G130" s="4">
        <v>56</v>
      </c>
      <c r="H130" s="4">
        <v>61</v>
      </c>
      <c r="I130" s="4">
        <v>90</v>
      </c>
      <c r="J130" s="4">
        <v>70</v>
      </c>
      <c r="K130" s="4">
        <v>50</v>
      </c>
      <c r="L130" s="4">
        <v>50</v>
      </c>
      <c r="M130" s="4">
        <v>50</v>
      </c>
      <c r="N130" s="4">
        <v>20</v>
      </c>
      <c r="O130" s="5">
        <f>SUM(Tabela323[[#This Row],[jan/23]:[dez/23]])</f>
        <v>591</v>
      </c>
    </row>
    <row r="131" spans="1:15" x14ac:dyDescent="0.25">
      <c r="A131" s="4" t="s">
        <v>261</v>
      </c>
      <c r="B131" s="4" t="s">
        <v>652</v>
      </c>
      <c r="C131" s="4">
        <v>30</v>
      </c>
      <c r="D131" s="4">
        <v>36</v>
      </c>
      <c r="E131" s="4">
        <v>29</v>
      </c>
      <c r="F131" s="4">
        <v>43</v>
      </c>
      <c r="G131" s="4">
        <v>25</v>
      </c>
      <c r="H131" s="4">
        <v>14</v>
      </c>
      <c r="I131" s="4">
        <v>48</v>
      </c>
      <c r="J131" s="4">
        <v>32</v>
      </c>
      <c r="K131" s="4">
        <v>63</v>
      </c>
      <c r="L131" s="4">
        <v>96</v>
      </c>
      <c r="M131" s="4">
        <v>62</v>
      </c>
      <c r="N131" s="4">
        <v>66</v>
      </c>
      <c r="O131" s="5">
        <f>SUM(Tabela323[[#This Row],[jan/23]:[dez/23]])</f>
        <v>544</v>
      </c>
    </row>
    <row r="132" spans="1:15" x14ac:dyDescent="0.25">
      <c r="A132" s="4" t="s">
        <v>265</v>
      </c>
      <c r="B132" s="4" t="s">
        <v>176</v>
      </c>
      <c r="C132" s="4">
        <v>48</v>
      </c>
      <c r="D132" s="4">
        <v>32</v>
      </c>
      <c r="E132" s="4">
        <v>34</v>
      </c>
      <c r="F132" s="4">
        <v>22</v>
      </c>
      <c r="G132" s="4">
        <v>36</v>
      </c>
      <c r="H132" s="4">
        <v>31</v>
      </c>
      <c r="I132" s="4">
        <v>21</v>
      </c>
      <c r="J132" s="4">
        <v>51</v>
      </c>
      <c r="K132" s="4">
        <v>66</v>
      </c>
      <c r="L132" s="4">
        <v>79</v>
      </c>
      <c r="M132" s="4">
        <v>41</v>
      </c>
      <c r="N132" s="4">
        <v>68</v>
      </c>
      <c r="O132" s="5">
        <f>SUM(Tabela323[[#This Row],[jan/23]:[dez/23]])</f>
        <v>529</v>
      </c>
    </row>
    <row r="133" spans="1:15" x14ac:dyDescent="0.25">
      <c r="A133" s="4" t="s">
        <v>263</v>
      </c>
      <c r="B133" s="4" t="s">
        <v>666</v>
      </c>
      <c r="C133" s="4">
        <v>53</v>
      </c>
      <c r="D133" s="4">
        <v>33</v>
      </c>
      <c r="E133" s="4">
        <v>16</v>
      </c>
      <c r="F133" s="4">
        <v>3</v>
      </c>
      <c r="G133" s="4">
        <v>51</v>
      </c>
      <c r="H133" s="4">
        <v>91</v>
      </c>
      <c r="I133" s="4">
        <v>70</v>
      </c>
      <c r="J133" s="4">
        <v>56</v>
      </c>
      <c r="K133" s="4">
        <v>42</v>
      </c>
      <c r="L133" s="4">
        <v>15</v>
      </c>
      <c r="M133" s="4">
        <v>7</v>
      </c>
      <c r="N133" s="4">
        <v>33</v>
      </c>
      <c r="O133" s="5">
        <f>SUM(Tabela323[[#This Row],[jan/23]:[dez/23]])</f>
        <v>470</v>
      </c>
    </row>
    <row r="134" spans="1:15" x14ac:dyDescent="0.25">
      <c r="A134" s="4" t="s">
        <v>267</v>
      </c>
      <c r="B134" s="4" t="s">
        <v>697</v>
      </c>
      <c r="C134" s="4">
        <v>23</v>
      </c>
      <c r="D134" s="4">
        <v>24</v>
      </c>
      <c r="E134" s="4">
        <v>21</v>
      </c>
      <c r="F134" s="4">
        <v>58</v>
      </c>
      <c r="G134" s="4">
        <v>44</v>
      </c>
      <c r="H134" s="4">
        <v>22</v>
      </c>
      <c r="I134" s="4">
        <v>46</v>
      </c>
      <c r="J134" s="4">
        <v>67</v>
      </c>
      <c r="K134" s="4">
        <v>36</v>
      </c>
      <c r="L134" s="4">
        <v>32</v>
      </c>
      <c r="M134" s="4">
        <v>32</v>
      </c>
      <c r="N134" s="4">
        <v>62</v>
      </c>
      <c r="O134" s="5">
        <f>SUM(Tabela323[[#This Row],[jan/23]:[dez/23]])</f>
        <v>467</v>
      </c>
    </row>
    <row r="135" spans="1:15" x14ac:dyDescent="0.25">
      <c r="A135" s="4" t="s">
        <v>269</v>
      </c>
      <c r="B135" s="4" t="s">
        <v>662</v>
      </c>
      <c r="C135" s="4">
        <v>1</v>
      </c>
      <c r="D135" s="4">
        <v>1</v>
      </c>
      <c r="E135" s="4"/>
      <c r="F135" s="4"/>
      <c r="G135" s="4"/>
      <c r="H135" s="4">
        <v>5</v>
      </c>
      <c r="I135" s="4">
        <v>70</v>
      </c>
      <c r="J135" s="4">
        <v>64</v>
      </c>
      <c r="K135" s="4">
        <v>32</v>
      </c>
      <c r="L135" s="4">
        <v>46</v>
      </c>
      <c r="M135" s="4">
        <v>97</v>
      </c>
      <c r="N135" s="4">
        <v>138</v>
      </c>
      <c r="O135" s="5">
        <f>SUM(Tabela323[[#This Row],[jan/23]:[dez/23]])</f>
        <v>454</v>
      </c>
    </row>
    <row r="136" spans="1:15" x14ac:dyDescent="0.25">
      <c r="A136" s="4" t="s">
        <v>271</v>
      </c>
      <c r="B136" s="4" t="s">
        <v>562</v>
      </c>
      <c r="C136" s="4">
        <v>16</v>
      </c>
      <c r="D136" s="4">
        <v>36</v>
      </c>
      <c r="E136" s="4">
        <v>22</v>
      </c>
      <c r="F136" s="4">
        <v>32</v>
      </c>
      <c r="G136" s="4">
        <v>57</v>
      </c>
      <c r="H136" s="4">
        <v>41</v>
      </c>
      <c r="I136" s="4">
        <v>68</v>
      </c>
      <c r="J136" s="4">
        <v>50</v>
      </c>
      <c r="K136" s="4">
        <v>48</v>
      </c>
      <c r="L136" s="4">
        <v>28</v>
      </c>
      <c r="M136" s="4">
        <v>22</v>
      </c>
      <c r="N136" s="4">
        <v>20</v>
      </c>
      <c r="O136" s="5">
        <f>SUM(Tabela323[[#This Row],[jan/23]:[dez/23]])</f>
        <v>440</v>
      </c>
    </row>
    <row r="137" spans="1:15" x14ac:dyDescent="0.25">
      <c r="A137" s="4" t="s">
        <v>273</v>
      </c>
      <c r="B137" s="4" t="s">
        <v>581</v>
      </c>
      <c r="C137" s="4">
        <v>33</v>
      </c>
      <c r="D137" s="4">
        <v>25</v>
      </c>
      <c r="E137" s="4">
        <v>38</v>
      </c>
      <c r="F137" s="4">
        <v>55</v>
      </c>
      <c r="G137" s="4">
        <v>50</v>
      </c>
      <c r="H137" s="4">
        <v>40</v>
      </c>
      <c r="I137" s="4">
        <v>16</v>
      </c>
      <c r="J137" s="4">
        <v>42</v>
      </c>
      <c r="K137" s="4">
        <v>31</v>
      </c>
      <c r="L137" s="4">
        <v>38</v>
      </c>
      <c r="M137" s="4">
        <v>50</v>
      </c>
      <c r="N137" s="4">
        <v>20</v>
      </c>
      <c r="O137" s="5">
        <f>SUM(Tabela323[[#This Row],[jan/23]:[dez/23]])</f>
        <v>438</v>
      </c>
    </row>
    <row r="138" spans="1:15" x14ac:dyDescent="0.25">
      <c r="A138" s="4" t="s">
        <v>275</v>
      </c>
      <c r="B138" s="4" t="s">
        <v>172</v>
      </c>
      <c r="C138" s="4">
        <v>24</v>
      </c>
      <c r="D138" s="4">
        <v>20</v>
      </c>
      <c r="E138" s="4">
        <v>50</v>
      </c>
      <c r="F138" s="4">
        <v>31</v>
      </c>
      <c r="G138" s="4">
        <v>40</v>
      </c>
      <c r="H138" s="4">
        <v>46</v>
      </c>
      <c r="I138" s="4">
        <v>33</v>
      </c>
      <c r="J138" s="4">
        <v>34</v>
      </c>
      <c r="K138" s="4">
        <v>39</v>
      </c>
      <c r="L138" s="4">
        <v>42</v>
      </c>
      <c r="M138" s="4">
        <v>32</v>
      </c>
      <c r="N138" s="4">
        <v>31</v>
      </c>
      <c r="O138" s="5">
        <f>SUM(Tabela323[[#This Row],[jan/23]:[dez/23]])</f>
        <v>422</v>
      </c>
    </row>
    <row r="139" spans="1:15" x14ac:dyDescent="0.25">
      <c r="A139" s="4" t="s">
        <v>277</v>
      </c>
      <c r="B139" s="4" t="s">
        <v>613</v>
      </c>
      <c r="C139" s="4">
        <v>152</v>
      </c>
      <c r="D139" s="4">
        <v>99</v>
      </c>
      <c r="E139" s="4">
        <v>57</v>
      </c>
      <c r="F139" s="4">
        <v>22</v>
      </c>
      <c r="G139" s="4">
        <v>41</v>
      </c>
      <c r="H139" s="4">
        <v>19</v>
      </c>
      <c r="I139" s="4">
        <v>11</v>
      </c>
      <c r="J139" s="4">
        <v>8</v>
      </c>
      <c r="K139" s="4">
        <v>5</v>
      </c>
      <c r="L139" s="4">
        <v>6</v>
      </c>
      <c r="M139" s="4">
        <v>1</v>
      </c>
      <c r="N139" s="4">
        <v>1</v>
      </c>
      <c r="O139" s="5">
        <f>SUM(Tabela323[[#This Row],[jan/23]:[dez/23]])</f>
        <v>422</v>
      </c>
    </row>
    <row r="140" spans="1:15" x14ac:dyDescent="0.25">
      <c r="A140" s="4" t="s">
        <v>279</v>
      </c>
      <c r="B140" s="4" t="s">
        <v>348</v>
      </c>
      <c r="C140" s="4">
        <v>3</v>
      </c>
      <c r="D140" s="4">
        <v>7</v>
      </c>
      <c r="E140" s="4">
        <v>4</v>
      </c>
      <c r="F140" s="4">
        <v>3</v>
      </c>
      <c r="G140" s="4">
        <v>2</v>
      </c>
      <c r="H140" s="4">
        <v>1</v>
      </c>
      <c r="I140" s="4"/>
      <c r="J140" s="4">
        <v>23</v>
      </c>
      <c r="K140" s="4">
        <v>369</v>
      </c>
      <c r="L140" s="4">
        <v>5</v>
      </c>
      <c r="M140" s="4"/>
      <c r="N140" s="4">
        <v>2</v>
      </c>
      <c r="O140" s="5">
        <f>SUM(Tabela323[[#This Row],[jan/23]:[dez/23]])</f>
        <v>419</v>
      </c>
    </row>
    <row r="141" spans="1:15" x14ac:dyDescent="0.25">
      <c r="A141" s="4" t="s">
        <v>281</v>
      </c>
      <c r="B141" s="4" t="s">
        <v>352</v>
      </c>
      <c r="C141" s="4">
        <v>64</v>
      </c>
      <c r="D141" s="4">
        <v>119</v>
      </c>
      <c r="E141" s="4">
        <v>67</v>
      </c>
      <c r="F141" s="4">
        <v>45</v>
      </c>
      <c r="G141" s="4">
        <v>38</v>
      </c>
      <c r="H141" s="4">
        <v>17</v>
      </c>
      <c r="I141" s="4">
        <v>12</v>
      </c>
      <c r="J141" s="4">
        <v>18</v>
      </c>
      <c r="K141" s="4">
        <v>15</v>
      </c>
      <c r="L141" s="4">
        <v>7</v>
      </c>
      <c r="M141" s="4">
        <v>11</v>
      </c>
      <c r="N141" s="4">
        <v>3</v>
      </c>
      <c r="O141" s="5">
        <f>SUM(Tabela323[[#This Row],[jan/23]:[dez/23]])</f>
        <v>416</v>
      </c>
    </row>
    <row r="142" spans="1:15" x14ac:dyDescent="0.25">
      <c r="A142" s="4" t="s">
        <v>285</v>
      </c>
      <c r="B142" s="4" t="s">
        <v>551</v>
      </c>
      <c r="C142" s="4">
        <v>19</v>
      </c>
      <c r="D142" s="4">
        <v>13</v>
      </c>
      <c r="E142" s="4">
        <v>14</v>
      </c>
      <c r="F142" s="4">
        <v>8</v>
      </c>
      <c r="G142" s="4">
        <v>4</v>
      </c>
      <c r="H142" s="4">
        <v>2</v>
      </c>
      <c r="I142" s="4">
        <v>2</v>
      </c>
      <c r="J142" s="4">
        <v>4</v>
      </c>
      <c r="K142" s="4">
        <v>30</v>
      </c>
      <c r="L142" s="4">
        <v>84</v>
      </c>
      <c r="M142" s="4">
        <v>114</v>
      </c>
      <c r="N142" s="4">
        <v>122</v>
      </c>
      <c r="O142" s="5">
        <f>SUM(Tabela323[[#This Row],[jan/23]:[dez/23]])</f>
        <v>416</v>
      </c>
    </row>
    <row r="143" spans="1:15" x14ac:dyDescent="0.25">
      <c r="A143" s="4" t="s">
        <v>283</v>
      </c>
      <c r="B143" s="4" t="s">
        <v>673</v>
      </c>
      <c r="C143" s="4">
        <v>16</v>
      </c>
      <c r="D143" s="4">
        <v>28</v>
      </c>
      <c r="E143" s="4">
        <v>40</v>
      </c>
      <c r="F143" s="4">
        <v>27</v>
      </c>
      <c r="G143" s="4">
        <v>52</v>
      </c>
      <c r="H143" s="4">
        <v>23</v>
      </c>
      <c r="I143" s="4">
        <v>32</v>
      </c>
      <c r="J143" s="4">
        <v>33</v>
      </c>
      <c r="K143" s="4">
        <v>31</v>
      </c>
      <c r="L143" s="4">
        <v>41</v>
      </c>
      <c r="M143" s="4">
        <v>37</v>
      </c>
      <c r="N143" s="4">
        <v>38</v>
      </c>
      <c r="O143" s="5">
        <f>SUM(Tabela323[[#This Row],[jan/23]:[dez/23]])</f>
        <v>398</v>
      </c>
    </row>
    <row r="144" spans="1:15" x14ac:dyDescent="0.25">
      <c r="A144" s="4" t="s">
        <v>287</v>
      </c>
      <c r="B144" s="4" t="s">
        <v>156</v>
      </c>
      <c r="C144" s="4">
        <v>9</v>
      </c>
      <c r="D144" s="4">
        <v>6</v>
      </c>
      <c r="E144" s="4">
        <v>8</v>
      </c>
      <c r="F144" s="4">
        <v>5</v>
      </c>
      <c r="G144" s="4">
        <v>6</v>
      </c>
      <c r="H144" s="4">
        <v>1</v>
      </c>
      <c r="I144" s="4">
        <v>22</v>
      </c>
      <c r="J144" s="4">
        <v>91</v>
      </c>
      <c r="K144" s="4">
        <v>31</v>
      </c>
      <c r="L144" s="4">
        <v>50</v>
      </c>
      <c r="M144" s="4">
        <v>57</v>
      </c>
      <c r="N144" s="4">
        <v>98</v>
      </c>
      <c r="O144" s="5">
        <f>SUM(Tabela323[[#This Row],[jan/23]:[dez/23]])</f>
        <v>384</v>
      </c>
    </row>
    <row r="145" spans="1:15" x14ac:dyDescent="0.25">
      <c r="A145" s="4" t="s">
        <v>289</v>
      </c>
      <c r="B145" s="4" t="s">
        <v>679</v>
      </c>
      <c r="C145" s="4">
        <v>29</v>
      </c>
      <c r="D145" s="4">
        <v>25</v>
      </c>
      <c r="E145" s="4">
        <v>39</v>
      </c>
      <c r="F145" s="4">
        <v>21</v>
      </c>
      <c r="G145" s="4">
        <v>38</v>
      </c>
      <c r="H145" s="4">
        <v>40</v>
      </c>
      <c r="I145" s="4">
        <v>25</v>
      </c>
      <c r="J145" s="4">
        <v>38</v>
      </c>
      <c r="K145" s="4">
        <v>36</v>
      </c>
      <c r="L145" s="4">
        <v>26</v>
      </c>
      <c r="M145" s="4">
        <v>25</v>
      </c>
      <c r="N145" s="4">
        <v>37</v>
      </c>
      <c r="O145" s="5">
        <f>SUM(Tabela323[[#This Row],[jan/23]:[dez/23]])</f>
        <v>379</v>
      </c>
    </row>
    <row r="146" spans="1:15" x14ac:dyDescent="0.25">
      <c r="A146" s="4" t="s">
        <v>291</v>
      </c>
      <c r="B146" s="4" t="s">
        <v>212</v>
      </c>
      <c r="C146" s="4">
        <v>6</v>
      </c>
      <c r="D146" s="4">
        <v>3</v>
      </c>
      <c r="E146" s="4">
        <v>8</v>
      </c>
      <c r="F146" s="4">
        <v>10</v>
      </c>
      <c r="G146" s="4">
        <v>24</v>
      </c>
      <c r="H146" s="4">
        <v>43</v>
      </c>
      <c r="I146" s="4">
        <v>64</v>
      </c>
      <c r="J146" s="4">
        <v>47</v>
      </c>
      <c r="K146" s="4">
        <v>39</v>
      </c>
      <c r="L146" s="4">
        <v>44</v>
      </c>
      <c r="M146" s="4">
        <v>35</v>
      </c>
      <c r="N146" s="4">
        <v>46</v>
      </c>
      <c r="O146" s="5">
        <f>SUM(Tabela323[[#This Row],[jan/23]:[dez/23]])</f>
        <v>369</v>
      </c>
    </row>
    <row r="147" spans="1:15" x14ac:dyDescent="0.25">
      <c r="A147" s="4" t="s">
        <v>293</v>
      </c>
      <c r="B147" s="4" t="s">
        <v>332</v>
      </c>
      <c r="C147" s="4">
        <v>1</v>
      </c>
      <c r="D147" s="4">
        <v>2</v>
      </c>
      <c r="E147" s="4">
        <v>6</v>
      </c>
      <c r="F147" s="4">
        <v>22</v>
      </c>
      <c r="G147" s="4">
        <v>25</v>
      </c>
      <c r="H147" s="4">
        <v>47</v>
      </c>
      <c r="I147" s="4">
        <v>35</v>
      </c>
      <c r="J147" s="4">
        <v>61</v>
      </c>
      <c r="K147" s="4">
        <v>39</v>
      </c>
      <c r="L147" s="4">
        <v>52</v>
      </c>
      <c r="M147" s="4">
        <v>49</v>
      </c>
      <c r="N147" s="4">
        <v>29</v>
      </c>
      <c r="O147" s="5">
        <f>SUM(Tabela323[[#This Row],[jan/23]:[dez/23]])</f>
        <v>368</v>
      </c>
    </row>
    <row r="148" spans="1:15" x14ac:dyDescent="0.25">
      <c r="A148" s="4" t="s">
        <v>295</v>
      </c>
      <c r="B148" s="4" t="s">
        <v>573</v>
      </c>
      <c r="C148" s="4">
        <v>30</v>
      </c>
      <c r="D148" s="4">
        <v>45</v>
      </c>
      <c r="E148" s="4">
        <v>42</v>
      </c>
      <c r="F148" s="4">
        <v>26</v>
      </c>
      <c r="G148" s="4">
        <v>41</v>
      </c>
      <c r="H148" s="4">
        <v>37</v>
      </c>
      <c r="I148" s="4">
        <v>26</v>
      </c>
      <c r="J148" s="4">
        <v>26</v>
      </c>
      <c r="K148" s="4">
        <v>16</v>
      </c>
      <c r="L148" s="4">
        <v>10</v>
      </c>
      <c r="M148" s="4">
        <v>16</v>
      </c>
      <c r="N148" s="4">
        <v>49</v>
      </c>
      <c r="O148" s="5">
        <f>SUM(Tabela323[[#This Row],[jan/23]:[dez/23]])</f>
        <v>364</v>
      </c>
    </row>
    <row r="149" spans="1:15" x14ac:dyDescent="0.25">
      <c r="A149" s="4" t="s">
        <v>297</v>
      </c>
      <c r="B149" s="4" t="s">
        <v>186</v>
      </c>
      <c r="C149" s="4">
        <v>44</v>
      </c>
      <c r="D149" s="4">
        <v>34</v>
      </c>
      <c r="E149" s="4">
        <v>35</v>
      </c>
      <c r="F149" s="4">
        <v>33</v>
      </c>
      <c r="G149" s="4">
        <v>42</v>
      </c>
      <c r="H149" s="4">
        <v>24</v>
      </c>
      <c r="I149" s="4">
        <v>28</v>
      </c>
      <c r="J149" s="4">
        <v>21</v>
      </c>
      <c r="K149" s="4">
        <v>13</v>
      </c>
      <c r="L149" s="4">
        <v>37</v>
      </c>
      <c r="M149" s="4">
        <v>27</v>
      </c>
      <c r="N149" s="4">
        <v>26</v>
      </c>
      <c r="O149" s="5">
        <f>SUM(Tabela323[[#This Row],[jan/23]:[dez/23]])</f>
        <v>364</v>
      </c>
    </row>
    <row r="150" spans="1:15" x14ac:dyDescent="0.25">
      <c r="A150" s="4" t="s">
        <v>299</v>
      </c>
      <c r="B150" s="4" t="s">
        <v>268</v>
      </c>
      <c r="C150" s="4">
        <v>9</v>
      </c>
      <c r="D150" s="4">
        <v>9</v>
      </c>
      <c r="E150" s="4">
        <v>12</v>
      </c>
      <c r="F150" s="4">
        <v>29</v>
      </c>
      <c r="G150" s="4">
        <v>18</v>
      </c>
      <c r="H150" s="4">
        <v>32</v>
      </c>
      <c r="I150" s="4">
        <v>70</v>
      </c>
      <c r="J150" s="4">
        <v>47</v>
      </c>
      <c r="K150" s="4">
        <v>59</v>
      </c>
      <c r="L150" s="4">
        <v>20</v>
      </c>
      <c r="M150" s="4">
        <v>5</v>
      </c>
      <c r="N150" s="4">
        <v>24</v>
      </c>
      <c r="O150" s="5">
        <f>SUM(Tabela323[[#This Row],[jan/23]:[dez/23]])</f>
        <v>334</v>
      </c>
    </row>
    <row r="151" spans="1:15" x14ac:dyDescent="0.25">
      <c r="A151" s="4" t="s">
        <v>301</v>
      </c>
      <c r="B151" s="4" t="s">
        <v>290</v>
      </c>
      <c r="C151" s="4">
        <v>20</v>
      </c>
      <c r="D151" s="4">
        <v>12</v>
      </c>
      <c r="E151" s="4">
        <v>25</v>
      </c>
      <c r="F151" s="4">
        <v>17</v>
      </c>
      <c r="G151" s="4">
        <v>27</v>
      </c>
      <c r="H151" s="4">
        <v>31</v>
      </c>
      <c r="I151" s="4">
        <v>27</v>
      </c>
      <c r="J151" s="4">
        <v>30</v>
      </c>
      <c r="K151" s="4">
        <v>24</v>
      </c>
      <c r="L151" s="4">
        <v>36</v>
      </c>
      <c r="M151" s="4">
        <v>26</v>
      </c>
      <c r="N151" s="4">
        <v>55</v>
      </c>
      <c r="O151" s="5">
        <f>SUM(Tabela323[[#This Row],[jan/23]:[dez/23]])</f>
        <v>330</v>
      </c>
    </row>
    <row r="152" spans="1:15" x14ac:dyDescent="0.25">
      <c r="A152" s="4" t="s">
        <v>303</v>
      </c>
      <c r="B152" s="4" t="s">
        <v>386</v>
      </c>
      <c r="C152" s="4">
        <v>17</v>
      </c>
      <c r="D152" s="4">
        <v>19</v>
      </c>
      <c r="E152" s="4">
        <v>35</v>
      </c>
      <c r="F152" s="4">
        <v>37</v>
      </c>
      <c r="G152" s="4">
        <v>28</v>
      </c>
      <c r="H152" s="4">
        <v>40</v>
      </c>
      <c r="I152" s="4">
        <v>26</v>
      </c>
      <c r="J152" s="4">
        <v>22</v>
      </c>
      <c r="K152" s="4">
        <v>11</v>
      </c>
      <c r="L152" s="4">
        <v>31</v>
      </c>
      <c r="M152" s="4">
        <v>29</v>
      </c>
      <c r="N152" s="4">
        <v>35</v>
      </c>
      <c r="O152" s="5">
        <f>SUM(Tabela323[[#This Row],[jan/23]:[dez/23]])</f>
        <v>330</v>
      </c>
    </row>
    <row r="153" spans="1:15" x14ac:dyDescent="0.25">
      <c r="A153" s="4" t="s">
        <v>305</v>
      </c>
      <c r="B153" s="4" t="s">
        <v>428</v>
      </c>
      <c r="C153" s="4">
        <v>60</v>
      </c>
      <c r="D153" s="4">
        <v>8</v>
      </c>
      <c r="E153" s="4">
        <v>100</v>
      </c>
      <c r="F153" s="4">
        <v>28</v>
      </c>
      <c r="G153" s="4">
        <v>39</v>
      </c>
      <c r="H153" s="4">
        <v>40</v>
      </c>
      <c r="I153" s="4">
        <v>20</v>
      </c>
      <c r="J153" s="4">
        <v>12</v>
      </c>
      <c r="K153" s="4">
        <v>10</v>
      </c>
      <c r="L153" s="4">
        <v>3</v>
      </c>
      <c r="M153" s="4">
        <v>6</v>
      </c>
      <c r="N153" s="4">
        <v>1</v>
      </c>
      <c r="O153" s="5">
        <f>SUM(Tabela323[[#This Row],[jan/23]:[dez/23]])</f>
        <v>327</v>
      </c>
    </row>
    <row r="154" spans="1:15" x14ac:dyDescent="0.25">
      <c r="A154" s="4" t="s">
        <v>307</v>
      </c>
      <c r="B154" s="4" t="s">
        <v>218</v>
      </c>
      <c r="C154" s="4">
        <v>33</v>
      </c>
      <c r="D154" s="4">
        <v>25</v>
      </c>
      <c r="E154" s="4">
        <v>31</v>
      </c>
      <c r="F154" s="4">
        <v>25</v>
      </c>
      <c r="G154" s="4">
        <v>25</v>
      </c>
      <c r="H154" s="4">
        <v>21</v>
      </c>
      <c r="I154" s="4">
        <v>29</v>
      </c>
      <c r="J154" s="4">
        <v>31</v>
      </c>
      <c r="K154" s="4">
        <v>27</v>
      </c>
      <c r="L154" s="4">
        <v>25</v>
      </c>
      <c r="M154" s="4">
        <v>25</v>
      </c>
      <c r="N154" s="4">
        <v>30</v>
      </c>
      <c r="O154" s="5">
        <f>SUM(Tabela323[[#This Row],[jan/23]:[dez/23]])</f>
        <v>327</v>
      </c>
    </row>
    <row r="155" spans="1:15" x14ac:dyDescent="0.25">
      <c r="A155" s="4" t="s">
        <v>311</v>
      </c>
      <c r="B155" s="4" t="s">
        <v>436</v>
      </c>
      <c r="C155" s="4">
        <v>30</v>
      </c>
      <c r="D155" s="4">
        <v>28</v>
      </c>
      <c r="E155" s="4">
        <v>34</v>
      </c>
      <c r="F155" s="4">
        <v>17</v>
      </c>
      <c r="G155" s="4">
        <v>35</v>
      </c>
      <c r="H155" s="4">
        <v>29</v>
      </c>
      <c r="I155" s="4">
        <v>32</v>
      </c>
      <c r="J155" s="4">
        <v>18</v>
      </c>
      <c r="K155" s="4">
        <v>24</v>
      </c>
      <c r="L155" s="4">
        <v>20</v>
      </c>
      <c r="M155" s="4">
        <v>21</v>
      </c>
      <c r="N155" s="4">
        <v>23</v>
      </c>
      <c r="O155" s="5">
        <f>SUM(Tabela323[[#This Row],[jan/23]:[dez/23]])</f>
        <v>311</v>
      </c>
    </row>
    <row r="156" spans="1:15" x14ac:dyDescent="0.25">
      <c r="A156" s="4" t="s">
        <v>309</v>
      </c>
      <c r="B156" s="4" t="s">
        <v>545</v>
      </c>
      <c r="C156" s="4">
        <v>34</v>
      </c>
      <c r="D156" s="4">
        <v>14</v>
      </c>
      <c r="E156" s="4">
        <v>19</v>
      </c>
      <c r="F156" s="4">
        <v>16</v>
      </c>
      <c r="G156" s="4">
        <v>12</v>
      </c>
      <c r="H156" s="4">
        <v>32</v>
      </c>
      <c r="I156" s="4">
        <v>23</v>
      </c>
      <c r="J156" s="4">
        <v>30</v>
      </c>
      <c r="K156" s="4">
        <v>17</v>
      </c>
      <c r="L156" s="4">
        <v>46</v>
      </c>
      <c r="M156" s="4">
        <v>36</v>
      </c>
      <c r="N156" s="4">
        <v>30</v>
      </c>
      <c r="O156" s="5">
        <f>SUM(Tabela323[[#This Row],[jan/23]:[dez/23]])</f>
        <v>309</v>
      </c>
    </row>
    <row r="157" spans="1:15" x14ac:dyDescent="0.25">
      <c r="A157" s="4" t="s">
        <v>313</v>
      </c>
      <c r="B157" s="4" t="s">
        <v>144</v>
      </c>
      <c r="C157" s="4">
        <v>22</v>
      </c>
      <c r="D157" s="4">
        <v>16</v>
      </c>
      <c r="E157" s="4">
        <v>31</v>
      </c>
      <c r="F157" s="4">
        <v>17</v>
      </c>
      <c r="G157" s="4">
        <v>38</v>
      </c>
      <c r="H157" s="4">
        <v>32</v>
      </c>
      <c r="I157" s="4">
        <v>30</v>
      </c>
      <c r="J157" s="4">
        <v>29</v>
      </c>
      <c r="K157" s="4">
        <v>27</v>
      </c>
      <c r="L157" s="4">
        <v>29</v>
      </c>
      <c r="M157" s="4">
        <v>26</v>
      </c>
      <c r="N157" s="4">
        <v>12</v>
      </c>
      <c r="O157" s="5">
        <f>SUM(Tabela323[[#This Row],[jan/23]:[dez/23]])</f>
        <v>309</v>
      </c>
    </row>
    <row r="158" spans="1:15" x14ac:dyDescent="0.25">
      <c r="A158" s="4" t="s">
        <v>317</v>
      </c>
      <c r="B158" s="4" t="s">
        <v>667</v>
      </c>
      <c r="C158" s="4">
        <v>36</v>
      </c>
      <c r="D158" s="4">
        <v>90</v>
      </c>
      <c r="E158" s="4">
        <v>18</v>
      </c>
      <c r="F158" s="4">
        <v>50</v>
      </c>
      <c r="G158" s="4">
        <v>50</v>
      </c>
      <c r="H158" s="4">
        <v>16</v>
      </c>
      <c r="I158" s="4">
        <v>12</v>
      </c>
      <c r="J158" s="4">
        <v>10</v>
      </c>
      <c r="K158" s="4">
        <v>1</v>
      </c>
      <c r="L158" s="4">
        <v>6</v>
      </c>
      <c r="M158" s="4"/>
      <c r="N158" s="4">
        <v>5</v>
      </c>
      <c r="O158" s="5">
        <f>SUM(Tabela323[[#This Row],[jan/23]:[dez/23]])</f>
        <v>294</v>
      </c>
    </row>
    <row r="159" spans="1:15" x14ac:dyDescent="0.25">
      <c r="A159" s="4" t="s">
        <v>315</v>
      </c>
      <c r="B159" s="4" t="s">
        <v>640</v>
      </c>
      <c r="C159" s="4">
        <v>36</v>
      </c>
      <c r="D159" s="4">
        <v>34</v>
      </c>
      <c r="E159" s="4">
        <v>50</v>
      </c>
      <c r="F159" s="4">
        <v>24</v>
      </c>
      <c r="G159" s="4">
        <v>23</v>
      </c>
      <c r="H159" s="4">
        <v>31</v>
      </c>
      <c r="I159" s="4">
        <v>39</v>
      </c>
      <c r="J159" s="4">
        <v>27</v>
      </c>
      <c r="K159" s="4">
        <v>10</v>
      </c>
      <c r="L159" s="4">
        <v>9</v>
      </c>
      <c r="M159" s="4">
        <v>5</v>
      </c>
      <c r="N159" s="4">
        <v>2</v>
      </c>
      <c r="O159" s="5">
        <f>SUM(Tabela323[[#This Row],[jan/23]:[dez/23]])</f>
        <v>290</v>
      </c>
    </row>
    <row r="160" spans="1:15" x14ac:dyDescent="0.25">
      <c r="A160" s="4" t="s">
        <v>319</v>
      </c>
      <c r="B160" s="4" t="s">
        <v>742</v>
      </c>
      <c r="C160" s="4">
        <v>35</v>
      </c>
      <c r="D160" s="4">
        <v>27</v>
      </c>
      <c r="E160" s="4">
        <v>29</v>
      </c>
      <c r="F160" s="4">
        <v>23</v>
      </c>
      <c r="G160" s="4">
        <v>41</v>
      </c>
      <c r="H160" s="4">
        <v>25</v>
      </c>
      <c r="I160" s="4">
        <v>18</v>
      </c>
      <c r="J160" s="4">
        <v>29</v>
      </c>
      <c r="K160" s="4">
        <v>11</v>
      </c>
      <c r="L160" s="4">
        <v>9</v>
      </c>
      <c r="M160" s="4">
        <v>20</v>
      </c>
      <c r="N160" s="4">
        <v>19</v>
      </c>
      <c r="O160" s="5">
        <f>SUM(Tabela323[[#This Row],[jan/23]:[dez/23]])</f>
        <v>286</v>
      </c>
    </row>
    <row r="161" spans="1:15" x14ac:dyDescent="0.25">
      <c r="A161" s="4" t="s">
        <v>321</v>
      </c>
      <c r="B161" s="4" t="s">
        <v>224</v>
      </c>
      <c r="C161" s="4">
        <v>42</v>
      </c>
      <c r="D161" s="4">
        <v>18</v>
      </c>
      <c r="E161" s="4">
        <v>29</v>
      </c>
      <c r="F161" s="4">
        <v>43</v>
      </c>
      <c r="G161" s="4">
        <v>47</v>
      </c>
      <c r="H161" s="4">
        <v>29</v>
      </c>
      <c r="I161" s="4">
        <v>19</v>
      </c>
      <c r="J161" s="4">
        <v>15</v>
      </c>
      <c r="K161" s="4">
        <v>12</v>
      </c>
      <c r="L161" s="4">
        <v>6</v>
      </c>
      <c r="M161" s="4">
        <v>4</v>
      </c>
      <c r="N161" s="4">
        <v>4</v>
      </c>
      <c r="O161" s="5">
        <f>SUM(Tabela323[[#This Row],[jan/23]:[dez/23]])</f>
        <v>268</v>
      </c>
    </row>
    <row r="162" spans="1:15" x14ac:dyDescent="0.25">
      <c r="A162" s="4" t="s">
        <v>323</v>
      </c>
      <c r="B162" s="4" t="s">
        <v>583</v>
      </c>
      <c r="C162" s="4">
        <v>17</v>
      </c>
      <c r="D162" s="4">
        <v>13</v>
      </c>
      <c r="E162" s="4">
        <v>33</v>
      </c>
      <c r="F162" s="4">
        <v>24</v>
      </c>
      <c r="G162" s="4">
        <v>33</v>
      </c>
      <c r="H162" s="4">
        <v>49</v>
      </c>
      <c r="I162" s="4">
        <v>34</v>
      </c>
      <c r="J162" s="4">
        <v>12</v>
      </c>
      <c r="K162" s="4">
        <v>8</v>
      </c>
      <c r="L162" s="4">
        <v>15</v>
      </c>
      <c r="M162" s="4">
        <v>9</v>
      </c>
      <c r="N162" s="4">
        <v>10</v>
      </c>
      <c r="O162" s="5">
        <f>SUM(Tabela323[[#This Row],[jan/23]:[dez/23]])</f>
        <v>257</v>
      </c>
    </row>
    <row r="163" spans="1:15" x14ac:dyDescent="0.25">
      <c r="A163" s="4" t="s">
        <v>325</v>
      </c>
      <c r="B163" s="4" t="s">
        <v>669</v>
      </c>
      <c r="C163" s="4">
        <v>7</v>
      </c>
      <c r="D163" s="4">
        <v>5</v>
      </c>
      <c r="E163" s="4">
        <v>5</v>
      </c>
      <c r="F163" s="4">
        <v>9</v>
      </c>
      <c r="G163" s="4">
        <v>12</v>
      </c>
      <c r="H163" s="4">
        <v>24</v>
      </c>
      <c r="I163" s="4">
        <v>10</v>
      </c>
      <c r="J163" s="4">
        <v>19</v>
      </c>
      <c r="K163" s="4">
        <v>16</v>
      </c>
      <c r="L163" s="4">
        <v>19</v>
      </c>
      <c r="M163" s="4">
        <v>48</v>
      </c>
      <c r="N163" s="4">
        <v>56</v>
      </c>
      <c r="O163" s="5">
        <f>SUM(Tabela323[[#This Row],[jan/23]:[dez/23]])</f>
        <v>230</v>
      </c>
    </row>
    <row r="164" spans="1:15" x14ac:dyDescent="0.25">
      <c r="A164" s="4" t="s">
        <v>329</v>
      </c>
      <c r="B164" s="4" t="s">
        <v>675</v>
      </c>
      <c r="C164" s="4">
        <v>11</v>
      </c>
      <c r="D164" s="4">
        <v>13</v>
      </c>
      <c r="E164" s="4">
        <v>7</v>
      </c>
      <c r="F164" s="4">
        <v>5</v>
      </c>
      <c r="G164" s="4">
        <v>1</v>
      </c>
      <c r="H164" s="4">
        <v>2</v>
      </c>
      <c r="I164" s="4">
        <v>20</v>
      </c>
      <c r="J164" s="4">
        <v>32</v>
      </c>
      <c r="K164" s="4">
        <v>26</v>
      </c>
      <c r="L164" s="4">
        <v>41</v>
      </c>
      <c r="M164" s="4">
        <v>24</v>
      </c>
      <c r="N164" s="4">
        <v>38</v>
      </c>
      <c r="O164" s="5">
        <f>SUM(Tabela323[[#This Row],[jan/23]:[dez/23]])</f>
        <v>220</v>
      </c>
    </row>
    <row r="165" spans="1:15" x14ac:dyDescent="0.25">
      <c r="A165" s="4" t="s">
        <v>327</v>
      </c>
      <c r="B165" s="4" t="s">
        <v>744</v>
      </c>
      <c r="C165" s="4">
        <v>19</v>
      </c>
      <c r="D165" s="4">
        <v>20</v>
      </c>
      <c r="E165" s="4">
        <v>25</v>
      </c>
      <c r="F165" s="4">
        <v>17</v>
      </c>
      <c r="G165" s="4">
        <v>26</v>
      </c>
      <c r="H165" s="4">
        <v>21</v>
      </c>
      <c r="I165" s="4">
        <v>16</v>
      </c>
      <c r="J165" s="4">
        <v>16</v>
      </c>
      <c r="K165" s="4">
        <v>10</v>
      </c>
      <c r="L165" s="4">
        <v>5</v>
      </c>
      <c r="M165" s="4">
        <v>21</v>
      </c>
      <c r="N165" s="4">
        <v>11</v>
      </c>
      <c r="O165" s="5">
        <f>SUM(Tabela323[[#This Row],[jan/23]:[dez/23]])</f>
        <v>207</v>
      </c>
    </row>
    <row r="166" spans="1:15" x14ac:dyDescent="0.25">
      <c r="A166" s="4" t="s">
        <v>331</v>
      </c>
      <c r="B166" s="4" t="s">
        <v>787</v>
      </c>
      <c r="C166" s="4">
        <v>26</v>
      </c>
      <c r="D166" s="4">
        <v>33</v>
      </c>
      <c r="E166" s="4">
        <v>51</v>
      </c>
      <c r="F166" s="4">
        <v>38</v>
      </c>
      <c r="G166" s="4">
        <v>28</v>
      </c>
      <c r="H166" s="4">
        <v>8</v>
      </c>
      <c r="I166" s="4">
        <v>3</v>
      </c>
      <c r="J166" s="4">
        <v>1</v>
      </c>
      <c r="K166" s="4"/>
      <c r="L166" s="4"/>
      <c r="M166" s="4">
        <v>1</v>
      </c>
      <c r="N166" s="4">
        <v>1</v>
      </c>
      <c r="O166" s="5">
        <f>SUM(Tabela323[[#This Row],[jan/23]:[dez/23]])</f>
        <v>190</v>
      </c>
    </row>
    <row r="167" spans="1:15" x14ac:dyDescent="0.25">
      <c r="A167" s="4" t="s">
        <v>335</v>
      </c>
      <c r="B167" s="4" t="s">
        <v>246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>
        <v>187</v>
      </c>
      <c r="O167" s="5">
        <f>SUM(Tabela323[[#This Row],[jan/23]:[dez/23]])</f>
        <v>187</v>
      </c>
    </row>
    <row r="168" spans="1:15" x14ac:dyDescent="0.25">
      <c r="A168" s="4" t="s">
        <v>333</v>
      </c>
      <c r="B168" s="4" t="s">
        <v>326</v>
      </c>
      <c r="C168" s="4">
        <v>25</v>
      </c>
      <c r="D168" s="4">
        <v>20</v>
      </c>
      <c r="E168" s="4">
        <v>23</v>
      </c>
      <c r="F168" s="4">
        <v>12</v>
      </c>
      <c r="G168" s="4">
        <v>11</v>
      </c>
      <c r="H168" s="4">
        <v>14</v>
      </c>
      <c r="I168" s="4">
        <v>13</v>
      </c>
      <c r="J168" s="4">
        <v>8</v>
      </c>
      <c r="K168" s="4">
        <v>8</v>
      </c>
      <c r="L168" s="4">
        <v>16</v>
      </c>
      <c r="M168" s="4">
        <v>13</v>
      </c>
      <c r="N168" s="4">
        <v>20</v>
      </c>
      <c r="O168" s="5">
        <f>SUM(Tabela323[[#This Row],[jan/23]:[dez/23]])</f>
        <v>183</v>
      </c>
    </row>
    <row r="169" spans="1:15" x14ac:dyDescent="0.25">
      <c r="A169" s="4" t="s">
        <v>337</v>
      </c>
      <c r="B169" s="4" t="s">
        <v>204</v>
      </c>
      <c r="C169" s="4">
        <v>13</v>
      </c>
      <c r="D169" s="4">
        <v>16</v>
      </c>
      <c r="E169" s="4">
        <v>9</v>
      </c>
      <c r="F169" s="4">
        <v>13</v>
      </c>
      <c r="G169" s="4">
        <v>15</v>
      </c>
      <c r="H169" s="4">
        <v>26</v>
      </c>
      <c r="I169" s="4">
        <v>7</v>
      </c>
      <c r="J169" s="4">
        <v>22</v>
      </c>
      <c r="K169" s="4">
        <v>21</v>
      </c>
      <c r="L169" s="4">
        <v>11</v>
      </c>
      <c r="M169" s="4">
        <v>17</v>
      </c>
      <c r="N169" s="4">
        <v>12</v>
      </c>
      <c r="O169" s="5">
        <f>SUM(Tabela323[[#This Row],[jan/23]:[dez/23]])</f>
        <v>182</v>
      </c>
    </row>
    <row r="170" spans="1:15" x14ac:dyDescent="0.25">
      <c r="A170" s="4" t="s">
        <v>341</v>
      </c>
      <c r="B170" s="4" t="s">
        <v>665</v>
      </c>
      <c r="C170" s="4">
        <v>7</v>
      </c>
      <c r="D170" s="4">
        <v>9</v>
      </c>
      <c r="E170" s="4">
        <v>18</v>
      </c>
      <c r="F170" s="4">
        <v>8</v>
      </c>
      <c r="G170" s="4">
        <v>4</v>
      </c>
      <c r="H170" s="4">
        <v>19</v>
      </c>
      <c r="I170" s="4">
        <v>12</v>
      </c>
      <c r="J170" s="4">
        <v>11</v>
      </c>
      <c r="K170" s="4">
        <v>5</v>
      </c>
      <c r="L170" s="4">
        <v>12</v>
      </c>
      <c r="M170" s="4">
        <v>13</v>
      </c>
      <c r="N170" s="4">
        <v>50</v>
      </c>
      <c r="O170" s="5">
        <f>SUM(Tabela323[[#This Row],[jan/23]:[dez/23]])</f>
        <v>168</v>
      </c>
    </row>
    <row r="171" spans="1:15" x14ac:dyDescent="0.25">
      <c r="A171" s="4" t="s">
        <v>339</v>
      </c>
      <c r="B171" s="4" t="s">
        <v>596</v>
      </c>
      <c r="C171" s="4">
        <v>10</v>
      </c>
      <c r="D171" s="4">
        <v>16</v>
      </c>
      <c r="E171" s="4">
        <v>17</v>
      </c>
      <c r="F171" s="4">
        <v>18</v>
      </c>
      <c r="G171" s="4">
        <v>21</v>
      </c>
      <c r="H171" s="4">
        <v>14</v>
      </c>
      <c r="I171" s="4">
        <v>20</v>
      </c>
      <c r="J171" s="4">
        <v>19</v>
      </c>
      <c r="K171" s="4">
        <v>16</v>
      </c>
      <c r="L171" s="4">
        <v>8</v>
      </c>
      <c r="M171" s="4">
        <v>3</v>
      </c>
      <c r="N171" s="4">
        <v>2</v>
      </c>
      <c r="O171" s="5">
        <f>SUM(Tabela323[[#This Row],[jan/23]:[dez/23]])</f>
        <v>164</v>
      </c>
    </row>
    <row r="172" spans="1:15" x14ac:dyDescent="0.25">
      <c r="A172" s="4" t="s">
        <v>343</v>
      </c>
      <c r="B172" s="4" t="s">
        <v>663</v>
      </c>
      <c r="C172" s="4">
        <v>9</v>
      </c>
      <c r="D172" s="4">
        <v>11</v>
      </c>
      <c r="E172" s="4">
        <v>13</v>
      </c>
      <c r="F172" s="4">
        <v>9</v>
      </c>
      <c r="G172" s="4">
        <v>6</v>
      </c>
      <c r="H172" s="4">
        <v>14</v>
      </c>
      <c r="I172" s="4">
        <v>15</v>
      </c>
      <c r="J172" s="4">
        <v>16</v>
      </c>
      <c r="K172" s="4">
        <v>14</v>
      </c>
      <c r="L172" s="4">
        <v>16</v>
      </c>
      <c r="M172" s="4">
        <v>14</v>
      </c>
      <c r="N172" s="4">
        <v>25</v>
      </c>
      <c r="O172" s="5">
        <f>SUM(Tabela323[[#This Row],[jan/23]:[dez/23]])</f>
        <v>162</v>
      </c>
    </row>
    <row r="173" spans="1:15" x14ac:dyDescent="0.25">
      <c r="A173" s="4" t="s">
        <v>345</v>
      </c>
      <c r="B173" s="4" t="s">
        <v>700</v>
      </c>
      <c r="C173" s="4">
        <v>161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>
        <f>SUM(Tabela323[[#This Row],[jan/23]:[dez/23]])</f>
        <v>161</v>
      </c>
    </row>
    <row r="174" spans="1:15" x14ac:dyDescent="0.25">
      <c r="A174" s="4" t="s">
        <v>347</v>
      </c>
      <c r="B174" s="4" t="s">
        <v>158</v>
      </c>
      <c r="C174" s="4"/>
      <c r="D174" s="4"/>
      <c r="E174" s="4"/>
      <c r="F174" s="4"/>
      <c r="G174" s="4"/>
      <c r="H174" s="4"/>
      <c r="I174" s="4"/>
      <c r="J174" s="4"/>
      <c r="K174" s="4"/>
      <c r="L174" s="4">
        <v>4</v>
      </c>
      <c r="M174" s="4">
        <v>52</v>
      </c>
      <c r="N174" s="4">
        <v>98</v>
      </c>
      <c r="O174" s="5">
        <f>SUM(Tabela323[[#This Row],[jan/23]:[dez/23]])</f>
        <v>154</v>
      </c>
    </row>
    <row r="175" spans="1:15" x14ac:dyDescent="0.25">
      <c r="A175" s="4" t="s">
        <v>353</v>
      </c>
      <c r="B175" s="4" t="s">
        <v>540</v>
      </c>
      <c r="C175" s="4">
        <v>13</v>
      </c>
      <c r="D175" s="4">
        <v>9</v>
      </c>
      <c r="E175" s="4">
        <v>10</v>
      </c>
      <c r="F175" s="4">
        <v>10</v>
      </c>
      <c r="G175" s="4">
        <v>7</v>
      </c>
      <c r="H175" s="4">
        <v>23</v>
      </c>
      <c r="I175" s="4">
        <v>13</v>
      </c>
      <c r="J175" s="4">
        <v>19</v>
      </c>
      <c r="K175" s="4">
        <v>14</v>
      </c>
      <c r="L175" s="4">
        <v>13</v>
      </c>
      <c r="M175" s="4">
        <v>7</v>
      </c>
      <c r="N175" s="4">
        <v>12</v>
      </c>
      <c r="O175" s="5">
        <f>SUM(Tabela323[[#This Row],[jan/23]:[dez/23]])</f>
        <v>150</v>
      </c>
    </row>
    <row r="176" spans="1:15" x14ac:dyDescent="0.25">
      <c r="A176" s="4" t="s">
        <v>351</v>
      </c>
      <c r="B176" s="4" t="s">
        <v>368</v>
      </c>
      <c r="C176" s="4">
        <v>21</v>
      </c>
      <c r="D176" s="4">
        <v>10</v>
      </c>
      <c r="E176" s="4">
        <v>12</v>
      </c>
      <c r="F176" s="4">
        <v>10</v>
      </c>
      <c r="G176" s="4">
        <v>15</v>
      </c>
      <c r="H176" s="4">
        <v>22</v>
      </c>
      <c r="I176" s="4">
        <v>16</v>
      </c>
      <c r="J176" s="4">
        <v>8</v>
      </c>
      <c r="K176" s="4">
        <v>5</v>
      </c>
      <c r="L176" s="4">
        <v>4</v>
      </c>
      <c r="M176" s="4">
        <v>8</v>
      </c>
      <c r="N176" s="4">
        <v>4</v>
      </c>
      <c r="O176" s="5">
        <f>SUM(Tabela323[[#This Row],[jan/23]:[dez/23]])</f>
        <v>135</v>
      </c>
    </row>
    <row r="177" spans="1:15" x14ac:dyDescent="0.25">
      <c r="A177" s="4" t="s">
        <v>349</v>
      </c>
      <c r="B177" s="4" t="s">
        <v>308</v>
      </c>
      <c r="C177" s="4">
        <v>1</v>
      </c>
      <c r="D177" s="4"/>
      <c r="E177" s="4">
        <v>11</v>
      </c>
      <c r="F177" s="4">
        <v>6</v>
      </c>
      <c r="G177" s="4">
        <v>6</v>
      </c>
      <c r="H177" s="4">
        <v>21</v>
      </c>
      <c r="I177" s="4">
        <v>11</v>
      </c>
      <c r="J177" s="4">
        <v>11</v>
      </c>
      <c r="K177" s="4">
        <v>25</v>
      </c>
      <c r="L177" s="4">
        <v>15</v>
      </c>
      <c r="M177" s="4">
        <v>10</v>
      </c>
      <c r="N177" s="4">
        <v>16</v>
      </c>
      <c r="O177" s="5">
        <f>SUM(Tabela323[[#This Row],[jan/23]:[dez/23]])</f>
        <v>133</v>
      </c>
    </row>
    <row r="178" spans="1:15" x14ac:dyDescent="0.25">
      <c r="A178" s="4" t="s">
        <v>355</v>
      </c>
      <c r="B178" s="4" t="s">
        <v>692</v>
      </c>
      <c r="C178" s="4">
        <v>17</v>
      </c>
      <c r="D178" s="4">
        <v>12</v>
      </c>
      <c r="E178" s="4">
        <v>16</v>
      </c>
      <c r="F178" s="4">
        <v>10</v>
      </c>
      <c r="G178" s="4">
        <v>9</v>
      </c>
      <c r="H178" s="4">
        <v>18</v>
      </c>
      <c r="I178" s="4">
        <v>7</v>
      </c>
      <c r="J178" s="4">
        <v>3</v>
      </c>
      <c r="K178" s="4">
        <v>5</v>
      </c>
      <c r="L178" s="4">
        <v>2</v>
      </c>
      <c r="M178" s="4">
        <v>18</v>
      </c>
      <c r="N178" s="4">
        <v>15</v>
      </c>
      <c r="O178" s="5">
        <f>SUM(Tabela323[[#This Row],[jan/23]:[dez/23]])</f>
        <v>132</v>
      </c>
    </row>
    <row r="179" spans="1:15" x14ac:dyDescent="0.25">
      <c r="A179" s="4" t="s">
        <v>357</v>
      </c>
      <c r="B179" s="4" t="s">
        <v>450</v>
      </c>
      <c r="C179" s="4"/>
      <c r="D179" s="4">
        <v>2</v>
      </c>
      <c r="E179" s="4"/>
      <c r="F179" s="4">
        <v>1</v>
      </c>
      <c r="G179" s="4">
        <v>20</v>
      </c>
      <c r="H179" s="4">
        <v>9</v>
      </c>
      <c r="I179" s="4">
        <v>19</v>
      </c>
      <c r="J179" s="4">
        <v>14</v>
      </c>
      <c r="K179" s="4">
        <v>12</v>
      </c>
      <c r="L179" s="4">
        <v>18</v>
      </c>
      <c r="M179" s="4">
        <v>19</v>
      </c>
      <c r="N179" s="4">
        <v>8</v>
      </c>
      <c r="O179" s="5">
        <f>SUM(Tabela323[[#This Row],[jan/23]:[dez/23]])</f>
        <v>122</v>
      </c>
    </row>
    <row r="180" spans="1:15" x14ac:dyDescent="0.25">
      <c r="A180" s="4" t="s">
        <v>361</v>
      </c>
      <c r="B180" s="4" t="s">
        <v>146</v>
      </c>
      <c r="C180" s="4"/>
      <c r="D180" s="4"/>
      <c r="E180" s="4"/>
      <c r="F180" s="4"/>
      <c r="G180" s="4"/>
      <c r="H180" s="4"/>
      <c r="I180" s="4"/>
      <c r="J180" s="4"/>
      <c r="K180" s="4"/>
      <c r="L180" s="4">
        <v>8</v>
      </c>
      <c r="M180" s="4">
        <v>22</v>
      </c>
      <c r="N180" s="4">
        <v>91</v>
      </c>
      <c r="O180" s="5">
        <f>SUM(Tabela323[[#This Row],[jan/23]:[dez/23]])</f>
        <v>121</v>
      </c>
    </row>
    <row r="181" spans="1:15" x14ac:dyDescent="0.25">
      <c r="A181" s="4" t="s">
        <v>359</v>
      </c>
      <c r="B181" s="4" t="s">
        <v>286</v>
      </c>
      <c r="C181" s="4">
        <v>5</v>
      </c>
      <c r="D181" s="4"/>
      <c r="E181" s="4">
        <v>2</v>
      </c>
      <c r="F181" s="4">
        <v>1</v>
      </c>
      <c r="G181" s="4">
        <v>14</v>
      </c>
      <c r="H181" s="4">
        <v>11</v>
      </c>
      <c r="I181" s="4">
        <v>13</v>
      </c>
      <c r="J181" s="4">
        <v>13</v>
      </c>
      <c r="K181" s="4">
        <v>20</v>
      </c>
      <c r="L181" s="4">
        <v>8</v>
      </c>
      <c r="M181" s="4">
        <v>19</v>
      </c>
      <c r="N181" s="4">
        <v>12</v>
      </c>
      <c r="O181" s="5">
        <f>SUM(Tabela323[[#This Row],[jan/23]:[dez/23]])</f>
        <v>118</v>
      </c>
    </row>
    <row r="182" spans="1:15" x14ac:dyDescent="0.25">
      <c r="A182" s="4" t="s">
        <v>365</v>
      </c>
      <c r="B182" s="4" t="s">
        <v>654</v>
      </c>
      <c r="C182" s="4"/>
      <c r="D182" s="4">
        <v>17</v>
      </c>
      <c r="E182" s="4">
        <v>14</v>
      </c>
      <c r="F182" s="4">
        <v>17</v>
      </c>
      <c r="G182" s="4">
        <v>19</v>
      </c>
      <c r="H182" s="4">
        <v>8</v>
      </c>
      <c r="I182" s="4">
        <v>3</v>
      </c>
      <c r="J182" s="4">
        <v>4</v>
      </c>
      <c r="K182" s="4">
        <v>6</v>
      </c>
      <c r="L182" s="4">
        <v>11</v>
      </c>
      <c r="M182" s="4">
        <v>9</v>
      </c>
      <c r="N182" s="4">
        <v>7</v>
      </c>
      <c r="O182" s="5">
        <f>SUM(Tabela323[[#This Row],[jan/23]:[dez/23]])</f>
        <v>115</v>
      </c>
    </row>
    <row r="183" spans="1:15" x14ac:dyDescent="0.25">
      <c r="A183" s="4" t="s">
        <v>363</v>
      </c>
      <c r="B183" s="4" t="s">
        <v>552</v>
      </c>
      <c r="C183" s="4">
        <v>3</v>
      </c>
      <c r="D183" s="4">
        <v>8</v>
      </c>
      <c r="E183" s="4">
        <v>14</v>
      </c>
      <c r="F183" s="4">
        <v>17</v>
      </c>
      <c r="G183" s="4">
        <v>13</v>
      </c>
      <c r="H183" s="4">
        <v>10</v>
      </c>
      <c r="I183" s="4">
        <v>14</v>
      </c>
      <c r="J183" s="4">
        <v>9</v>
      </c>
      <c r="K183" s="4">
        <v>7</v>
      </c>
      <c r="L183" s="4">
        <v>5</v>
      </c>
      <c r="M183" s="4">
        <v>6</v>
      </c>
      <c r="N183" s="4">
        <v>7</v>
      </c>
      <c r="O183" s="5">
        <f>SUM(Tabela323[[#This Row],[jan/23]:[dez/23]])</f>
        <v>113</v>
      </c>
    </row>
    <row r="184" spans="1:15" x14ac:dyDescent="0.25">
      <c r="A184" s="4" t="s">
        <v>369</v>
      </c>
      <c r="B184" s="4" t="s">
        <v>523</v>
      </c>
      <c r="C184" s="4">
        <v>15</v>
      </c>
      <c r="D184" s="4">
        <v>10</v>
      </c>
      <c r="E184" s="4">
        <v>14</v>
      </c>
      <c r="F184" s="4">
        <v>7</v>
      </c>
      <c r="G184" s="4">
        <v>9</v>
      </c>
      <c r="H184" s="4">
        <v>21</v>
      </c>
      <c r="I184" s="4">
        <v>21</v>
      </c>
      <c r="J184" s="4">
        <v>5</v>
      </c>
      <c r="K184" s="4">
        <v>2</v>
      </c>
      <c r="L184" s="4">
        <v>1</v>
      </c>
      <c r="M184" s="4">
        <v>2</v>
      </c>
      <c r="N184" s="4">
        <v>3</v>
      </c>
      <c r="O184" s="5">
        <f>SUM(Tabela323[[#This Row],[jan/23]:[dez/23]])</f>
        <v>110</v>
      </c>
    </row>
    <row r="185" spans="1:15" x14ac:dyDescent="0.25">
      <c r="A185" s="4" t="s">
        <v>367</v>
      </c>
      <c r="B185" s="4" t="s">
        <v>274</v>
      </c>
      <c r="C185" s="4"/>
      <c r="D185" s="4">
        <v>7</v>
      </c>
      <c r="E185" s="4">
        <v>5</v>
      </c>
      <c r="F185" s="4">
        <v>6</v>
      </c>
      <c r="G185" s="4">
        <v>12</v>
      </c>
      <c r="H185" s="4">
        <v>6</v>
      </c>
      <c r="I185" s="4">
        <v>11</v>
      </c>
      <c r="J185" s="4">
        <v>9</v>
      </c>
      <c r="K185" s="4">
        <v>13</v>
      </c>
      <c r="L185" s="4">
        <v>14</v>
      </c>
      <c r="M185" s="4">
        <v>14</v>
      </c>
      <c r="N185" s="4">
        <v>10</v>
      </c>
      <c r="O185" s="5">
        <f>SUM(Tabela323[[#This Row],[jan/23]:[dez/23]])</f>
        <v>107</v>
      </c>
    </row>
    <row r="186" spans="1:15" x14ac:dyDescent="0.25">
      <c r="A186" s="4" t="s">
        <v>371</v>
      </c>
      <c r="B186" s="4" t="s">
        <v>698</v>
      </c>
      <c r="C186" s="4">
        <v>13</v>
      </c>
      <c r="D186" s="4">
        <v>7</v>
      </c>
      <c r="E186" s="4">
        <v>9</v>
      </c>
      <c r="F186" s="4">
        <v>12</v>
      </c>
      <c r="G186" s="4">
        <v>10</v>
      </c>
      <c r="H186" s="4">
        <v>7</v>
      </c>
      <c r="I186" s="4">
        <v>8</v>
      </c>
      <c r="J186" s="4">
        <v>5</v>
      </c>
      <c r="K186" s="4">
        <v>5</v>
      </c>
      <c r="L186" s="4">
        <v>5</v>
      </c>
      <c r="M186" s="4">
        <v>5</v>
      </c>
      <c r="N186" s="4">
        <v>13</v>
      </c>
      <c r="O186" s="5">
        <f>SUM(Tabela323[[#This Row],[jan/23]:[dez/23]])</f>
        <v>99</v>
      </c>
    </row>
    <row r="187" spans="1:15" x14ac:dyDescent="0.25">
      <c r="A187" s="4" t="s">
        <v>373</v>
      </c>
      <c r="B187" s="4" t="s">
        <v>388</v>
      </c>
      <c r="C187" s="4">
        <v>19</v>
      </c>
      <c r="D187" s="4">
        <v>13</v>
      </c>
      <c r="E187" s="4">
        <v>5</v>
      </c>
      <c r="F187" s="4">
        <v>5</v>
      </c>
      <c r="G187" s="4">
        <v>8</v>
      </c>
      <c r="H187" s="4">
        <v>12</v>
      </c>
      <c r="I187" s="4">
        <v>13</v>
      </c>
      <c r="J187" s="4">
        <v>4</v>
      </c>
      <c r="K187" s="4">
        <v>4</v>
      </c>
      <c r="L187" s="4">
        <v>5</v>
      </c>
      <c r="M187" s="4">
        <v>3</v>
      </c>
      <c r="N187" s="4">
        <v>7</v>
      </c>
      <c r="O187" s="5">
        <f>SUM(Tabela323[[#This Row],[jan/23]:[dez/23]])</f>
        <v>98</v>
      </c>
    </row>
    <row r="188" spans="1:15" x14ac:dyDescent="0.25">
      <c r="A188" s="4" t="s">
        <v>375</v>
      </c>
      <c r="B188" s="4" t="s">
        <v>670</v>
      </c>
      <c r="C188" s="4">
        <v>3</v>
      </c>
      <c r="D188" s="4">
        <v>10</v>
      </c>
      <c r="E188" s="4">
        <v>8</v>
      </c>
      <c r="F188" s="4">
        <v>6</v>
      </c>
      <c r="G188" s="4">
        <v>9</v>
      </c>
      <c r="H188" s="4">
        <v>8</v>
      </c>
      <c r="I188" s="4">
        <v>4</v>
      </c>
      <c r="J188" s="4">
        <v>13</v>
      </c>
      <c r="K188" s="4">
        <v>6</v>
      </c>
      <c r="L188" s="4">
        <v>6</v>
      </c>
      <c r="M188" s="4">
        <v>16</v>
      </c>
      <c r="N188" s="4">
        <v>8</v>
      </c>
      <c r="O188" s="5">
        <f>SUM(Tabela323[[#This Row],[jan/23]:[dez/23]])</f>
        <v>97</v>
      </c>
    </row>
    <row r="189" spans="1:15" x14ac:dyDescent="0.25">
      <c r="A189" s="4" t="s">
        <v>377</v>
      </c>
      <c r="B189" s="4" t="s">
        <v>234</v>
      </c>
      <c r="C189" s="4"/>
      <c r="D189" s="4"/>
      <c r="E189" s="4"/>
      <c r="F189" s="4">
        <v>6</v>
      </c>
      <c r="G189" s="4">
        <v>39</v>
      </c>
      <c r="H189" s="4">
        <v>42</v>
      </c>
      <c r="I189" s="4"/>
      <c r="J189" s="4"/>
      <c r="K189" s="4"/>
      <c r="L189" s="4"/>
      <c r="M189" s="4">
        <v>2</v>
      </c>
      <c r="N189" s="4">
        <v>5</v>
      </c>
      <c r="O189" s="5">
        <f>SUM(Tabela323[[#This Row],[jan/23]:[dez/23]])</f>
        <v>94</v>
      </c>
    </row>
    <row r="190" spans="1:15" x14ac:dyDescent="0.25">
      <c r="A190" s="4" t="s">
        <v>379</v>
      </c>
      <c r="B190" s="4" t="s">
        <v>300</v>
      </c>
      <c r="C190" s="4">
        <v>20</v>
      </c>
      <c r="D190" s="4">
        <v>23</v>
      </c>
      <c r="E190" s="4">
        <v>18</v>
      </c>
      <c r="F190" s="4">
        <v>10</v>
      </c>
      <c r="G190" s="4">
        <v>9</v>
      </c>
      <c r="H190" s="4"/>
      <c r="I190" s="4">
        <v>2</v>
      </c>
      <c r="J190" s="4">
        <v>1</v>
      </c>
      <c r="K190" s="4">
        <v>3</v>
      </c>
      <c r="L190" s="4">
        <v>2</v>
      </c>
      <c r="M190" s="4"/>
      <c r="N190" s="4">
        <v>1</v>
      </c>
      <c r="O190" s="5">
        <f>SUM(Tabela323[[#This Row],[jan/23]:[dez/23]])</f>
        <v>89</v>
      </c>
    </row>
    <row r="191" spans="1:15" x14ac:dyDescent="0.25">
      <c r="A191" s="4" t="s">
        <v>383</v>
      </c>
      <c r="B191" s="4" t="s">
        <v>753</v>
      </c>
      <c r="C191" s="4">
        <v>9</v>
      </c>
      <c r="D191" s="4">
        <v>6</v>
      </c>
      <c r="E191" s="4">
        <v>4</v>
      </c>
      <c r="F191" s="4">
        <v>11</v>
      </c>
      <c r="G191" s="4">
        <v>17</v>
      </c>
      <c r="H191" s="4">
        <v>17</v>
      </c>
      <c r="I191" s="4">
        <v>9</v>
      </c>
      <c r="J191" s="4">
        <v>13</v>
      </c>
      <c r="K191" s="4">
        <v>2</v>
      </c>
      <c r="L191" s="4"/>
      <c r="M191" s="4">
        <v>1</v>
      </c>
      <c r="N191" s="4"/>
      <c r="O191" s="5">
        <f>SUM(Tabela323[[#This Row],[jan/23]:[dez/23]])</f>
        <v>89</v>
      </c>
    </row>
    <row r="192" spans="1:15" x14ac:dyDescent="0.25">
      <c r="A192" s="4" t="s">
        <v>381</v>
      </c>
      <c r="B192" s="4" t="s">
        <v>603</v>
      </c>
      <c r="C192" s="4">
        <v>8</v>
      </c>
      <c r="D192" s="4">
        <v>7</v>
      </c>
      <c r="E192" s="4">
        <v>13</v>
      </c>
      <c r="F192" s="4">
        <v>4</v>
      </c>
      <c r="G192" s="4">
        <v>6</v>
      </c>
      <c r="H192" s="4">
        <v>8</v>
      </c>
      <c r="I192" s="4">
        <v>8</v>
      </c>
      <c r="J192" s="4">
        <v>4</v>
      </c>
      <c r="K192" s="4">
        <v>5</v>
      </c>
      <c r="L192" s="4">
        <v>4</v>
      </c>
      <c r="M192" s="4">
        <v>10</v>
      </c>
      <c r="N192" s="4">
        <v>10</v>
      </c>
      <c r="O192" s="5">
        <f>SUM(Tabela323[[#This Row],[jan/23]:[dez/23]])</f>
        <v>87</v>
      </c>
    </row>
    <row r="193" spans="1:15" x14ac:dyDescent="0.25">
      <c r="A193" s="4" t="s">
        <v>385</v>
      </c>
      <c r="B193" s="4" t="s">
        <v>611</v>
      </c>
      <c r="C193" s="4">
        <v>11</v>
      </c>
      <c r="D193" s="4">
        <v>4</v>
      </c>
      <c r="E193" s="4">
        <v>15</v>
      </c>
      <c r="F193" s="4">
        <v>20</v>
      </c>
      <c r="G193" s="4">
        <v>8</v>
      </c>
      <c r="H193" s="4">
        <v>2</v>
      </c>
      <c r="I193" s="4">
        <v>2</v>
      </c>
      <c r="J193" s="4">
        <v>4</v>
      </c>
      <c r="K193" s="4">
        <v>6</v>
      </c>
      <c r="L193" s="4">
        <v>3</v>
      </c>
      <c r="M193" s="4">
        <v>6</v>
      </c>
      <c r="N193" s="4">
        <v>6</v>
      </c>
      <c r="O193" s="5">
        <f>SUM(Tabela323[[#This Row],[jan/23]:[dez/23]])</f>
        <v>87</v>
      </c>
    </row>
    <row r="194" spans="1:15" x14ac:dyDescent="0.25">
      <c r="A194" s="4" t="s">
        <v>389</v>
      </c>
      <c r="B194" s="4" t="s">
        <v>707</v>
      </c>
      <c r="C194" s="4">
        <v>13</v>
      </c>
      <c r="D194" s="4">
        <v>11</v>
      </c>
      <c r="E194" s="4">
        <v>16</v>
      </c>
      <c r="F194" s="4">
        <v>10</v>
      </c>
      <c r="G194" s="4">
        <v>2</v>
      </c>
      <c r="H194" s="4">
        <v>7</v>
      </c>
      <c r="I194" s="4">
        <v>2</v>
      </c>
      <c r="J194" s="4">
        <v>5</v>
      </c>
      <c r="K194" s="4">
        <v>4</v>
      </c>
      <c r="L194" s="4">
        <v>2</v>
      </c>
      <c r="M194" s="4">
        <v>7</v>
      </c>
      <c r="N194" s="4">
        <v>7</v>
      </c>
      <c r="O194" s="5">
        <f>SUM(Tabela323[[#This Row],[jan/23]:[dez/23]])</f>
        <v>86</v>
      </c>
    </row>
    <row r="195" spans="1:15" x14ac:dyDescent="0.25">
      <c r="A195" s="4" t="s">
        <v>387</v>
      </c>
      <c r="B195" s="4" t="s">
        <v>194</v>
      </c>
      <c r="C195" s="4">
        <v>4</v>
      </c>
      <c r="D195" s="4">
        <v>3</v>
      </c>
      <c r="E195" s="4">
        <v>11</v>
      </c>
      <c r="F195" s="4">
        <v>2</v>
      </c>
      <c r="G195" s="4">
        <v>3</v>
      </c>
      <c r="H195" s="4">
        <v>4</v>
      </c>
      <c r="I195" s="4">
        <v>8</v>
      </c>
      <c r="J195" s="4">
        <v>11</v>
      </c>
      <c r="K195" s="4">
        <v>3</v>
      </c>
      <c r="L195" s="4">
        <v>23</v>
      </c>
      <c r="M195" s="4">
        <v>11</v>
      </c>
      <c r="N195" s="4">
        <v>3</v>
      </c>
      <c r="O195" s="5">
        <f>SUM(Tabela323[[#This Row],[jan/23]:[dez/23]])</f>
        <v>86</v>
      </c>
    </row>
    <row r="196" spans="1:15" x14ac:dyDescent="0.25">
      <c r="A196" s="4" t="s">
        <v>391</v>
      </c>
      <c r="B196" s="4" t="s">
        <v>525</v>
      </c>
      <c r="C196" s="4">
        <v>3</v>
      </c>
      <c r="D196" s="4">
        <v>1</v>
      </c>
      <c r="E196" s="4">
        <v>4</v>
      </c>
      <c r="F196" s="4">
        <v>2</v>
      </c>
      <c r="G196" s="4">
        <v>3</v>
      </c>
      <c r="H196" s="4">
        <v>9</v>
      </c>
      <c r="I196" s="4">
        <v>22</v>
      </c>
      <c r="J196" s="4">
        <v>3</v>
      </c>
      <c r="K196" s="4">
        <v>7</v>
      </c>
      <c r="L196" s="4">
        <v>2</v>
      </c>
      <c r="M196" s="4">
        <v>18</v>
      </c>
      <c r="N196" s="4">
        <v>10</v>
      </c>
      <c r="O196" s="5">
        <f>SUM(Tabela323[[#This Row],[jan/23]:[dez/23]])</f>
        <v>84</v>
      </c>
    </row>
    <row r="197" spans="1:15" x14ac:dyDescent="0.25">
      <c r="A197" s="4" t="s">
        <v>393</v>
      </c>
      <c r="B197" s="4" t="s">
        <v>788</v>
      </c>
      <c r="C197" s="4">
        <v>33</v>
      </c>
      <c r="D197" s="4">
        <v>21</v>
      </c>
      <c r="E197" s="4">
        <v>20</v>
      </c>
      <c r="F197" s="4">
        <v>2</v>
      </c>
      <c r="G197" s="4">
        <v>4</v>
      </c>
      <c r="H197" s="4">
        <v>2</v>
      </c>
      <c r="I197" s="4">
        <v>1</v>
      </c>
      <c r="J197" s="4"/>
      <c r="K197" s="4"/>
      <c r="L197" s="4"/>
      <c r="M197" s="4"/>
      <c r="N197" s="4"/>
      <c r="O197" s="5">
        <f>SUM(Tabela323[[#This Row],[jan/23]:[dez/23]])</f>
        <v>83</v>
      </c>
    </row>
    <row r="198" spans="1:15" x14ac:dyDescent="0.25">
      <c r="A198" s="4" t="s">
        <v>397</v>
      </c>
      <c r="B198" s="4" t="s">
        <v>688</v>
      </c>
      <c r="C198" s="4">
        <v>34</v>
      </c>
      <c r="D198" s="4">
        <v>16</v>
      </c>
      <c r="E198" s="4">
        <v>11</v>
      </c>
      <c r="F198" s="4">
        <v>3</v>
      </c>
      <c r="G198" s="4">
        <v>9</v>
      </c>
      <c r="H198" s="4">
        <v>6</v>
      </c>
      <c r="I198" s="4">
        <v>3</v>
      </c>
      <c r="J198" s="4">
        <v>1</v>
      </c>
      <c r="K198" s="4"/>
      <c r="L198" s="4"/>
      <c r="M198" s="4"/>
      <c r="N198" s="4"/>
      <c r="O198" s="5">
        <f>SUM(Tabela323[[#This Row],[jan/23]:[dez/23]])</f>
        <v>83</v>
      </c>
    </row>
    <row r="199" spans="1:15" x14ac:dyDescent="0.25">
      <c r="A199" s="4" t="s">
        <v>395</v>
      </c>
      <c r="B199" s="4" t="s">
        <v>743</v>
      </c>
      <c r="C199" s="4">
        <v>3</v>
      </c>
      <c r="D199" s="4">
        <v>1</v>
      </c>
      <c r="E199" s="4">
        <v>13</v>
      </c>
      <c r="F199" s="4">
        <v>11</v>
      </c>
      <c r="G199" s="4">
        <v>5</v>
      </c>
      <c r="H199" s="4">
        <v>13</v>
      </c>
      <c r="I199" s="4">
        <v>7</v>
      </c>
      <c r="J199" s="4">
        <v>3</v>
      </c>
      <c r="K199" s="4">
        <v>5</v>
      </c>
      <c r="L199" s="4">
        <v>5</v>
      </c>
      <c r="M199" s="4">
        <v>5</v>
      </c>
      <c r="N199" s="4">
        <v>9</v>
      </c>
      <c r="O199" s="5">
        <f>SUM(Tabela323[[#This Row],[jan/23]:[dez/23]])</f>
        <v>80</v>
      </c>
    </row>
    <row r="200" spans="1:15" x14ac:dyDescent="0.25">
      <c r="A200" s="4" t="s">
        <v>399</v>
      </c>
      <c r="B200" s="4" t="s">
        <v>262</v>
      </c>
      <c r="C200" s="4">
        <v>1</v>
      </c>
      <c r="D200" s="4">
        <v>4</v>
      </c>
      <c r="E200" s="4">
        <v>7</v>
      </c>
      <c r="F200" s="4"/>
      <c r="G200" s="4">
        <v>13</v>
      </c>
      <c r="H200" s="4">
        <v>5</v>
      </c>
      <c r="I200" s="4">
        <v>2</v>
      </c>
      <c r="J200" s="4">
        <v>4</v>
      </c>
      <c r="K200" s="4">
        <v>1</v>
      </c>
      <c r="L200" s="4">
        <v>1</v>
      </c>
      <c r="M200" s="4">
        <v>13</v>
      </c>
      <c r="N200" s="4">
        <v>21</v>
      </c>
      <c r="O200" s="5">
        <f>SUM(Tabela323[[#This Row],[jan/23]:[dez/23]])</f>
        <v>72</v>
      </c>
    </row>
    <row r="201" spans="1:15" x14ac:dyDescent="0.25">
      <c r="A201" s="4" t="s">
        <v>401</v>
      </c>
      <c r="B201" s="4" t="s">
        <v>664</v>
      </c>
      <c r="C201" s="4">
        <v>3</v>
      </c>
      <c r="D201" s="4">
        <v>2</v>
      </c>
      <c r="E201" s="4">
        <v>11</v>
      </c>
      <c r="F201" s="4">
        <v>9</v>
      </c>
      <c r="G201" s="4">
        <v>5</v>
      </c>
      <c r="H201" s="4">
        <v>3</v>
      </c>
      <c r="I201" s="4">
        <v>5</v>
      </c>
      <c r="J201" s="4">
        <v>7</v>
      </c>
      <c r="K201" s="4">
        <v>4</v>
      </c>
      <c r="L201" s="4">
        <v>6</v>
      </c>
      <c r="M201" s="4">
        <v>5</v>
      </c>
      <c r="N201" s="4">
        <v>7</v>
      </c>
      <c r="O201" s="5">
        <f>SUM(Tabela323[[#This Row],[jan/23]:[dez/23]])</f>
        <v>67</v>
      </c>
    </row>
    <row r="202" spans="1:15" x14ac:dyDescent="0.25">
      <c r="A202" s="4" t="s">
        <v>409</v>
      </c>
      <c r="B202" s="4" t="s">
        <v>789</v>
      </c>
      <c r="C202" s="4">
        <v>5</v>
      </c>
      <c r="D202" s="4">
        <v>16</v>
      </c>
      <c r="E202" s="4">
        <v>8</v>
      </c>
      <c r="F202" s="4">
        <v>4</v>
      </c>
      <c r="G202" s="4">
        <v>7</v>
      </c>
      <c r="H202" s="4">
        <v>3</v>
      </c>
      <c r="I202" s="4">
        <v>5</v>
      </c>
      <c r="J202" s="4">
        <v>14</v>
      </c>
      <c r="K202" s="4">
        <v>2</v>
      </c>
      <c r="L202" s="4"/>
      <c r="M202" s="4"/>
      <c r="N202" s="4"/>
      <c r="O202" s="5">
        <f>SUM(Tabela323[[#This Row],[jan/23]:[dez/23]])</f>
        <v>64</v>
      </c>
    </row>
    <row r="203" spans="1:15" x14ac:dyDescent="0.25">
      <c r="A203" s="4" t="s">
        <v>407</v>
      </c>
      <c r="B203" s="4" t="s">
        <v>790</v>
      </c>
      <c r="C203" s="4">
        <v>17</v>
      </c>
      <c r="D203" s="4">
        <v>11</v>
      </c>
      <c r="E203" s="4">
        <v>11</v>
      </c>
      <c r="F203" s="4">
        <v>4</v>
      </c>
      <c r="G203" s="4">
        <v>5</v>
      </c>
      <c r="H203" s="4">
        <v>3</v>
      </c>
      <c r="I203" s="4">
        <v>1</v>
      </c>
      <c r="J203" s="4">
        <v>3</v>
      </c>
      <c r="K203" s="4">
        <v>3</v>
      </c>
      <c r="L203" s="4">
        <v>2</v>
      </c>
      <c r="M203" s="4">
        <v>1</v>
      </c>
      <c r="N203" s="4">
        <v>1</v>
      </c>
      <c r="O203" s="5">
        <f>SUM(Tabela323[[#This Row],[jan/23]:[dez/23]])</f>
        <v>62</v>
      </c>
    </row>
    <row r="204" spans="1:15" x14ac:dyDescent="0.25">
      <c r="A204" s="4" t="s">
        <v>405</v>
      </c>
      <c r="B204" s="4" t="s">
        <v>791</v>
      </c>
      <c r="C204" s="4">
        <v>12</v>
      </c>
      <c r="D204" s="4">
        <v>21</v>
      </c>
      <c r="E204" s="4">
        <v>10</v>
      </c>
      <c r="F204" s="4">
        <v>4</v>
      </c>
      <c r="G204" s="4">
        <v>5</v>
      </c>
      <c r="H204" s="4">
        <v>4</v>
      </c>
      <c r="I204" s="4">
        <v>2</v>
      </c>
      <c r="J204" s="4">
        <v>1</v>
      </c>
      <c r="K204" s="4"/>
      <c r="L204" s="4"/>
      <c r="M204" s="4">
        <v>1</v>
      </c>
      <c r="N204" s="4"/>
      <c r="O204" s="5">
        <f>SUM(Tabela323[[#This Row],[jan/23]:[dez/23]])</f>
        <v>60</v>
      </c>
    </row>
    <row r="205" spans="1:15" x14ac:dyDescent="0.25">
      <c r="A205" s="4" t="s">
        <v>403</v>
      </c>
      <c r="B205" s="4" t="s">
        <v>792</v>
      </c>
      <c r="C205" s="4">
        <v>12</v>
      </c>
      <c r="D205" s="4">
        <v>11</v>
      </c>
      <c r="E205" s="4">
        <v>12</v>
      </c>
      <c r="F205" s="4">
        <v>2</v>
      </c>
      <c r="G205" s="4">
        <v>8</v>
      </c>
      <c r="H205" s="4">
        <v>3</v>
      </c>
      <c r="I205" s="4">
        <v>1</v>
      </c>
      <c r="J205" s="4">
        <v>1</v>
      </c>
      <c r="K205" s="4">
        <v>1</v>
      </c>
      <c r="L205" s="4">
        <v>3</v>
      </c>
      <c r="M205" s="4">
        <v>2</v>
      </c>
      <c r="N205" s="4">
        <v>1</v>
      </c>
      <c r="O205" s="5">
        <f>SUM(Tabela323[[#This Row],[jan/23]:[dez/23]])</f>
        <v>57</v>
      </c>
    </row>
    <row r="206" spans="1:15" x14ac:dyDescent="0.25">
      <c r="A206" s="4" t="s">
        <v>413</v>
      </c>
      <c r="B206" s="4" t="s">
        <v>592</v>
      </c>
      <c r="C206" s="4">
        <v>6</v>
      </c>
      <c r="D206" s="4">
        <v>11</v>
      </c>
      <c r="E206" s="4"/>
      <c r="F206" s="4">
        <v>8</v>
      </c>
      <c r="G206" s="4">
        <v>15</v>
      </c>
      <c r="H206" s="4">
        <v>16</v>
      </c>
      <c r="I206" s="4"/>
      <c r="J206" s="4"/>
      <c r="K206" s="4"/>
      <c r="L206" s="4"/>
      <c r="M206" s="4"/>
      <c r="N206" s="4"/>
      <c r="O206" s="5">
        <f>SUM(Tabela323[[#This Row],[jan/23]:[dez/23]])</f>
        <v>56</v>
      </c>
    </row>
    <row r="207" spans="1:15" x14ac:dyDescent="0.25">
      <c r="A207" s="4" t="s">
        <v>411</v>
      </c>
      <c r="B207" s="4" t="s">
        <v>793</v>
      </c>
      <c r="C207" s="4">
        <v>24</v>
      </c>
      <c r="D207" s="4">
        <v>9</v>
      </c>
      <c r="E207" s="4">
        <v>7</v>
      </c>
      <c r="F207" s="4">
        <v>10</v>
      </c>
      <c r="G207" s="4">
        <v>1</v>
      </c>
      <c r="H207" s="4">
        <v>1</v>
      </c>
      <c r="I207" s="4">
        <v>1</v>
      </c>
      <c r="J207" s="4"/>
      <c r="K207" s="4">
        <v>1</v>
      </c>
      <c r="L207" s="4">
        <v>1</v>
      </c>
      <c r="M207" s="4"/>
      <c r="N207" s="4">
        <v>1</v>
      </c>
      <c r="O207" s="5">
        <f>SUM(Tabela323[[#This Row],[jan/23]:[dez/23]])</f>
        <v>56</v>
      </c>
    </row>
    <row r="208" spans="1:15" x14ac:dyDescent="0.25">
      <c r="A208" s="4" t="s">
        <v>417</v>
      </c>
      <c r="B208" s="4" t="s">
        <v>752</v>
      </c>
      <c r="C208" s="4">
        <v>2</v>
      </c>
      <c r="D208" s="4">
        <v>9</v>
      </c>
      <c r="E208" s="4">
        <v>6</v>
      </c>
      <c r="F208" s="4">
        <v>7</v>
      </c>
      <c r="G208" s="4">
        <v>6</v>
      </c>
      <c r="H208" s="4">
        <v>5</v>
      </c>
      <c r="I208" s="4">
        <v>3</v>
      </c>
      <c r="J208" s="4">
        <v>5</v>
      </c>
      <c r="K208" s="4">
        <v>1</v>
      </c>
      <c r="L208" s="4">
        <v>6</v>
      </c>
      <c r="M208" s="4">
        <v>2</v>
      </c>
      <c r="N208" s="4">
        <v>2</v>
      </c>
      <c r="O208" s="5">
        <f>SUM(Tabela323[[#This Row],[jan/23]:[dez/23]])</f>
        <v>54</v>
      </c>
    </row>
    <row r="209" spans="1:15" x14ac:dyDescent="0.25">
      <c r="A209" s="4" t="s">
        <v>415</v>
      </c>
      <c r="B209" s="4" t="s">
        <v>288</v>
      </c>
      <c r="C209" s="4">
        <v>7</v>
      </c>
      <c r="D209" s="4">
        <v>2</v>
      </c>
      <c r="E209" s="4">
        <v>9</v>
      </c>
      <c r="F209" s="4">
        <v>1</v>
      </c>
      <c r="G209" s="4">
        <v>6</v>
      </c>
      <c r="H209" s="4">
        <v>5</v>
      </c>
      <c r="I209" s="4">
        <v>5</v>
      </c>
      <c r="J209" s="4">
        <v>7</v>
      </c>
      <c r="K209" s="4">
        <v>1</v>
      </c>
      <c r="L209" s="4">
        <v>2</v>
      </c>
      <c r="M209" s="4">
        <v>1</v>
      </c>
      <c r="N209" s="4">
        <v>1</v>
      </c>
      <c r="O209" s="5">
        <f>SUM(Tabela323[[#This Row],[jan/23]:[dez/23]])</f>
        <v>47</v>
      </c>
    </row>
    <row r="210" spans="1:15" x14ac:dyDescent="0.25">
      <c r="A210" s="4" t="s">
        <v>421</v>
      </c>
      <c r="B210" s="4" t="s">
        <v>304</v>
      </c>
      <c r="C210" s="4">
        <v>4</v>
      </c>
      <c r="D210" s="4">
        <v>8</v>
      </c>
      <c r="E210" s="4">
        <v>10</v>
      </c>
      <c r="F210" s="4">
        <v>1</v>
      </c>
      <c r="G210" s="4">
        <v>3</v>
      </c>
      <c r="H210" s="4"/>
      <c r="I210" s="4">
        <v>5</v>
      </c>
      <c r="J210" s="4"/>
      <c r="K210" s="4">
        <v>1</v>
      </c>
      <c r="L210" s="4">
        <v>4</v>
      </c>
      <c r="M210" s="4">
        <v>6</v>
      </c>
      <c r="N210" s="4">
        <v>5</v>
      </c>
      <c r="O210" s="5">
        <f>SUM(Tabela323[[#This Row],[jan/23]:[dez/23]])</f>
        <v>47</v>
      </c>
    </row>
    <row r="211" spans="1:15" x14ac:dyDescent="0.25">
      <c r="A211" s="4" t="s">
        <v>419</v>
      </c>
      <c r="B211" s="4" t="s">
        <v>586</v>
      </c>
      <c r="C211" s="4">
        <v>14</v>
      </c>
      <c r="D211" s="4">
        <v>18</v>
      </c>
      <c r="E211" s="4"/>
      <c r="F211" s="4">
        <v>3</v>
      </c>
      <c r="G211" s="4">
        <v>7</v>
      </c>
      <c r="H211" s="4">
        <v>4</v>
      </c>
      <c r="I211" s="4"/>
      <c r="J211" s="4"/>
      <c r="K211" s="4"/>
      <c r="L211" s="4"/>
      <c r="M211" s="4"/>
      <c r="N211" s="4"/>
      <c r="O211" s="5">
        <f>SUM(Tabela323[[#This Row],[jan/23]:[dez/23]])</f>
        <v>46</v>
      </c>
    </row>
    <row r="212" spans="1:15" x14ac:dyDescent="0.25">
      <c r="A212" s="4" t="s">
        <v>423</v>
      </c>
      <c r="B212" s="4" t="s">
        <v>758</v>
      </c>
      <c r="C212" s="4">
        <v>16</v>
      </c>
      <c r="D212" s="4">
        <v>4</v>
      </c>
      <c r="E212" s="4">
        <v>2</v>
      </c>
      <c r="F212" s="4">
        <v>5</v>
      </c>
      <c r="G212" s="4">
        <v>2</v>
      </c>
      <c r="H212" s="4">
        <v>8</v>
      </c>
      <c r="I212" s="4">
        <v>3</v>
      </c>
      <c r="J212" s="4"/>
      <c r="K212" s="4">
        <v>2</v>
      </c>
      <c r="L212" s="4"/>
      <c r="M212" s="4"/>
      <c r="N212" s="4"/>
      <c r="O212" s="5">
        <f>SUM(Tabela323[[#This Row],[jan/23]:[dez/23]])</f>
        <v>42</v>
      </c>
    </row>
    <row r="213" spans="1:15" x14ac:dyDescent="0.25">
      <c r="A213" s="4" t="s">
        <v>427</v>
      </c>
      <c r="B213" s="4" t="s">
        <v>770</v>
      </c>
      <c r="C213" s="4"/>
      <c r="D213" s="4"/>
      <c r="E213" s="4"/>
      <c r="F213" s="4">
        <v>11</v>
      </c>
      <c r="G213" s="4">
        <v>30</v>
      </c>
      <c r="H213" s="4"/>
      <c r="I213" s="4"/>
      <c r="J213" s="4"/>
      <c r="K213" s="4"/>
      <c r="L213" s="4"/>
      <c r="M213" s="4"/>
      <c r="N213" s="4"/>
      <c r="O213" s="5">
        <f>SUM(Tabela323[[#This Row],[jan/23]:[dez/23]])</f>
        <v>41</v>
      </c>
    </row>
    <row r="214" spans="1:15" x14ac:dyDescent="0.25">
      <c r="A214" s="4" t="s">
        <v>425</v>
      </c>
      <c r="B214" s="4" t="s">
        <v>458</v>
      </c>
      <c r="C214" s="4"/>
      <c r="D214" s="4">
        <v>7</v>
      </c>
      <c r="E214" s="4"/>
      <c r="F214" s="4">
        <v>3</v>
      </c>
      <c r="G214" s="4">
        <v>10</v>
      </c>
      <c r="H214" s="4">
        <v>7</v>
      </c>
      <c r="I214" s="4"/>
      <c r="J214" s="4"/>
      <c r="K214" s="4">
        <v>11</v>
      </c>
      <c r="L214" s="4"/>
      <c r="M214" s="4"/>
      <c r="N214" s="4"/>
      <c r="O214" s="5">
        <f>SUM(Tabela323[[#This Row],[jan/23]:[dez/23]])</f>
        <v>38</v>
      </c>
    </row>
    <row r="215" spans="1:15" x14ac:dyDescent="0.25">
      <c r="A215" s="4" t="s">
        <v>445</v>
      </c>
      <c r="B215" s="4" t="s">
        <v>749</v>
      </c>
      <c r="C215" s="4">
        <v>8</v>
      </c>
      <c r="D215" s="4">
        <v>9</v>
      </c>
      <c r="E215" s="4">
        <v>6</v>
      </c>
      <c r="F215" s="4">
        <v>2</v>
      </c>
      <c r="G215" s="4">
        <v>4</v>
      </c>
      <c r="H215" s="4">
        <v>2</v>
      </c>
      <c r="I215" s="4">
        <v>2</v>
      </c>
      <c r="J215" s="4">
        <v>1</v>
      </c>
      <c r="K215" s="4"/>
      <c r="L215" s="4"/>
      <c r="M215" s="4">
        <v>1</v>
      </c>
      <c r="N215" s="4">
        <v>1</v>
      </c>
      <c r="O215" s="5">
        <f>SUM(Tabela323[[#This Row],[jan/23]:[dez/23]])</f>
        <v>36</v>
      </c>
    </row>
    <row r="216" spans="1:15" x14ac:dyDescent="0.25">
      <c r="A216" s="4" t="s">
        <v>443</v>
      </c>
      <c r="B216" s="4" t="s">
        <v>689</v>
      </c>
      <c r="C216" s="4">
        <v>1</v>
      </c>
      <c r="D216" s="4">
        <v>3</v>
      </c>
      <c r="E216" s="4">
        <v>6</v>
      </c>
      <c r="F216" s="4">
        <v>9</v>
      </c>
      <c r="G216" s="4">
        <v>11</v>
      </c>
      <c r="H216" s="4">
        <v>1</v>
      </c>
      <c r="I216" s="4">
        <v>1</v>
      </c>
      <c r="J216" s="4">
        <v>2</v>
      </c>
      <c r="K216" s="4">
        <v>1</v>
      </c>
      <c r="L216" s="4"/>
      <c r="M216" s="4"/>
      <c r="N216" s="4"/>
      <c r="O216" s="5">
        <f>SUM(Tabela323[[#This Row],[jan/23]:[dez/23]])</f>
        <v>35</v>
      </c>
    </row>
    <row r="217" spans="1:15" x14ac:dyDescent="0.25">
      <c r="A217" s="4" t="s">
        <v>441</v>
      </c>
      <c r="B217" s="4" t="s">
        <v>703</v>
      </c>
      <c r="C217" s="4"/>
      <c r="D217" s="4"/>
      <c r="E217" s="4"/>
      <c r="F217" s="4"/>
      <c r="G217" s="4"/>
      <c r="H217" s="4"/>
      <c r="I217" s="4"/>
      <c r="J217" s="4"/>
      <c r="K217" s="4"/>
      <c r="L217" s="4">
        <v>20</v>
      </c>
      <c r="M217" s="4">
        <v>4</v>
      </c>
      <c r="N217" s="4">
        <v>9</v>
      </c>
      <c r="O217" s="5">
        <f>SUM(Tabela323[[#This Row],[jan/23]:[dez/23]])</f>
        <v>33</v>
      </c>
    </row>
    <row r="218" spans="1:15" x14ac:dyDescent="0.25">
      <c r="A218" s="4" t="s">
        <v>439</v>
      </c>
      <c r="B218" s="4" t="s">
        <v>370</v>
      </c>
      <c r="C218" s="4">
        <v>2</v>
      </c>
      <c r="D218" s="4">
        <v>2</v>
      </c>
      <c r="E218" s="4">
        <v>4</v>
      </c>
      <c r="F218" s="4"/>
      <c r="G218" s="4">
        <v>3</v>
      </c>
      <c r="H218" s="4"/>
      <c r="I218" s="4"/>
      <c r="J218" s="4">
        <v>1</v>
      </c>
      <c r="K218" s="4">
        <v>4</v>
      </c>
      <c r="L218" s="4">
        <v>3</v>
      </c>
      <c r="M218" s="4">
        <v>5</v>
      </c>
      <c r="N218" s="4">
        <v>9</v>
      </c>
      <c r="O218" s="5">
        <f>SUM(Tabela323[[#This Row],[jan/23]:[dez/23]])</f>
        <v>33</v>
      </c>
    </row>
    <row r="219" spans="1:15" x14ac:dyDescent="0.25">
      <c r="A219" s="4" t="s">
        <v>437</v>
      </c>
      <c r="B219" s="4" t="s">
        <v>549</v>
      </c>
      <c r="C219" s="4">
        <v>3</v>
      </c>
      <c r="D219" s="4"/>
      <c r="E219" s="4">
        <v>1</v>
      </c>
      <c r="F219" s="4"/>
      <c r="G219" s="4">
        <v>2</v>
      </c>
      <c r="H219" s="4">
        <v>5</v>
      </c>
      <c r="I219" s="4">
        <v>15</v>
      </c>
      <c r="J219" s="4"/>
      <c r="K219" s="4">
        <v>3</v>
      </c>
      <c r="L219" s="4">
        <v>2</v>
      </c>
      <c r="M219" s="4">
        <v>2</v>
      </c>
      <c r="N219" s="4"/>
      <c r="O219" s="5">
        <f>SUM(Tabela323[[#This Row],[jan/23]:[dez/23]])</f>
        <v>33</v>
      </c>
    </row>
    <row r="220" spans="1:15" x14ac:dyDescent="0.25">
      <c r="A220" s="4" t="s">
        <v>435</v>
      </c>
      <c r="B220" s="4" t="s">
        <v>750</v>
      </c>
      <c r="C220" s="4">
        <v>13</v>
      </c>
      <c r="D220" s="4">
        <v>4</v>
      </c>
      <c r="E220" s="4">
        <v>5</v>
      </c>
      <c r="F220" s="4">
        <v>2</v>
      </c>
      <c r="G220" s="4">
        <v>1</v>
      </c>
      <c r="H220" s="4">
        <v>2</v>
      </c>
      <c r="I220" s="4">
        <v>1</v>
      </c>
      <c r="J220" s="4"/>
      <c r="K220" s="4"/>
      <c r="L220" s="4">
        <v>2</v>
      </c>
      <c r="M220" s="4">
        <v>1</v>
      </c>
      <c r="N220" s="4">
        <v>1</v>
      </c>
      <c r="O220" s="5">
        <f>SUM(Tabela323[[#This Row],[jan/23]:[dez/23]])</f>
        <v>32</v>
      </c>
    </row>
    <row r="221" spans="1:15" x14ac:dyDescent="0.25">
      <c r="A221" s="4" t="s">
        <v>433</v>
      </c>
      <c r="B221" s="4" t="s">
        <v>526</v>
      </c>
      <c r="C221" s="4"/>
      <c r="D221" s="4">
        <v>3</v>
      </c>
      <c r="E221" s="4">
        <v>3</v>
      </c>
      <c r="F221" s="4">
        <v>6</v>
      </c>
      <c r="G221" s="4">
        <v>5</v>
      </c>
      <c r="H221" s="4">
        <v>2</v>
      </c>
      <c r="I221" s="4">
        <v>2</v>
      </c>
      <c r="J221" s="4">
        <v>2</v>
      </c>
      <c r="K221" s="4">
        <v>2</v>
      </c>
      <c r="L221" s="4">
        <v>2</v>
      </c>
      <c r="M221" s="4">
        <v>3</v>
      </c>
      <c r="N221" s="4">
        <v>1</v>
      </c>
      <c r="O221" s="5">
        <f>SUM(Tabela323[[#This Row],[jan/23]:[dez/23]])</f>
        <v>31</v>
      </c>
    </row>
    <row r="222" spans="1:15" x14ac:dyDescent="0.25">
      <c r="A222" s="4" t="s">
        <v>431</v>
      </c>
      <c r="B222" s="4" t="s">
        <v>704</v>
      </c>
      <c r="C222" s="4">
        <v>2</v>
      </c>
      <c r="D222" s="4">
        <v>1</v>
      </c>
      <c r="E222" s="4">
        <v>2</v>
      </c>
      <c r="F222" s="4">
        <v>1</v>
      </c>
      <c r="G222" s="4">
        <v>18</v>
      </c>
      <c r="H222" s="4">
        <v>1</v>
      </c>
      <c r="I222" s="4"/>
      <c r="J222" s="4">
        <v>1</v>
      </c>
      <c r="K222" s="4">
        <v>1</v>
      </c>
      <c r="L222" s="4">
        <v>1</v>
      </c>
      <c r="M222" s="4">
        <v>1</v>
      </c>
      <c r="N222" s="4">
        <v>2</v>
      </c>
      <c r="O222" s="5">
        <f>SUM(Tabela323[[#This Row],[jan/23]:[dez/23]])</f>
        <v>31</v>
      </c>
    </row>
    <row r="223" spans="1:15" x14ac:dyDescent="0.25">
      <c r="A223" s="4" t="s">
        <v>429</v>
      </c>
      <c r="B223" s="4" t="s">
        <v>547</v>
      </c>
      <c r="C223" s="4">
        <v>3</v>
      </c>
      <c r="D223" s="4">
        <v>2</v>
      </c>
      <c r="E223" s="4">
        <v>2</v>
      </c>
      <c r="F223" s="4">
        <v>2</v>
      </c>
      <c r="G223" s="4">
        <v>2</v>
      </c>
      <c r="H223" s="4">
        <v>5</v>
      </c>
      <c r="I223" s="4">
        <v>5</v>
      </c>
      <c r="J223" s="4">
        <v>3</v>
      </c>
      <c r="K223" s="4">
        <v>1</v>
      </c>
      <c r="L223" s="4">
        <v>3</v>
      </c>
      <c r="M223" s="4">
        <v>1</v>
      </c>
      <c r="N223" s="4">
        <v>1</v>
      </c>
      <c r="O223" s="5">
        <f>SUM(Tabela323[[#This Row],[jan/23]:[dez/23]])</f>
        <v>30</v>
      </c>
    </row>
    <row r="224" spans="1:15" x14ac:dyDescent="0.25">
      <c r="A224" s="4" t="s">
        <v>473</v>
      </c>
      <c r="B224" s="4" t="s">
        <v>716</v>
      </c>
      <c r="C224" s="4">
        <v>8</v>
      </c>
      <c r="D224" s="4">
        <v>7</v>
      </c>
      <c r="E224" s="4">
        <v>4</v>
      </c>
      <c r="F224" s="4">
        <v>4</v>
      </c>
      <c r="G224" s="4">
        <v>4</v>
      </c>
      <c r="H224" s="4">
        <v>3</v>
      </c>
      <c r="I224" s="4"/>
      <c r="J224" s="4"/>
      <c r="K224" s="4"/>
      <c r="L224" s="4"/>
      <c r="M224" s="4"/>
      <c r="N224" s="4"/>
      <c r="O224" s="5">
        <f>SUM(Tabela323[[#This Row],[jan/23]:[dez/23]])</f>
        <v>30</v>
      </c>
    </row>
    <row r="225" spans="1:15" x14ac:dyDescent="0.25">
      <c r="A225" s="4" t="s">
        <v>471</v>
      </c>
      <c r="B225" s="4" t="s">
        <v>748</v>
      </c>
      <c r="C225" s="4">
        <v>2</v>
      </c>
      <c r="D225" s="4">
        <v>1</v>
      </c>
      <c r="E225" s="4">
        <v>3</v>
      </c>
      <c r="F225" s="4">
        <v>3</v>
      </c>
      <c r="G225" s="4">
        <v>2</v>
      </c>
      <c r="H225" s="4">
        <v>5</v>
      </c>
      <c r="I225" s="4">
        <v>2</v>
      </c>
      <c r="J225" s="4">
        <v>1</v>
      </c>
      <c r="K225" s="4">
        <v>2</v>
      </c>
      <c r="L225" s="4">
        <v>4</v>
      </c>
      <c r="M225" s="4">
        <v>2</v>
      </c>
      <c r="N225" s="4">
        <v>3</v>
      </c>
      <c r="O225" s="5">
        <f>SUM(Tabela323[[#This Row],[jan/23]:[dez/23]])</f>
        <v>30</v>
      </c>
    </row>
    <row r="226" spans="1:15" x14ac:dyDescent="0.25">
      <c r="A226" s="4" t="s">
        <v>469</v>
      </c>
      <c r="B226" s="4" t="s">
        <v>627</v>
      </c>
      <c r="C226" s="4">
        <v>1</v>
      </c>
      <c r="D226" s="4">
        <v>2</v>
      </c>
      <c r="E226" s="4">
        <v>2</v>
      </c>
      <c r="F226" s="4">
        <v>3</v>
      </c>
      <c r="G226" s="4">
        <v>1</v>
      </c>
      <c r="H226" s="4">
        <v>4</v>
      </c>
      <c r="I226" s="4">
        <v>3</v>
      </c>
      <c r="J226" s="4">
        <v>1</v>
      </c>
      <c r="K226" s="4">
        <v>3</v>
      </c>
      <c r="L226" s="4">
        <v>5</v>
      </c>
      <c r="M226" s="4">
        <v>2</v>
      </c>
      <c r="N226" s="4">
        <v>2</v>
      </c>
      <c r="O226" s="5">
        <f>SUM(Tabela323[[#This Row],[jan/23]:[dez/23]])</f>
        <v>29</v>
      </c>
    </row>
    <row r="227" spans="1:15" x14ac:dyDescent="0.25">
      <c r="A227" s="4" t="s">
        <v>467</v>
      </c>
      <c r="B227" s="4" t="s">
        <v>721</v>
      </c>
      <c r="C227" s="4">
        <v>4</v>
      </c>
      <c r="D227" s="4">
        <v>4</v>
      </c>
      <c r="E227" s="4">
        <v>1</v>
      </c>
      <c r="F227" s="4">
        <v>3</v>
      </c>
      <c r="G227" s="4">
        <v>3</v>
      </c>
      <c r="H227" s="4">
        <v>2</v>
      </c>
      <c r="I227" s="4">
        <v>2</v>
      </c>
      <c r="J227" s="4">
        <v>4</v>
      </c>
      <c r="K227" s="4">
        <v>4</v>
      </c>
      <c r="L227" s="4"/>
      <c r="M227" s="4"/>
      <c r="N227" s="4">
        <v>2</v>
      </c>
      <c r="O227" s="5">
        <f>SUM(Tabela323[[#This Row],[jan/23]:[dez/23]])</f>
        <v>29</v>
      </c>
    </row>
    <row r="228" spans="1:15" x14ac:dyDescent="0.25">
      <c r="A228" s="4" t="s">
        <v>465</v>
      </c>
      <c r="B228" s="4" t="s">
        <v>582</v>
      </c>
      <c r="C228" s="4">
        <v>4</v>
      </c>
      <c r="D228" s="4"/>
      <c r="E228" s="4">
        <v>1</v>
      </c>
      <c r="F228" s="4">
        <v>1</v>
      </c>
      <c r="G228" s="4">
        <v>10</v>
      </c>
      <c r="H228" s="4">
        <v>9</v>
      </c>
      <c r="I228" s="4"/>
      <c r="J228" s="4"/>
      <c r="K228" s="4">
        <v>4</v>
      </c>
      <c r="L228" s="4"/>
      <c r="M228" s="4"/>
      <c r="N228" s="4"/>
      <c r="O228" s="5">
        <f>SUM(Tabela323[[#This Row],[jan/23]:[dez/23]])</f>
        <v>29</v>
      </c>
    </row>
    <row r="229" spans="1:15" x14ac:dyDescent="0.25">
      <c r="A229" s="4" t="s">
        <v>463</v>
      </c>
      <c r="B229" s="4" t="s">
        <v>342</v>
      </c>
      <c r="C229" s="4">
        <v>2</v>
      </c>
      <c r="D229" s="4">
        <v>1</v>
      </c>
      <c r="E229" s="4">
        <v>4</v>
      </c>
      <c r="F229" s="4">
        <v>1</v>
      </c>
      <c r="G229" s="4">
        <v>3</v>
      </c>
      <c r="H229" s="4">
        <v>3</v>
      </c>
      <c r="I229" s="4">
        <v>1</v>
      </c>
      <c r="J229" s="4">
        <v>3</v>
      </c>
      <c r="K229" s="4">
        <v>1</v>
      </c>
      <c r="L229" s="4">
        <v>1</v>
      </c>
      <c r="M229" s="4">
        <v>1</v>
      </c>
      <c r="N229" s="4">
        <v>6</v>
      </c>
      <c r="O229" s="5">
        <f>SUM(Tabela323[[#This Row],[jan/23]:[dez/23]])</f>
        <v>27</v>
      </c>
    </row>
    <row r="230" spans="1:15" x14ac:dyDescent="0.25">
      <c r="A230" s="4" t="s">
        <v>461</v>
      </c>
      <c r="B230" s="4" t="s">
        <v>394</v>
      </c>
      <c r="C230" s="4">
        <v>7</v>
      </c>
      <c r="D230" s="4">
        <v>1</v>
      </c>
      <c r="E230" s="4">
        <v>4</v>
      </c>
      <c r="F230" s="4">
        <v>4</v>
      </c>
      <c r="G230" s="4">
        <v>3</v>
      </c>
      <c r="H230" s="4">
        <v>4</v>
      </c>
      <c r="I230" s="4">
        <v>1</v>
      </c>
      <c r="J230" s="4">
        <v>2</v>
      </c>
      <c r="K230" s="4"/>
      <c r="L230" s="4"/>
      <c r="M230" s="4"/>
      <c r="N230" s="4"/>
      <c r="O230" s="5">
        <f>SUM(Tabela323[[#This Row],[jan/23]:[dez/23]])</f>
        <v>26</v>
      </c>
    </row>
    <row r="231" spans="1:15" x14ac:dyDescent="0.25">
      <c r="A231" s="4" t="s">
        <v>459</v>
      </c>
      <c r="B231" s="4" t="s">
        <v>745</v>
      </c>
      <c r="C231" s="4">
        <v>5</v>
      </c>
      <c r="D231" s="4">
        <v>2</v>
      </c>
      <c r="E231" s="4">
        <v>3</v>
      </c>
      <c r="F231" s="4">
        <v>2</v>
      </c>
      <c r="G231" s="4">
        <v>4</v>
      </c>
      <c r="H231" s="4">
        <v>4</v>
      </c>
      <c r="I231" s="4">
        <v>2</v>
      </c>
      <c r="J231" s="4">
        <v>2</v>
      </c>
      <c r="K231" s="4"/>
      <c r="L231" s="4"/>
      <c r="M231" s="4"/>
      <c r="N231" s="4">
        <v>1</v>
      </c>
      <c r="O231" s="5">
        <f>SUM(Tabela323[[#This Row],[jan/23]:[dez/23]])</f>
        <v>25</v>
      </c>
    </row>
    <row r="232" spans="1:15" x14ac:dyDescent="0.25">
      <c r="A232" s="4" t="s">
        <v>457</v>
      </c>
      <c r="B232" s="4" t="s">
        <v>747</v>
      </c>
      <c r="C232" s="4">
        <v>3</v>
      </c>
      <c r="D232" s="4">
        <v>9</v>
      </c>
      <c r="E232" s="4">
        <v>1</v>
      </c>
      <c r="F232" s="4">
        <v>2</v>
      </c>
      <c r="G232" s="4">
        <v>3</v>
      </c>
      <c r="H232" s="4">
        <v>1</v>
      </c>
      <c r="I232" s="4">
        <v>1</v>
      </c>
      <c r="J232" s="4"/>
      <c r="K232" s="4"/>
      <c r="L232" s="4">
        <v>2</v>
      </c>
      <c r="M232" s="4"/>
      <c r="N232" s="4">
        <v>2</v>
      </c>
      <c r="O232" s="5">
        <f>SUM(Tabela323[[#This Row],[jan/23]:[dez/23]])</f>
        <v>24</v>
      </c>
    </row>
    <row r="233" spans="1:15" x14ac:dyDescent="0.25">
      <c r="A233" s="4" t="s">
        <v>455</v>
      </c>
      <c r="B233" s="4" t="s">
        <v>358</v>
      </c>
      <c r="C233" s="4"/>
      <c r="D233" s="4"/>
      <c r="E233" s="4">
        <v>2</v>
      </c>
      <c r="F233" s="4">
        <v>2</v>
      </c>
      <c r="G233" s="4">
        <v>10</v>
      </c>
      <c r="H233" s="4">
        <v>4</v>
      </c>
      <c r="I233" s="4">
        <v>2</v>
      </c>
      <c r="J233" s="4">
        <v>3</v>
      </c>
      <c r="K233" s="4"/>
      <c r="L233" s="4"/>
      <c r="M233" s="4">
        <v>1</v>
      </c>
      <c r="N233" s="4"/>
      <c r="O233" s="5">
        <f>SUM(Tabela323[[#This Row],[jan/23]:[dez/23]])</f>
        <v>24</v>
      </c>
    </row>
    <row r="234" spans="1:15" x14ac:dyDescent="0.25">
      <c r="A234" s="4" t="s">
        <v>453</v>
      </c>
      <c r="B234" s="4" t="s">
        <v>510</v>
      </c>
      <c r="C234" s="4"/>
      <c r="D234" s="4">
        <v>2</v>
      </c>
      <c r="E234" s="4">
        <v>3</v>
      </c>
      <c r="F234" s="4"/>
      <c r="G234" s="4">
        <v>4</v>
      </c>
      <c r="H234" s="4">
        <v>2</v>
      </c>
      <c r="I234" s="4">
        <v>3</v>
      </c>
      <c r="J234" s="4">
        <v>1</v>
      </c>
      <c r="K234" s="4">
        <v>1</v>
      </c>
      <c r="L234" s="4"/>
      <c r="M234" s="4">
        <v>6</v>
      </c>
      <c r="N234" s="4">
        <v>1</v>
      </c>
      <c r="O234" s="5">
        <f>SUM(Tabela323[[#This Row],[jan/23]:[dez/23]])</f>
        <v>23</v>
      </c>
    </row>
    <row r="235" spans="1:15" x14ac:dyDescent="0.25">
      <c r="A235" s="4" t="s">
        <v>451</v>
      </c>
      <c r="B235" s="4" t="s">
        <v>794</v>
      </c>
      <c r="C235" s="4">
        <v>12</v>
      </c>
      <c r="D235" s="4">
        <v>5</v>
      </c>
      <c r="E235" s="4">
        <v>2</v>
      </c>
      <c r="F235" s="4">
        <v>1</v>
      </c>
      <c r="G235" s="4">
        <v>1</v>
      </c>
      <c r="H235" s="4">
        <v>2</v>
      </c>
      <c r="I235" s="4"/>
      <c r="J235" s="4"/>
      <c r="K235" s="4"/>
      <c r="L235" s="4"/>
      <c r="M235" s="4"/>
      <c r="N235" s="4"/>
      <c r="O235" s="5">
        <f>SUM(Tabela323[[#This Row],[jan/23]:[dez/23]])</f>
        <v>23</v>
      </c>
    </row>
    <row r="236" spans="1:15" x14ac:dyDescent="0.25">
      <c r="A236" s="4" t="s">
        <v>449</v>
      </c>
      <c r="B236" s="4" t="s">
        <v>364</v>
      </c>
      <c r="C236" s="4">
        <v>5</v>
      </c>
      <c r="D236" s="4">
        <v>4</v>
      </c>
      <c r="E236" s="4">
        <v>1</v>
      </c>
      <c r="F236" s="4">
        <v>1</v>
      </c>
      <c r="G236" s="4">
        <v>1</v>
      </c>
      <c r="H236" s="4">
        <v>2</v>
      </c>
      <c r="I236" s="4">
        <v>6</v>
      </c>
      <c r="J236" s="4">
        <v>1</v>
      </c>
      <c r="K236" s="4">
        <v>2</v>
      </c>
      <c r="L236" s="4"/>
      <c r="M236" s="4"/>
      <c r="N236" s="4"/>
      <c r="O236" s="5">
        <f>SUM(Tabela323[[#This Row],[jan/23]:[dez/23]])</f>
        <v>23</v>
      </c>
    </row>
    <row r="237" spans="1:15" x14ac:dyDescent="0.25">
      <c r="A237" s="4" t="s">
        <v>447</v>
      </c>
      <c r="B237" s="4" t="s">
        <v>795</v>
      </c>
      <c r="C237" s="4">
        <v>4</v>
      </c>
      <c r="D237" s="4">
        <v>5</v>
      </c>
      <c r="E237" s="4">
        <v>2</v>
      </c>
      <c r="F237" s="4">
        <v>4</v>
      </c>
      <c r="G237" s="4">
        <v>4</v>
      </c>
      <c r="H237" s="4">
        <v>1</v>
      </c>
      <c r="I237" s="4">
        <v>2</v>
      </c>
      <c r="J237" s="4"/>
      <c r="K237" s="4">
        <v>1</v>
      </c>
      <c r="L237" s="4"/>
      <c r="M237" s="4"/>
      <c r="N237" s="4"/>
      <c r="O237" s="5">
        <f>SUM(Tabela323[[#This Row],[jan/23]:[dez/23]])</f>
        <v>23</v>
      </c>
    </row>
    <row r="238" spans="1:15" x14ac:dyDescent="0.25">
      <c r="A238" s="4" t="s">
        <v>515</v>
      </c>
      <c r="B238" s="4" t="s">
        <v>484</v>
      </c>
      <c r="C238" s="4">
        <v>3</v>
      </c>
      <c r="D238" s="4">
        <v>3</v>
      </c>
      <c r="E238" s="4"/>
      <c r="F238" s="4">
        <v>6</v>
      </c>
      <c r="G238" s="4">
        <v>5</v>
      </c>
      <c r="H238" s="4">
        <v>5</v>
      </c>
      <c r="I238" s="4"/>
      <c r="J238" s="4"/>
      <c r="K238" s="4"/>
      <c r="L238" s="4"/>
      <c r="M238" s="4"/>
      <c r="N238" s="4"/>
      <c r="O238" s="5">
        <f>SUM(Tabela323[[#This Row],[jan/23]:[dez/23]])</f>
        <v>22</v>
      </c>
    </row>
    <row r="239" spans="1:15" x14ac:dyDescent="0.25">
      <c r="A239" s="4" t="s">
        <v>513</v>
      </c>
      <c r="B239" s="4" t="s">
        <v>708</v>
      </c>
      <c r="C239" s="4">
        <v>4</v>
      </c>
      <c r="D239" s="4">
        <v>4</v>
      </c>
      <c r="E239" s="4">
        <v>4</v>
      </c>
      <c r="F239" s="4"/>
      <c r="G239" s="4">
        <v>1</v>
      </c>
      <c r="H239" s="4">
        <v>2</v>
      </c>
      <c r="I239" s="4">
        <v>1</v>
      </c>
      <c r="J239" s="4">
        <v>2</v>
      </c>
      <c r="K239" s="4">
        <v>1</v>
      </c>
      <c r="L239" s="4">
        <v>1</v>
      </c>
      <c r="M239" s="4">
        <v>1</v>
      </c>
      <c r="N239" s="4">
        <v>1</v>
      </c>
      <c r="O239" s="5">
        <f>SUM(Tabela323[[#This Row],[jan/23]:[dez/23]])</f>
        <v>22</v>
      </c>
    </row>
    <row r="240" spans="1:15" x14ac:dyDescent="0.25">
      <c r="A240" s="4" t="s">
        <v>511</v>
      </c>
      <c r="B240" s="4" t="s">
        <v>796</v>
      </c>
      <c r="C240" s="4">
        <v>7</v>
      </c>
      <c r="D240" s="4">
        <v>3</v>
      </c>
      <c r="E240" s="4">
        <v>1</v>
      </c>
      <c r="F240" s="4">
        <v>2</v>
      </c>
      <c r="G240" s="4">
        <v>2</v>
      </c>
      <c r="H240" s="4">
        <v>4</v>
      </c>
      <c r="I240" s="4"/>
      <c r="J240" s="4"/>
      <c r="K240" s="4"/>
      <c r="L240" s="4"/>
      <c r="M240" s="4">
        <v>2</v>
      </c>
      <c r="N240" s="4"/>
      <c r="O240" s="5">
        <f>SUM(Tabela323[[#This Row],[jan/23]:[dez/23]])</f>
        <v>21</v>
      </c>
    </row>
    <row r="241" spans="1:15" x14ac:dyDescent="0.25">
      <c r="A241" s="4" t="s">
        <v>509</v>
      </c>
      <c r="B241" s="4" t="s">
        <v>468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>
        <v>6</v>
      </c>
      <c r="N241" s="4">
        <v>11</v>
      </c>
      <c r="O241" s="5">
        <f>SUM(Tabela323[[#This Row],[jan/23]:[dez/23]])</f>
        <v>17</v>
      </c>
    </row>
    <row r="242" spans="1:15" x14ac:dyDescent="0.25">
      <c r="A242" s="4" t="s">
        <v>507</v>
      </c>
      <c r="B242" s="4" t="s">
        <v>266</v>
      </c>
      <c r="C242" s="4">
        <v>1</v>
      </c>
      <c r="D242" s="4"/>
      <c r="E242" s="4">
        <v>2</v>
      </c>
      <c r="F242" s="4">
        <v>2</v>
      </c>
      <c r="G242" s="4">
        <v>2</v>
      </c>
      <c r="H242" s="4">
        <v>1</v>
      </c>
      <c r="I242" s="4"/>
      <c r="J242" s="4"/>
      <c r="K242" s="4"/>
      <c r="L242" s="4"/>
      <c r="M242" s="4">
        <v>5</v>
      </c>
      <c r="N242" s="4">
        <v>4</v>
      </c>
      <c r="O242" s="5">
        <f>SUM(Tabela323[[#This Row],[jan/23]:[dez/23]])</f>
        <v>17</v>
      </c>
    </row>
    <row r="243" spans="1:15" x14ac:dyDescent="0.25">
      <c r="A243" s="4" t="s">
        <v>505</v>
      </c>
      <c r="B243" s="4" t="s">
        <v>418</v>
      </c>
      <c r="C243" s="4">
        <v>2</v>
      </c>
      <c r="D243" s="4"/>
      <c r="E243" s="4">
        <v>2</v>
      </c>
      <c r="F243" s="4"/>
      <c r="G243" s="4">
        <v>2</v>
      </c>
      <c r="H243" s="4">
        <v>3</v>
      </c>
      <c r="I243" s="4">
        <v>2</v>
      </c>
      <c r="J243" s="4">
        <v>1</v>
      </c>
      <c r="K243" s="4">
        <v>1</v>
      </c>
      <c r="L243" s="4">
        <v>1</v>
      </c>
      <c r="M243" s="4"/>
      <c r="N243" s="4">
        <v>3</v>
      </c>
      <c r="O243" s="5">
        <f>SUM(Tabela323[[#This Row],[jan/23]:[dez/23]])</f>
        <v>17</v>
      </c>
    </row>
    <row r="244" spans="1:15" x14ac:dyDescent="0.25">
      <c r="A244" s="4" t="s">
        <v>503</v>
      </c>
      <c r="B244" s="4" t="s">
        <v>356</v>
      </c>
      <c r="C244" s="4"/>
      <c r="D244" s="4">
        <v>1</v>
      </c>
      <c r="E244" s="4">
        <v>5</v>
      </c>
      <c r="F244" s="4">
        <v>3</v>
      </c>
      <c r="G244" s="4">
        <v>1</v>
      </c>
      <c r="H244" s="4">
        <v>1</v>
      </c>
      <c r="I244" s="4">
        <v>1</v>
      </c>
      <c r="J244" s="4"/>
      <c r="K244" s="4"/>
      <c r="L244" s="4">
        <v>4</v>
      </c>
      <c r="M244" s="4">
        <v>1</v>
      </c>
      <c r="N244" s="4"/>
      <c r="O244" s="5">
        <f>SUM(Tabela323[[#This Row],[jan/23]:[dez/23]])</f>
        <v>17</v>
      </c>
    </row>
    <row r="245" spans="1:15" x14ac:dyDescent="0.25">
      <c r="A245" s="4" t="s">
        <v>501</v>
      </c>
      <c r="B245" s="4" t="s">
        <v>668</v>
      </c>
      <c r="C245" s="4">
        <v>2</v>
      </c>
      <c r="D245" s="4">
        <v>5</v>
      </c>
      <c r="E245" s="4">
        <v>4</v>
      </c>
      <c r="F245" s="4">
        <v>1</v>
      </c>
      <c r="G245" s="4">
        <v>2</v>
      </c>
      <c r="H245" s="4"/>
      <c r="I245" s="4"/>
      <c r="J245" s="4">
        <v>2</v>
      </c>
      <c r="K245" s="4"/>
      <c r="L245" s="4"/>
      <c r="M245" s="4"/>
      <c r="N245" s="4"/>
      <c r="O245" s="5">
        <f>SUM(Tabela323[[#This Row],[jan/23]:[dez/23]])</f>
        <v>16</v>
      </c>
    </row>
    <row r="246" spans="1:15" x14ac:dyDescent="0.25">
      <c r="A246" s="4" t="s">
        <v>499</v>
      </c>
      <c r="B246" s="4" t="s">
        <v>543</v>
      </c>
      <c r="C246" s="4">
        <v>1</v>
      </c>
      <c r="D246" s="4">
        <v>1</v>
      </c>
      <c r="E246" s="4">
        <v>1</v>
      </c>
      <c r="F246" s="4">
        <v>1</v>
      </c>
      <c r="G246" s="4"/>
      <c r="H246" s="4">
        <v>3</v>
      </c>
      <c r="I246" s="4"/>
      <c r="J246" s="4">
        <v>2</v>
      </c>
      <c r="K246" s="4">
        <v>2</v>
      </c>
      <c r="L246" s="4">
        <v>1</v>
      </c>
      <c r="M246" s="4"/>
      <c r="N246" s="4">
        <v>4</v>
      </c>
      <c r="O246" s="5">
        <f>SUM(Tabela323[[#This Row],[jan/23]:[dez/23]])</f>
        <v>16</v>
      </c>
    </row>
    <row r="247" spans="1:15" x14ac:dyDescent="0.25">
      <c r="A247" s="4" t="s">
        <v>497</v>
      </c>
      <c r="B247" s="4" t="s">
        <v>760</v>
      </c>
      <c r="C247" s="4"/>
      <c r="D247" s="4"/>
      <c r="E247" s="4">
        <v>3</v>
      </c>
      <c r="F247" s="4">
        <v>1</v>
      </c>
      <c r="G247" s="4"/>
      <c r="H247" s="4"/>
      <c r="I247" s="4">
        <v>2</v>
      </c>
      <c r="J247" s="4">
        <v>2</v>
      </c>
      <c r="K247" s="4">
        <v>1</v>
      </c>
      <c r="L247" s="4"/>
      <c r="M247" s="4">
        <v>2</v>
      </c>
      <c r="N247" s="4">
        <v>2</v>
      </c>
      <c r="O247" s="5">
        <f>SUM(Tabela323[[#This Row],[jan/23]:[dez/23]])</f>
        <v>13</v>
      </c>
    </row>
    <row r="248" spans="1:15" x14ac:dyDescent="0.25">
      <c r="A248" s="4" t="s">
        <v>495</v>
      </c>
      <c r="B248" s="4" t="s">
        <v>718</v>
      </c>
      <c r="C248" s="4">
        <v>2</v>
      </c>
      <c r="D248" s="4">
        <v>3</v>
      </c>
      <c r="E248" s="4">
        <v>4</v>
      </c>
      <c r="F248" s="4"/>
      <c r="G248" s="4"/>
      <c r="H248" s="4">
        <v>2</v>
      </c>
      <c r="I248" s="4"/>
      <c r="J248" s="4">
        <v>1</v>
      </c>
      <c r="K248" s="4"/>
      <c r="L248" s="4">
        <v>1</v>
      </c>
      <c r="M248" s="4"/>
      <c r="N248" s="4"/>
      <c r="O248" s="5">
        <f>SUM(Tabela323[[#This Row],[jan/23]:[dez/23]])</f>
        <v>13</v>
      </c>
    </row>
    <row r="249" spans="1:15" x14ac:dyDescent="0.25">
      <c r="A249" s="4" t="s">
        <v>493</v>
      </c>
      <c r="B249" s="4" t="s">
        <v>797</v>
      </c>
      <c r="C249" s="4">
        <v>3</v>
      </c>
      <c r="D249" s="4">
        <v>3</v>
      </c>
      <c r="E249" s="4">
        <v>2</v>
      </c>
      <c r="F249" s="4">
        <v>2</v>
      </c>
      <c r="G249" s="4">
        <v>1</v>
      </c>
      <c r="H249" s="4"/>
      <c r="I249" s="4"/>
      <c r="J249" s="4"/>
      <c r="K249" s="4">
        <v>1</v>
      </c>
      <c r="L249" s="4"/>
      <c r="M249" s="4"/>
      <c r="N249" s="4"/>
      <c r="O249" s="5">
        <f>SUM(Tabela323[[#This Row],[jan/23]:[dez/23]])</f>
        <v>12</v>
      </c>
    </row>
    <row r="250" spans="1:15" x14ac:dyDescent="0.25">
      <c r="A250" s="4" t="s">
        <v>491</v>
      </c>
      <c r="B250" s="4" t="s">
        <v>798</v>
      </c>
      <c r="C250" s="4">
        <v>2</v>
      </c>
      <c r="D250" s="4">
        <v>2</v>
      </c>
      <c r="E250" s="4"/>
      <c r="F250" s="4">
        <v>1</v>
      </c>
      <c r="G250" s="4"/>
      <c r="H250" s="4">
        <v>2</v>
      </c>
      <c r="I250" s="4">
        <v>2</v>
      </c>
      <c r="J250" s="4">
        <v>1</v>
      </c>
      <c r="K250" s="4">
        <v>1</v>
      </c>
      <c r="L250" s="4"/>
      <c r="M250" s="4">
        <v>1</v>
      </c>
      <c r="N250" s="4"/>
      <c r="O250" s="5">
        <f>SUM(Tabela323[[#This Row],[jan/23]:[dez/23]])</f>
        <v>12</v>
      </c>
    </row>
    <row r="251" spans="1:15" x14ac:dyDescent="0.25">
      <c r="A251" s="4" t="s">
        <v>489</v>
      </c>
      <c r="B251" s="4" t="s">
        <v>589</v>
      </c>
      <c r="C251" s="4"/>
      <c r="D251" s="4"/>
      <c r="E251" s="4"/>
      <c r="F251" s="4"/>
      <c r="G251" s="4"/>
      <c r="H251" s="4"/>
      <c r="I251" s="4"/>
      <c r="J251" s="4"/>
      <c r="K251" s="4"/>
      <c r="L251" s="4">
        <v>5</v>
      </c>
      <c r="M251" s="4">
        <v>4</v>
      </c>
      <c r="N251" s="4">
        <v>3</v>
      </c>
      <c r="O251" s="5">
        <f>SUM(Tabela323[[#This Row],[jan/23]:[dez/23]])</f>
        <v>12</v>
      </c>
    </row>
    <row r="252" spans="1:15" x14ac:dyDescent="0.25">
      <c r="A252" s="4" t="s">
        <v>487</v>
      </c>
      <c r="B252" s="4" t="s">
        <v>340</v>
      </c>
      <c r="C252" s="4">
        <v>1</v>
      </c>
      <c r="D252" s="4">
        <v>1</v>
      </c>
      <c r="E252" s="4"/>
      <c r="F252" s="4"/>
      <c r="G252" s="4"/>
      <c r="H252" s="4"/>
      <c r="I252" s="4"/>
      <c r="J252" s="4">
        <v>3</v>
      </c>
      <c r="K252" s="4">
        <v>3</v>
      </c>
      <c r="L252" s="4">
        <v>2</v>
      </c>
      <c r="M252" s="4">
        <v>1</v>
      </c>
      <c r="N252" s="4"/>
      <c r="O252" s="5">
        <f>SUM(Tabela323[[#This Row],[jan/23]:[dez/23]])</f>
        <v>11</v>
      </c>
    </row>
    <row r="253" spans="1:15" x14ac:dyDescent="0.25">
      <c r="A253" s="4" t="s">
        <v>485</v>
      </c>
      <c r="B253" s="4" t="s">
        <v>728</v>
      </c>
      <c r="C253" s="4">
        <v>1</v>
      </c>
      <c r="D253" s="4">
        <v>1</v>
      </c>
      <c r="E253" s="4">
        <v>2</v>
      </c>
      <c r="F253" s="4">
        <v>2</v>
      </c>
      <c r="G253" s="4">
        <v>4</v>
      </c>
      <c r="H253" s="4"/>
      <c r="I253" s="4">
        <v>1</v>
      </c>
      <c r="J253" s="4"/>
      <c r="K253" s="4"/>
      <c r="L253" s="4"/>
      <c r="M253" s="4"/>
      <c r="N253" s="4"/>
      <c r="O253" s="5">
        <f>SUM(Tabela323[[#This Row],[jan/23]:[dez/23]])</f>
        <v>11</v>
      </c>
    </row>
    <row r="254" spans="1:15" x14ac:dyDescent="0.25">
      <c r="A254" s="4" t="s">
        <v>483</v>
      </c>
      <c r="B254" s="4" t="s">
        <v>496</v>
      </c>
      <c r="C254" s="4">
        <v>2</v>
      </c>
      <c r="D254" s="4">
        <v>3</v>
      </c>
      <c r="E254" s="4">
        <v>2</v>
      </c>
      <c r="F254" s="4"/>
      <c r="G254" s="4">
        <v>2</v>
      </c>
      <c r="H254" s="4">
        <v>1</v>
      </c>
      <c r="I254" s="4"/>
      <c r="J254" s="4"/>
      <c r="K254" s="4"/>
      <c r="L254" s="4">
        <v>1</v>
      </c>
      <c r="M254" s="4"/>
      <c r="N254" s="4"/>
      <c r="O254" s="5">
        <f>SUM(Tabela323[[#This Row],[jan/23]:[dez/23]])</f>
        <v>11</v>
      </c>
    </row>
    <row r="255" spans="1:15" x14ac:dyDescent="0.25">
      <c r="A255" s="4" t="s">
        <v>481</v>
      </c>
      <c r="B255" s="4" t="s">
        <v>590</v>
      </c>
      <c r="C255" s="4">
        <v>4</v>
      </c>
      <c r="D255" s="4"/>
      <c r="E255" s="4">
        <v>1</v>
      </c>
      <c r="F255" s="4"/>
      <c r="G255" s="4">
        <v>1</v>
      </c>
      <c r="H255" s="4">
        <v>1</v>
      </c>
      <c r="I255" s="4">
        <v>1</v>
      </c>
      <c r="J255" s="4">
        <v>2</v>
      </c>
      <c r="K255" s="4">
        <v>1</v>
      </c>
      <c r="L255" s="4"/>
      <c r="M255" s="4"/>
      <c r="N255" s="4"/>
      <c r="O255" s="5">
        <f>SUM(Tabela323[[#This Row],[jan/23]:[dez/23]])</f>
        <v>11</v>
      </c>
    </row>
    <row r="256" spans="1:15" x14ac:dyDescent="0.25">
      <c r="A256" s="4" t="s">
        <v>479</v>
      </c>
      <c r="B256" s="4" t="s">
        <v>799</v>
      </c>
      <c r="C256" s="4">
        <v>4</v>
      </c>
      <c r="D256" s="4">
        <v>1</v>
      </c>
      <c r="E256" s="4"/>
      <c r="F256" s="4">
        <v>1</v>
      </c>
      <c r="G256" s="4">
        <v>1</v>
      </c>
      <c r="H256" s="4"/>
      <c r="I256" s="4">
        <v>1</v>
      </c>
      <c r="J256" s="4">
        <v>1</v>
      </c>
      <c r="K256" s="4"/>
      <c r="L256" s="4">
        <v>1</v>
      </c>
      <c r="M256" s="4"/>
      <c r="N256" s="4"/>
      <c r="O256" s="5">
        <f>SUM(Tabela323[[#This Row],[jan/23]:[dez/23]])</f>
        <v>10</v>
      </c>
    </row>
    <row r="257" spans="1:15" x14ac:dyDescent="0.25">
      <c r="A257" s="4" t="s">
        <v>477</v>
      </c>
      <c r="B257" s="4" t="s">
        <v>800</v>
      </c>
      <c r="C257" s="4">
        <v>9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>
        <f>SUM(Tabela323[[#This Row],[jan/23]:[dez/23]])</f>
        <v>9</v>
      </c>
    </row>
    <row r="258" spans="1:15" x14ac:dyDescent="0.25">
      <c r="A258" s="4" t="s">
        <v>475</v>
      </c>
      <c r="B258" s="4" t="s">
        <v>634</v>
      </c>
      <c r="C258" s="4"/>
      <c r="D258" s="4"/>
      <c r="E258" s="4"/>
      <c r="F258" s="4"/>
      <c r="G258" s="4">
        <v>2</v>
      </c>
      <c r="H258" s="4">
        <v>1</v>
      </c>
      <c r="I258" s="4"/>
      <c r="J258" s="4"/>
      <c r="K258" s="4">
        <v>1</v>
      </c>
      <c r="L258" s="4"/>
      <c r="M258" s="4"/>
      <c r="N258" s="4">
        <v>5</v>
      </c>
      <c r="O258" s="5">
        <f>SUM(Tabela323[[#This Row],[jan/23]:[dez/23]])</f>
        <v>9</v>
      </c>
    </row>
    <row r="259" spans="1:15" x14ac:dyDescent="0.25">
      <c r="A259" s="4" t="s">
        <v>555</v>
      </c>
      <c r="B259" s="4" t="s">
        <v>711</v>
      </c>
      <c r="C259" s="4">
        <v>2</v>
      </c>
      <c r="D259" s="4">
        <v>1</v>
      </c>
      <c r="E259" s="4"/>
      <c r="F259" s="4"/>
      <c r="G259" s="4"/>
      <c r="H259" s="4">
        <v>2</v>
      </c>
      <c r="I259" s="4">
        <v>2</v>
      </c>
      <c r="J259" s="4"/>
      <c r="K259" s="4"/>
      <c r="L259" s="4"/>
      <c r="M259" s="4">
        <v>2</v>
      </c>
      <c r="N259" s="4"/>
      <c r="O259" s="5">
        <f>SUM(Tabela323[[#This Row],[jan/23]:[dez/23]])</f>
        <v>9</v>
      </c>
    </row>
    <row r="260" spans="1:15" x14ac:dyDescent="0.25">
      <c r="A260" s="4" t="s">
        <v>556</v>
      </c>
      <c r="B260" s="4" t="s">
        <v>714</v>
      </c>
      <c r="C260" s="4"/>
      <c r="D260" s="4"/>
      <c r="E260" s="4">
        <v>1</v>
      </c>
      <c r="F260" s="4"/>
      <c r="G260" s="4">
        <v>1</v>
      </c>
      <c r="H260" s="4">
        <v>7</v>
      </c>
      <c r="I260" s="4"/>
      <c r="J260" s="4"/>
      <c r="K260" s="4"/>
      <c r="L260" s="4"/>
      <c r="M260" s="4"/>
      <c r="N260" s="4"/>
      <c r="O260" s="5">
        <f>SUM(Tabela323[[#This Row],[jan/23]:[dez/23]])</f>
        <v>9</v>
      </c>
    </row>
    <row r="261" spans="1:15" x14ac:dyDescent="0.25">
      <c r="A261" s="4" t="s">
        <v>557</v>
      </c>
      <c r="B261" s="4" t="s">
        <v>801</v>
      </c>
      <c r="C261" s="4"/>
      <c r="D261" s="4"/>
      <c r="E261" s="4"/>
      <c r="F261" s="4"/>
      <c r="G261" s="4">
        <v>1</v>
      </c>
      <c r="H261" s="4">
        <v>3</v>
      </c>
      <c r="I261" s="4">
        <v>4</v>
      </c>
      <c r="J261" s="4"/>
      <c r="K261" s="4"/>
      <c r="L261" s="4"/>
      <c r="M261" s="4"/>
      <c r="N261" s="4"/>
      <c r="O261" s="5">
        <f>SUM(Tabela323[[#This Row],[jan/23]:[dez/23]])</f>
        <v>8</v>
      </c>
    </row>
    <row r="262" spans="1:15" x14ac:dyDescent="0.25">
      <c r="A262" s="4" t="s">
        <v>558</v>
      </c>
      <c r="B262" s="4" t="s">
        <v>636</v>
      </c>
      <c r="C262" s="4">
        <v>6</v>
      </c>
      <c r="D262" s="4">
        <v>1</v>
      </c>
      <c r="E262" s="4">
        <v>1</v>
      </c>
      <c r="F262" s="4"/>
      <c r="G262" s="4"/>
      <c r="H262" s="4"/>
      <c r="I262" s="4"/>
      <c r="J262" s="4"/>
      <c r="K262" s="4"/>
      <c r="L262" s="4"/>
      <c r="M262" s="4"/>
      <c r="N262" s="4"/>
      <c r="O262" s="5">
        <f>SUM(Tabela323[[#This Row],[jan/23]:[dez/23]])</f>
        <v>8</v>
      </c>
    </row>
    <row r="263" spans="1:15" x14ac:dyDescent="0.25">
      <c r="A263" s="4" t="s">
        <v>559</v>
      </c>
      <c r="B263" s="4" t="s">
        <v>705</v>
      </c>
      <c r="C263" s="4">
        <v>1</v>
      </c>
      <c r="D263" s="4">
        <v>1</v>
      </c>
      <c r="E263" s="4">
        <v>4</v>
      </c>
      <c r="F263" s="4">
        <v>2</v>
      </c>
      <c r="G263" s="4"/>
      <c r="H263" s="4"/>
      <c r="I263" s="4"/>
      <c r="J263" s="4"/>
      <c r="K263" s="4"/>
      <c r="L263" s="4"/>
      <c r="M263" s="4"/>
      <c r="N263" s="4"/>
      <c r="O263" s="5">
        <f>SUM(Tabela323[[#This Row],[jan/23]:[dez/23]])</f>
        <v>8</v>
      </c>
    </row>
    <row r="264" spans="1:15" x14ac:dyDescent="0.25">
      <c r="A264" s="4" t="s">
        <v>561</v>
      </c>
      <c r="B264" s="4" t="s">
        <v>802</v>
      </c>
      <c r="C264" s="4"/>
      <c r="D264" s="4">
        <v>2</v>
      </c>
      <c r="E264" s="4">
        <v>1</v>
      </c>
      <c r="F264" s="4">
        <v>1</v>
      </c>
      <c r="G264" s="4"/>
      <c r="H264" s="4"/>
      <c r="I264" s="4">
        <v>1</v>
      </c>
      <c r="J264" s="4">
        <v>2</v>
      </c>
      <c r="K264" s="4"/>
      <c r="L264" s="4"/>
      <c r="M264" s="4"/>
      <c r="N264" s="4"/>
      <c r="O264" s="5">
        <f>SUM(Tabela323[[#This Row],[jan/23]:[dez/23]])</f>
        <v>7</v>
      </c>
    </row>
    <row r="265" spans="1:15" x14ac:dyDescent="0.25">
      <c r="A265" s="4" t="s">
        <v>563</v>
      </c>
      <c r="B265" s="4" t="s">
        <v>406</v>
      </c>
      <c r="C265" s="4">
        <v>1</v>
      </c>
      <c r="D265" s="4"/>
      <c r="E265" s="4">
        <v>1</v>
      </c>
      <c r="F265" s="4">
        <v>1</v>
      </c>
      <c r="G265" s="4"/>
      <c r="H265" s="4"/>
      <c r="I265" s="4"/>
      <c r="J265" s="4"/>
      <c r="K265" s="4">
        <v>1</v>
      </c>
      <c r="L265" s="4">
        <v>1</v>
      </c>
      <c r="M265" s="4"/>
      <c r="N265" s="4">
        <v>2</v>
      </c>
      <c r="O265" s="5">
        <f>SUM(Tabela323[[#This Row],[jan/23]:[dez/23]])</f>
        <v>7</v>
      </c>
    </row>
    <row r="266" spans="1:15" x14ac:dyDescent="0.25">
      <c r="A266" s="4" t="s">
        <v>564</v>
      </c>
      <c r="B266" s="4" t="s">
        <v>492</v>
      </c>
      <c r="C266" s="4">
        <v>1</v>
      </c>
      <c r="D266" s="4">
        <v>1</v>
      </c>
      <c r="E266" s="4"/>
      <c r="F266" s="4">
        <v>2</v>
      </c>
      <c r="G266" s="4"/>
      <c r="H266" s="4">
        <v>2</v>
      </c>
      <c r="I266" s="4"/>
      <c r="J266" s="4"/>
      <c r="K266" s="4"/>
      <c r="L266" s="4"/>
      <c r="M266" s="4"/>
      <c r="N266" s="4"/>
      <c r="O266" s="5">
        <f>SUM(Tabela323[[#This Row],[jan/23]:[dez/23]])</f>
        <v>6</v>
      </c>
    </row>
    <row r="267" spans="1:15" x14ac:dyDescent="0.25">
      <c r="A267" s="4" t="s">
        <v>566</v>
      </c>
      <c r="B267" s="4" t="s">
        <v>530</v>
      </c>
      <c r="C267" s="4"/>
      <c r="D267" s="4"/>
      <c r="E267" s="4">
        <v>6</v>
      </c>
      <c r="F267" s="4"/>
      <c r="G267" s="4"/>
      <c r="H267" s="4"/>
      <c r="I267" s="4"/>
      <c r="J267" s="4"/>
      <c r="K267" s="4"/>
      <c r="L267" s="4"/>
      <c r="M267" s="4"/>
      <c r="N267" s="4"/>
      <c r="O267" s="5">
        <f>SUM(Tabela323[[#This Row],[jan/23]:[dez/23]])</f>
        <v>6</v>
      </c>
    </row>
    <row r="268" spans="1:15" x14ac:dyDescent="0.25">
      <c r="A268" s="4" t="s">
        <v>567</v>
      </c>
      <c r="B268" s="4" t="s">
        <v>757</v>
      </c>
      <c r="C268" s="4">
        <v>2</v>
      </c>
      <c r="D268" s="4"/>
      <c r="E268" s="4"/>
      <c r="F268" s="4">
        <v>1</v>
      </c>
      <c r="G268" s="4">
        <v>2</v>
      </c>
      <c r="H268" s="4">
        <v>1</v>
      </c>
      <c r="I268" s="4"/>
      <c r="J268" s="4"/>
      <c r="K268" s="4"/>
      <c r="L268" s="4"/>
      <c r="M268" s="4"/>
      <c r="N268" s="4"/>
      <c r="O268" s="5">
        <f>SUM(Tabela323[[#This Row],[jan/23]:[dez/23]])</f>
        <v>6</v>
      </c>
    </row>
    <row r="269" spans="1:15" x14ac:dyDescent="0.25">
      <c r="A269" s="4" t="s">
        <v>569</v>
      </c>
      <c r="B269" s="4" t="s">
        <v>803</v>
      </c>
      <c r="C269" s="4">
        <v>1</v>
      </c>
      <c r="D269" s="4">
        <v>1</v>
      </c>
      <c r="E269" s="4"/>
      <c r="F269" s="4"/>
      <c r="G269" s="4"/>
      <c r="H269" s="4"/>
      <c r="I269" s="4">
        <v>1</v>
      </c>
      <c r="J269" s="4"/>
      <c r="K269" s="4"/>
      <c r="L269" s="4">
        <v>2</v>
      </c>
      <c r="M269" s="4"/>
      <c r="N269" s="4">
        <v>1</v>
      </c>
      <c r="O269" s="5">
        <f>SUM(Tabela323[[#This Row],[jan/23]:[dez/23]])</f>
        <v>6</v>
      </c>
    </row>
    <row r="270" spans="1:15" x14ac:dyDescent="0.25">
      <c r="A270" s="4" t="s">
        <v>571</v>
      </c>
      <c r="B270" s="4" t="s">
        <v>674</v>
      </c>
      <c r="C270" s="4"/>
      <c r="D270" s="4"/>
      <c r="E270" s="4">
        <v>1</v>
      </c>
      <c r="F270" s="4">
        <v>1</v>
      </c>
      <c r="G270" s="4"/>
      <c r="H270" s="4">
        <v>1</v>
      </c>
      <c r="I270" s="4"/>
      <c r="J270" s="4"/>
      <c r="K270" s="4"/>
      <c r="L270" s="4"/>
      <c r="M270" s="4">
        <v>2</v>
      </c>
      <c r="N270" s="4"/>
      <c r="O270" s="5">
        <f>SUM(Tabela323[[#This Row],[jan/23]:[dez/23]])</f>
        <v>5</v>
      </c>
    </row>
    <row r="271" spans="1:15" x14ac:dyDescent="0.25">
      <c r="A271" s="4" t="s">
        <v>572</v>
      </c>
      <c r="B271" s="4" t="s">
        <v>779</v>
      </c>
      <c r="C271" s="4"/>
      <c r="D271" s="4"/>
      <c r="E271" s="4"/>
      <c r="F271" s="4"/>
      <c r="G271" s="4"/>
      <c r="H271" s="4"/>
      <c r="I271" s="4"/>
      <c r="J271" s="4">
        <v>4</v>
      </c>
      <c r="K271" s="4"/>
      <c r="L271" s="4"/>
      <c r="M271" s="4"/>
      <c r="N271" s="4"/>
      <c r="O271" s="5">
        <f>SUM(Tabela323[[#This Row],[jan/23]:[dez/23]])</f>
        <v>4</v>
      </c>
    </row>
    <row r="272" spans="1:15" x14ac:dyDescent="0.25">
      <c r="A272" s="4" t="s">
        <v>617</v>
      </c>
      <c r="B272" s="4" t="s">
        <v>685</v>
      </c>
      <c r="C272" s="4">
        <v>1</v>
      </c>
      <c r="D272" s="4">
        <v>1</v>
      </c>
      <c r="E272" s="4"/>
      <c r="F272" s="4"/>
      <c r="G272" s="4">
        <v>1</v>
      </c>
      <c r="H272" s="4">
        <v>1</v>
      </c>
      <c r="I272" s="4"/>
      <c r="J272" s="4"/>
      <c r="K272" s="4"/>
      <c r="L272" s="4"/>
      <c r="M272" s="4"/>
      <c r="N272" s="4"/>
      <c r="O272" s="5">
        <f>SUM(Tabela323[[#This Row],[jan/23]:[dez/23]])</f>
        <v>4</v>
      </c>
    </row>
    <row r="273" spans="1:15" x14ac:dyDescent="0.25">
      <c r="A273" s="4" t="s">
        <v>618</v>
      </c>
      <c r="B273" s="4" t="s">
        <v>676</v>
      </c>
      <c r="C273" s="4"/>
      <c r="D273" s="4">
        <v>1</v>
      </c>
      <c r="E273" s="4"/>
      <c r="F273" s="4">
        <v>1</v>
      </c>
      <c r="G273" s="4"/>
      <c r="H273" s="4">
        <v>1</v>
      </c>
      <c r="I273" s="4">
        <v>1</v>
      </c>
      <c r="J273" s="4"/>
      <c r="K273" s="4"/>
      <c r="L273" s="4"/>
      <c r="M273" s="4"/>
      <c r="N273" s="4"/>
      <c r="O273" s="5">
        <f>SUM(Tabela323[[#This Row],[jan/23]:[dez/23]])</f>
        <v>4</v>
      </c>
    </row>
    <row r="274" spans="1:15" x14ac:dyDescent="0.25">
      <c r="A274" s="4" t="s">
        <v>619</v>
      </c>
      <c r="B274" s="4" t="s">
        <v>765</v>
      </c>
      <c r="C274" s="4"/>
      <c r="D274" s="4">
        <v>1</v>
      </c>
      <c r="E274" s="4"/>
      <c r="F274" s="4"/>
      <c r="G274" s="4">
        <v>1</v>
      </c>
      <c r="H274" s="4">
        <v>2</v>
      </c>
      <c r="I274" s="4"/>
      <c r="J274" s="4"/>
      <c r="K274" s="4"/>
      <c r="L274" s="4"/>
      <c r="M274" s="4"/>
      <c r="N274" s="4"/>
      <c r="O274" s="5">
        <f>SUM(Tabela323[[#This Row],[jan/23]:[dez/23]])</f>
        <v>4</v>
      </c>
    </row>
    <row r="275" spans="1:15" x14ac:dyDescent="0.25">
      <c r="A275" s="4" t="s">
        <v>620</v>
      </c>
      <c r="B275" s="4" t="s">
        <v>615</v>
      </c>
      <c r="C275" s="4">
        <v>1</v>
      </c>
      <c r="D275" s="4">
        <v>1</v>
      </c>
      <c r="E275" s="4">
        <v>1</v>
      </c>
      <c r="F275" s="4"/>
      <c r="G275" s="4"/>
      <c r="H275" s="4"/>
      <c r="I275" s="4"/>
      <c r="J275" s="4"/>
      <c r="K275" s="4">
        <v>1</v>
      </c>
      <c r="L275" s="4"/>
      <c r="M275" s="4"/>
      <c r="N275" s="4"/>
      <c r="O275" s="5">
        <f>SUM(Tabela323[[#This Row],[jan/23]:[dez/23]])</f>
        <v>4</v>
      </c>
    </row>
    <row r="276" spans="1:15" x14ac:dyDescent="0.25">
      <c r="A276" s="4" t="s">
        <v>621</v>
      </c>
      <c r="B276" s="4" t="s">
        <v>751</v>
      </c>
      <c r="C276" s="4">
        <v>2</v>
      </c>
      <c r="D276" s="4">
        <v>1</v>
      </c>
      <c r="E276" s="4"/>
      <c r="F276" s="4">
        <v>1</v>
      </c>
      <c r="G276" s="4"/>
      <c r="H276" s="4"/>
      <c r="I276" s="4"/>
      <c r="J276" s="4"/>
      <c r="K276" s="4"/>
      <c r="L276" s="4"/>
      <c r="M276" s="4"/>
      <c r="N276" s="4"/>
      <c r="O276" s="5">
        <f>SUM(Tabela323[[#This Row],[jan/23]:[dez/23]])</f>
        <v>4</v>
      </c>
    </row>
    <row r="277" spans="1:15" x14ac:dyDescent="0.25">
      <c r="A277" s="4" t="s">
        <v>623</v>
      </c>
      <c r="B277" s="4" t="s">
        <v>804</v>
      </c>
      <c r="C277" s="4"/>
      <c r="D277" s="4">
        <v>2</v>
      </c>
      <c r="E277" s="4"/>
      <c r="F277" s="4">
        <v>1</v>
      </c>
      <c r="G277" s="4"/>
      <c r="H277" s="4"/>
      <c r="I277" s="4"/>
      <c r="J277" s="4"/>
      <c r="K277" s="4"/>
      <c r="L277" s="4"/>
      <c r="M277" s="4"/>
      <c r="N277" s="4"/>
      <c r="O277" s="5">
        <f>SUM(Tabela323[[#This Row],[jan/23]:[dez/23]])</f>
        <v>3</v>
      </c>
    </row>
    <row r="278" spans="1:15" x14ac:dyDescent="0.25">
      <c r="A278" s="4" t="s">
        <v>624</v>
      </c>
      <c r="B278" s="4" t="s">
        <v>805</v>
      </c>
      <c r="C278" s="4"/>
      <c r="D278" s="4"/>
      <c r="E278" s="4"/>
      <c r="F278" s="4">
        <v>1</v>
      </c>
      <c r="G278" s="4">
        <v>2</v>
      </c>
      <c r="H278" s="4"/>
      <c r="I278" s="4"/>
      <c r="J278" s="4"/>
      <c r="K278" s="4"/>
      <c r="L278" s="4"/>
      <c r="M278" s="4"/>
      <c r="N278" s="4"/>
      <c r="O278" s="5">
        <f>SUM(Tabela323[[#This Row],[jan/23]:[dez/23]])</f>
        <v>3</v>
      </c>
    </row>
    <row r="279" spans="1:15" x14ac:dyDescent="0.25">
      <c r="A279" s="4" t="s">
        <v>626</v>
      </c>
      <c r="B279" s="4" t="s">
        <v>671</v>
      </c>
      <c r="C279" s="4">
        <v>2</v>
      </c>
      <c r="D279" s="4"/>
      <c r="E279" s="4"/>
      <c r="F279" s="4"/>
      <c r="G279" s="4">
        <v>1</v>
      </c>
      <c r="H279" s="4"/>
      <c r="I279" s="4"/>
      <c r="J279" s="4"/>
      <c r="K279" s="4"/>
      <c r="L279" s="4"/>
      <c r="M279" s="4"/>
      <c r="N279" s="4"/>
      <c r="O279" s="5">
        <f>SUM(Tabela323[[#This Row],[jan/23]:[dez/23]])</f>
        <v>3</v>
      </c>
    </row>
    <row r="280" spans="1:15" x14ac:dyDescent="0.25">
      <c r="A280" s="4" t="s">
        <v>628</v>
      </c>
      <c r="B280" s="4" t="s">
        <v>706</v>
      </c>
      <c r="C280" s="4"/>
      <c r="D280" s="4"/>
      <c r="E280" s="4"/>
      <c r="F280" s="4"/>
      <c r="G280" s="4">
        <v>1</v>
      </c>
      <c r="H280" s="4"/>
      <c r="I280" s="4"/>
      <c r="J280" s="4"/>
      <c r="K280" s="4">
        <v>2</v>
      </c>
      <c r="L280" s="4"/>
      <c r="M280" s="4"/>
      <c r="N280" s="4"/>
      <c r="O280" s="5">
        <f>SUM(Tabela323[[#This Row],[jan/23]:[dez/23]])</f>
        <v>3</v>
      </c>
    </row>
    <row r="281" spans="1:15" x14ac:dyDescent="0.25">
      <c r="A281" s="4" t="s">
        <v>630</v>
      </c>
      <c r="B281" s="4" t="s">
        <v>806</v>
      </c>
      <c r="C281" s="4"/>
      <c r="D281" s="4"/>
      <c r="E281" s="4"/>
      <c r="F281" s="4"/>
      <c r="G281" s="4">
        <v>1</v>
      </c>
      <c r="H281" s="4"/>
      <c r="I281" s="4">
        <v>1</v>
      </c>
      <c r="J281" s="4"/>
      <c r="K281" s="4"/>
      <c r="L281" s="4">
        <v>1</v>
      </c>
      <c r="M281" s="4"/>
      <c r="N281" s="4"/>
      <c r="O281" s="5">
        <f>SUM(Tabela323[[#This Row],[jan/23]:[dez/23]])</f>
        <v>3</v>
      </c>
    </row>
    <row r="282" spans="1:15" x14ac:dyDescent="0.25">
      <c r="A282" s="4" t="s">
        <v>631</v>
      </c>
      <c r="B282" s="4" t="s">
        <v>614</v>
      </c>
      <c r="C282" s="4"/>
      <c r="D282" s="4">
        <v>3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>
        <f>SUM(Tabela323[[#This Row],[jan/23]:[dez/23]])</f>
        <v>3</v>
      </c>
    </row>
    <row r="283" spans="1:15" x14ac:dyDescent="0.25">
      <c r="A283" s="4" t="s">
        <v>633</v>
      </c>
      <c r="B283" s="4" t="s">
        <v>807</v>
      </c>
      <c r="C283" s="4"/>
      <c r="D283" s="4">
        <v>2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>
        <f>SUM(Tabela323[[#This Row],[jan/23]:[dez/23]])</f>
        <v>2</v>
      </c>
    </row>
    <row r="284" spans="1:15" x14ac:dyDescent="0.25">
      <c r="A284" s="4" t="s">
        <v>635</v>
      </c>
      <c r="B284" s="4" t="s">
        <v>808</v>
      </c>
      <c r="C284" s="4"/>
      <c r="D284" s="4">
        <v>1</v>
      </c>
      <c r="E284" s="4">
        <v>1</v>
      </c>
      <c r="F284" s="4"/>
      <c r="G284" s="4"/>
      <c r="H284" s="4"/>
      <c r="I284" s="4"/>
      <c r="J284" s="4"/>
      <c r="K284" s="4"/>
      <c r="L284" s="4"/>
      <c r="M284" s="4"/>
      <c r="N284" s="4"/>
      <c r="O284" s="5">
        <f>SUM(Tabela323[[#This Row],[jan/23]:[dez/23]])</f>
        <v>2</v>
      </c>
    </row>
    <row r="285" spans="1:15" x14ac:dyDescent="0.25">
      <c r="A285" s="4" t="s">
        <v>637</v>
      </c>
      <c r="B285" s="4" t="s">
        <v>719</v>
      </c>
      <c r="C285" s="4"/>
      <c r="D285" s="4"/>
      <c r="E285" s="4"/>
      <c r="F285" s="4"/>
      <c r="G285" s="4">
        <v>1</v>
      </c>
      <c r="H285" s="4"/>
      <c r="I285" s="4"/>
      <c r="J285" s="4"/>
      <c r="K285" s="4"/>
      <c r="L285" s="4">
        <v>1</v>
      </c>
      <c r="M285" s="4"/>
      <c r="N285" s="4"/>
      <c r="O285" s="5">
        <f>SUM(Tabela323[[#This Row],[jan/23]:[dez/23]])</f>
        <v>2</v>
      </c>
    </row>
    <row r="286" spans="1:15" x14ac:dyDescent="0.25">
      <c r="A286" s="4" t="s">
        <v>638</v>
      </c>
      <c r="B286" s="4" t="s">
        <v>781</v>
      </c>
      <c r="C286" s="4"/>
      <c r="D286" s="4"/>
      <c r="E286" s="4"/>
      <c r="F286" s="4"/>
      <c r="G286" s="4"/>
      <c r="H286" s="4">
        <v>1</v>
      </c>
      <c r="I286" s="4"/>
      <c r="J286" s="4"/>
      <c r="K286" s="4">
        <v>1</v>
      </c>
      <c r="L286" s="4"/>
      <c r="M286" s="4"/>
      <c r="N286" s="4"/>
      <c r="O286" s="5">
        <f>SUM(Tabela323[[#This Row],[jan/23]:[dez/23]])</f>
        <v>2</v>
      </c>
    </row>
    <row r="287" spans="1:15" x14ac:dyDescent="0.25">
      <c r="A287" s="4" t="s">
        <v>639</v>
      </c>
      <c r="B287" s="4" t="s">
        <v>809</v>
      </c>
      <c r="C287" s="4"/>
      <c r="D287" s="4"/>
      <c r="E287" s="4">
        <v>1</v>
      </c>
      <c r="F287" s="4"/>
      <c r="G287" s="4"/>
      <c r="H287" s="4"/>
      <c r="I287" s="4"/>
      <c r="J287" s="4">
        <v>1</v>
      </c>
      <c r="K287" s="4"/>
      <c r="L287" s="4"/>
      <c r="M287" s="4"/>
      <c r="N287" s="4"/>
      <c r="O287" s="5">
        <f>SUM(Tabela323[[#This Row],[jan/23]:[dez/23]])</f>
        <v>2</v>
      </c>
    </row>
    <row r="288" spans="1:15" x14ac:dyDescent="0.25">
      <c r="A288" s="4" t="s">
        <v>641</v>
      </c>
      <c r="B288" s="4" t="s">
        <v>682</v>
      </c>
      <c r="C288" s="4">
        <v>1</v>
      </c>
      <c r="D288" s="4"/>
      <c r="E288" s="4"/>
      <c r="F288" s="4"/>
      <c r="G288" s="4">
        <v>1</v>
      </c>
      <c r="H288" s="4"/>
      <c r="I288" s="4"/>
      <c r="J288" s="4"/>
      <c r="K288" s="4"/>
      <c r="L288" s="4"/>
      <c r="M288" s="4"/>
      <c r="N288" s="4"/>
      <c r="O288" s="5">
        <f>SUM(Tabela323[[#This Row],[jan/23]:[dez/23]])</f>
        <v>2</v>
      </c>
    </row>
    <row r="289" spans="1:15" x14ac:dyDescent="0.25">
      <c r="A289" s="4" t="s">
        <v>642</v>
      </c>
      <c r="B289" s="4" t="s">
        <v>684</v>
      </c>
      <c r="C289" s="4">
        <v>1</v>
      </c>
      <c r="D289" s="4"/>
      <c r="E289" s="4"/>
      <c r="F289" s="4">
        <v>1</v>
      </c>
      <c r="G289" s="4"/>
      <c r="H289" s="4"/>
      <c r="I289" s="4"/>
      <c r="J289" s="4"/>
      <c r="K289" s="4"/>
      <c r="L289" s="4"/>
      <c r="M289" s="4"/>
      <c r="N289" s="4"/>
      <c r="O289" s="5">
        <f>SUM(Tabela323[[#This Row],[jan/23]:[dez/23]])</f>
        <v>2</v>
      </c>
    </row>
    <row r="290" spans="1:15" x14ac:dyDescent="0.25">
      <c r="A290" s="4" t="s">
        <v>644</v>
      </c>
      <c r="B290" s="4" t="s">
        <v>810</v>
      </c>
      <c r="C290" s="4"/>
      <c r="D290" s="4">
        <v>1</v>
      </c>
      <c r="E290" s="4">
        <v>1</v>
      </c>
      <c r="F290" s="4"/>
      <c r="G290" s="4"/>
      <c r="H290" s="4"/>
      <c r="I290" s="4"/>
      <c r="J290" s="4"/>
      <c r="K290" s="4"/>
      <c r="L290" s="4"/>
      <c r="M290" s="4"/>
      <c r="N290" s="4"/>
      <c r="O290" s="5">
        <f>SUM(Tabela323[[#This Row],[jan/23]:[dez/23]])</f>
        <v>2</v>
      </c>
    </row>
    <row r="291" spans="1:15" x14ac:dyDescent="0.25">
      <c r="A291" s="4" t="s">
        <v>646</v>
      </c>
      <c r="B291" s="4" t="s">
        <v>687</v>
      </c>
      <c r="C291" s="4"/>
      <c r="D291" s="4">
        <v>1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>
        <f>SUM(Tabela323[[#This Row],[jan/23]:[dez/23]])</f>
        <v>1</v>
      </c>
    </row>
    <row r="292" spans="1:15" x14ac:dyDescent="0.25">
      <c r="A292" s="4" t="s">
        <v>648</v>
      </c>
      <c r="B292" s="4" t="s">
        <v>680</v>
      </c>
      <c r="C292" s="4"/>
      <c r="D292" s="4"/>
      <c r="E292" s="4"/>
      <c r="F292" s="4">
        <v>1</v>
      </c>
      <c r="G292" s="4"/>
      <c r="H292" s="4"/>
      <c r="I292" s="4"/>
      <c r="J292" s="4"/>
      <c r="K292" s="4"/>
      <c r="L292" s="4"/>
      <c r="M292" s="4"/>
      <c r="N292" s="4"/>
      <c r="O292" s="5">
        <f>SUM(Tabela323[[#This Row],[jan/23]:[dez/23]])</f>
        <v>1</v>
      </c>
    </row>
    <row r="293" spans="1:15" x14ac:dyDescent="0.25">
      <c r="A293" s="4" t="s">
        <v>650</v>
      </c>
      <c r="B293" s="4" t="s">
        <v>474</v>
      </c>
      <c r="C293" s="4"/>
      <c r="D293" s="4"/>
      <c r="E293" s="4"/>
      <c r="F293" s="4"/>
      <c r="G293" s="4"/>
      <c r="H293" s="4"/>
      <c r="I293" s="4"/>
      <c r="J293" s="4"/>
      <c r="K293" s="4">
        <v>1</v>
      </c>
      <c r="L293" s="4"/>
      <c r="M293" s="4"/>
      <c r="N293" s="4"/>
      <c r="O293" s="5">
        <f>SUM(Tabela323[[#This Row],[jan/23]:[dez/23]])</f>
        <v>1</v>
      </c>
    </row>
    <row r="294" spans="1:15" x14ac:dyDescent="0.25">
      <c r="A294" s="4" t="s">
        <v>651</v>
      </c>
      <c r="B294" s="4" t="s">
        <v>710</v>
      </c>
      <c r="C294" s="4"/>
      <c r="D294" s="4"/>
      <c r="E294" s="4"/>
      <c r="F294" s="4"/>
      <c r="G294" s="4">
        <v>1</v>
      </c>
      <c r="H294" s="4"/>
      <c r="I294" s="4"/>
      <c r="J294" s="4"/>
      <c r="K294" s="4"/>
      <c r="L294" s="4"/>
      <c r="M294" s="4"/>
      <c r="N294" s="4"/>
      <c r="O294" s="5">
        <f>SUM(Tabela323[[#This Row],[jan/23]:[dez/23]])</f>
        <v>1</v>
      </c>
    </row>
    <row r="295" spans="1:15" x14ac:dyDescent="0.25">
      <c r="A295" s="4" t="s">
        <v>653</v>
      </c>
      <c r="B295" s="4" t="s">
        <v>170</v>
      </c>
      <c r="C295" s="4"/>
      <c r="D295" s="4"/>
      <c r="E295" s="4"/>
      <c r="F295" s="4"/>
      <c r="G295" s="4"/>
      <c r="H295" s="4">
        <v>1</v>
      </c>
      <c r="I295" s="4"/>
      <c r="J295" s="4"/>
      <c r="K295" s="4"/>
      <c r="L295" s="4"/>
      <c r="M295" s="4"/>
      <c r="N295" s="4"/>
      <c r="O295" s="5">
        <f>SUM(Tabela323[[#This Row],[jan/23]:[dez/23]])</f>
        <v>1</v>
      </c>
    </row>
    <row r="296" spans="1:15" x14ac:dyDescent="0.25">
      <c r="A296" s="4" t="s">
        <v>655</v>
      </c>
      <c r="B296" s="4" t="s">
        <v>811</v>
      </c>
      <c r="C296" s="4"/>
      <c r="D296" s="4"/>
      <c r="E296" s="4"/>
      <c r="F296" s="4"/>
      <c r="G296" s="4"/>
      <c r="H296" s="4">
        <v>1</v>
      </c>
      <c r="I296" s="4"/>
      <c r="J296" s="4"/>
      <c r="K296" s="4"/>
      <c r="L296" s="4"/>
      <c r="M296" s="4"/>
      <c r="N296" s="4"/>
      <c r="O296" s="5">
        <f>SUM(Tabela323[[#This Row],[jan/23]:[dez/23]])</f>
        <v>1</v>
      </c>
    </row>
    <row r="297" spans="1:15" x14ac:dyDescent="0.25">
      <c r="A297" s="4" t="s">
        <v>657</v>
      </c>
      <c r="B297" s="4" t="s">
        <v>812</v>
      </c>
      <c r="C297" s="4"/>
      <c r="D297" s="4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>
        <f>SUM(Tabela323[[#This Row],[jan/23]:[dez/23]])</f>
        <v>1</v>
      </c>
    </row>
    <row r="298" spans="1:15" x14ac:dyDescent="0.25">
      <c r="A298" s="4" t="s">
        <v>658</v>
      </c>
      <c r="B298" s="4" t="s">
        <v>783</v>
      </c>
      <c r="C298" s="4"/>
      <c r="D298" s="4"/>
      <c r="E298" s="4">
        <v>1</v>
      </c>
      <c r="F298" s="4"/>
      <c r="G298" s="4"/>
      <c r="H298" s="4"/>
      <c r="I298" s="4"/>
      <c r="J298" s="4"/>
      <c r="K298" s="4"/>
      <c r="L298" s="4"/>
      <c r="M298" s="4"/>
      <c r="N298" s="4"/>
      <c r="O298" s="5">
        <f>SUM(Tabela323[[#This Row],[jan/23]:[dez/23]])</f>
        <v>1</v>
      </c>
    </row>
    <row r="299" spans="1:15" x14ac:dyDescent="0.25">
      <c r="A299" s="4" t="s">
        <v>660</v>
      </c>
      <c r="B299" s="4" t="s">
        <v>678</v>
      </c>
      <c r="C299" s="4"/>
      <c r="D299" s="4"/>
      <c r="E299" s="4"/>
      <c r="F299" s="4"/>
      <c r="G299" s="4">
        <v>1</v>
      </c>
      <c r="H299" s="4"/>
      <c r="I299" s="4"/>
      <c r="J299" s="4"/>
      <c r="K299" s="4"/>
      <c r="L299" s="4"/>
      <c r="M299" s="4"/>
      <c r="N299" s="4"/>
      <c r="O299" s="5">
        <f>SUM(Tabela323[[#This Row],[jan/23]:[dez/23]])</f>
        <v>1</v>
      </c>
    </row>
    <row r="300" spans="1:15" x14ac:dyDescent="0.25">
      <c r="A300" s="4" t="s">
        <v>693</v>
      </c>
      <c r="B300" s="4" t="s">
        <v>724</v>
      </c>
      <c r="C300" s="4"/>
      <c r="D300" s="4"/>
      <c r="E300" s="4"/>
      <c r="F300" s="4"/>
      <c r="G300" s="4">
        <v>1</v>
      </c>
      <c r="H300" s="4"/>
      <c r="I300" s="4"/>
      <c r="J300" s="4"/>
      <c r="K300" s="4"/>
      <c r="L300" s="4"/>
      <c r="M300" s="4"/>
      <c r="N300" s="4"/>
      <c r="O300" s="5">
        <f>SUM(Tabela323[[#This Row],[jan/23]:[dez/23]])</f>
        <v>1</v>
      </c>
    </row>
    <row r="301" spans="1:15" x14ac:dyDescent="0.25">
      <c r="A301" s="4" t="s">
        <v>720</v>
      </c>
      <c r="B301" s="4" t="s">
        <v>813</v>
      </c>
      <c r="C301" s="4"/>
      <c r="D301" s="4"/>
      <c r="E301" s="4"/>
      <c r="F301" s="4">
        <v>1</v>
      </c>
      <c r="G301" s="4"/>
      <c r="H301" s="4"/>
      <c r="I301" s="4"/>
      <c r="J301" s="4"/>
      <c r="K301" s="4"/>
      <c r="L301" s="4"/>
      <c r="M301" s="4"/>
      <c r="N301" s="4"/>
      <c r="O301" s="5">
        <f>SUM(Tabela323[[#This Row],[jan/23]:[dez/23]])</f>
        <v>1</v>
      </c>
    </row>
    <row r="302" spans="1:15" s="8" customForma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7"/>
    </row>
    <row r="303" spans="1:15" s="8" customForma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7"/>
    </row>
    <row r="304" spans="1:15" s="8" customForma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7"/>
    </row>
    <row r="305" spans="1:15" s="8" customForma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7"/>
    </row>
    <row r="306" spans="1:15" s="8" customForma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7"/>
    </row>
    <row r="307" spans="1:15" s="8" customForma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7"/>
    </row>
    <row r="308" spans="1:15" s="8" customForma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7"/>
    </row>
    <row r="309" spans="1:15" s="8" customForma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7"/>
    </row>
    <row r="310" spans="1:15" s="8" customForma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7"/>
    </row>
    <row r="311" spans="1:15" s="8" customForma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7"/>
    </row>
    <row r="312" spans="1:15" s="8" customForma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7"/>
    </row>
    <row r="313" spans="1:15" s="8" customForma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7"/>
    </row>
    <row r="314" spans="1:15" s="8" customForma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7"/>
    </row>
    <row r="315" spans="1:15" s="8" customForma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7"/>
    </row>
    <row r="316" spans="1:15" s="8" customForma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7"/>
    </row>
    <row r="317" spans="1:15" s="8" customForma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7"/>
    </row>
    <row r="318" spans="1:15" s="8" customForma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7"/>
    </row>
    <row r="319" spans="1:15" s="8" customForma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7"/>
    </row>
    <row r="320" spans="1:15" s="8" customForma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7"/>
    </row>
    <row r="321" s="8" customFormat="1" x14ac:dyDescent="0.25"/>
    <row r="322" s="8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39C5-A6E9-4669-A657-0B6821B17F58}">
  <dimension ref="A1:O323"/>
  <sheetViews>
    <sheetView workbookViewId="0">
      <selection activeCell="O2" sqref="O2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8.85546875" bestFit="1" customWidth="1"/>
    <col min="4" max="4" width="9" bestFit="1" customWidth="1"/>
    <col min="5" max="5" width="9.5703125" bestFit="1" customWidth="1"/>
    <col min="6" max="6" width="9" bestFit="1" customWidth="1"/>
    <col min="7" max="7" width="9.42578125" bestFit="1" customWidth="1"/>
    <col min="8" max="8" width="9" bestFit="1" customWidth="1"/>
    <col min="9" max="9" width="8.42578125" bestFit="1" customWidth="1"/>
    <col min="10" max="10" width="9.28515625" bestFit="1" customWidth="1"/>
    <col min="11" max="11" width="8.85546875" bestFit="1" customWidth="1"/>
    <col min="13" max="13" width="9.42578125" bestFit="1" customWidth="1"/>
    <col min="14" max="14" width="9.28515625" bestFit="1" customWidth="1"/>
    <col min="15" max="15" width="8.85546875" bestFit="1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3</v>
      </c>
      <c r="C2" s="5">
        <v>16058</v>
      </c>
      <c r="D2" s="5">
        <v>12797</v>
      </c>
      <c r="E2" s="5">
        <v>12918</v>
      </c>
      <c r="F2" s="5">
        <v>16617</v>
      </c>
      <c r="G2" s="5">
        <v>15015</v>
      </c>
      <c r="H2" s="5">
        <v>16218</v>
      </c>
      <c r="I2" s="5">
        <v>16856</v>
      </c>
      <c r="J2" s="5">
        <v>21763</v>
      </c>
      <c r="K2" s="5">
        <v>17981</v>
      </c>
      <c r="L2" s="5">
        <v>22324</v>
      </c>
      <c r="M2" s="5">
        <v>22277</v>
      </c>
      <c r="N2" s="5">
        <v>19642</v>
      </c>
      <c r="O2" s="5">
        <f>SUM(Tabela32[[#This Row],[jan/23]:[dez/23]])</f>
        <v>210466</v>
      </c>
    </row>
    <row r="3" spans="1:15" x14ac:dyDescent="0.25">
      <c r="A3" s="4" t="s">
        <v>2</v>
      </c>
      <c r="B3" s="4" t="s">
        <v>7</v>
      </c>
      <c r="C3" s="5">
        <v>7436</v>
      </c>
      <c r="D3" s="5">
        <v>7364</v>
      </c>
      <c r="E3" s="5">
        <v>9217</v>
      </c>
      <c r="F3" s="5">
        <v>9606</v>
      </c>
      <c r="G3" s="5">
        <v>8513</v>
      </c>
      <c r="H3" s="5">
        <v>8292</v>
      </c>
      <c r="I3" s="5">
        <v>9124</v>
      </c>
      <c r="J3" s="5">
        <v>10589</v>
      </c>
      <c r="K3" s="5">
        <v>8626</v>
      </c>
      <c r="L3" s="5">
        <v>9361</v>
      </c>
      <c r="M3" s="5">
        <v>8395</v>
      </c>
      <c r="N3" s="5">
        <v>8995</v>
      </c>
      <c r="O3" s="5">
        <f>SUM(Tabela32[[#This Row],[jan/23]:[dez/23]])</f>
        <v>105518</v>
      </c>
    </row>
    <row r="4" spans="1:15" x14ac:dyDescent="0.25">
      <c r="A4" s="4" t="s">
        <v>4</v>
      </c>
      <c r="B4" s="4" t="s">
        <v>404</v>
      </c>
      <c r="C4" s="5">
        <v>7656</v>
      </c>
      <c r="D4" s="5">
        <v>6570</v>
      </c>
      <c r="E4" s="5">
        <v>9803</v>
      </c>
      <c r="F4" s="5">
        <v>8764</v>
      </c>
      <c r="G4" s="5">
        <v>7639</v>
      </c>
      <c r="H4" s="5">
        <v>7833</v>
      </c>
      <c r="I4" s="5">
        <v>9558</v>
      </c>
      <c r="J4" s="5">
        <v>10118</v>
      </c>
      <c r="K4" s="5">
        <v>8680</v>
      </c>
      <c r="L4" s="5">
        <v>10461</v>
      </c>
      <c r="M4" s="5">
        <v>8834</v>
      </c>
      <c r="N4" s="5">
        <v>8534</v>
      </c>
      <c r="O4" s="5">
        <f>SUM(Tabela32[[#This Row],[jan/23]:[dez/23]])</f>
        <v>104450</v>
      </c>
    </row>
    <row r="5" spans="1:15" x14ac:dyDescent="0.25">
      <c r="A5" s="4" t="s">
        <v>6</v>
      </c>
      <c r="B5" s="4" t="s">
        <v>92</v>
      </c>
      <c r="C5" s="5">
        <v>5893</v>
      </c>
      <c r="D5" s="5">
        <v>4491</v>
      </c>
      <c r="E5" s="5">
        <v>5877</v>
      </c>
      <c r="F5" s="5">
        <v>5449</v>
      </c>
      <c r="G5" s="5">
        <v>5780</v>
      </c>
      <c r="H5" s="5">
        <v>5029</v>
      </c>
      <c r="I5" s="5">
        <v>6631</v>
      </c>
      <c r="J5" s="5">
        <v>6628</v>
      </c>
      <c r="K5" s="5">
        <v>6765</v>
      </c>
      <c r="L5" s="5">
        <v>8973</v>
      </c>
      <c r="M5" s="5">
        <v>8836</v>
      </c>
      <c r="N5" s="5">
        <v>7272</v>
      </c>
      <c r="O5" s="5">
        <f>SUM(Tabela32[[#This Row],[jan/23]:[dez/23]])</f>
        <v>77624</v>
      </c>
    </row>
    <row r="6" spans="1:15" x14ac:dyDescent="0.25">
      <c r="A6" s="4" t="s">
        <v>8</v>
      </c>
      <c r="B6" s="4" t="s">
        <v>593</v>
      </c>
      <c r="C6" s="5">
        <v>5926</v>
      </c>
      <c r="D6" s="5">
        <v>3841</v>
      </c>
      <c r="E6" s="5">
        <v>6616</v>
      </c>
      <c r="F6" s="5">
        <v>6635</v>
      </c>
      <c r="G6" s="5">
        <v>5022</v>
      </c>
      <c r="H6" s="5">
        <v>3977</v>
      </c>
      <c r="I6" s="5">
        <v>5016</v>
      </c>
      <c r="J6" s="5">
        <v>6119</v>
      </c>
      <c r="K6" s="5">
        <v>6532</v>
      </c>
      <c r="L6" s="5">
        <v>7716</v>
      </c>
      <c r="M6" s="5">
        <v>7598</v>
      </c>
      <c r="N6" s="5">
        <v>6742</v>
      </c>
      <c r="O6" s="5">
        <f>SUM(Tabela32[[#This Row],[jan/23]:[dez/23]])</f>
        <v>71740</v>
      </c>
    </row>
    <row r="7" spans="1:15" x14ac:dyDescent="0.25">
      <c r="A7" s="4" t="s">
        <v>10</v>
      </c>
      <c r="B7" s="4" t="s">
        <v>5</v>
      </c>
      <c r="C7" s="5">
        <v>6632</v>
      </c>
      <c r="D7" s="5">
        <v>4942</v>
      </c>
      <c r="E7" s="5">
        <v>6149</v>
      </c>
      <c r="F7" s="5">
        <v>5818</v>
      </c>
      <c r="G7" s="5">
        <v>5628</v>
      </c>
      <c r="H7" s="5">
        <v>4974</v>
      </c>
      <c r="I7" s="5">
        <v>5828</v>
      </c>
      <c r="J7" s="5">
        <v>6544</v>
      </c>
      <c r="K7" s="5">
        <v>5318</v>
      </c>
      <c r="L7" s="5">
        <v>6090</v>
      </c>
      <c r="M7" s="5">
        <v>5644</v>
      </c>
      <c r="N7" s="5">
        <v>6030</v>
      </c>
      <c r="O7" s="5">
        <f>SUM(Tabela32[[#This Row],[jan/23]:[dez/23]])</f>
        <v>69597</v>
      </c>
    </row>
    <row r="8" spans="1:15" x14ac:dyDescent="0.25">
      <c r="A8" s="4" t="s">
        <v>14</v>
      </c>
      <c r="B8" s="4" t="s">
        <v>26</v>
      </c>
      <c r="C8" s="5">
        <v>2729</v>
      </c>
      <c r="D8" s="5">
        <v>4506</v>
      </c>
      <c r="E8" s="5">
        <v>6454</v>
      </c>
      <c r="F8" s="5">
        <v>6616</v>
      </c>
      <c r="G8" s="5">
        <v>4371</v>
      </c>
      <c r="H8" s="5">
        <v>5004</v>
      </c>
      <c r="I8" s="5">
        <v>5203</v>
      </c>
      <c r="J8" s="5">
        <v>6273</v>
      </c>
      <c r="K8" s="5">
        <v>5486</v>
      </c>
      <c r="L8" s="5">
        <v>5940</v>
      </c>
      <c r="M8" s="5">
        <v>7091</v>
      </c>
      <c r="N8" s="5">
        <v>7653</v>
      </c>
      <c r="O8" s="5">
        <f>SUM(Tabela32[[#This Row],[jan/23]:[dez/23]])</f>
        <v>67326</v>
      </c>
    </row>
    <row r="9" spans="1:15" x14ac:dyDescent="0.25">
      <c r="A9" s="4" t="s">
        <v>16</v>
      </c>
      <c r="B9" s="4" t="s">
        <v>1</v>
      </c>
      <c r="C9" s="5">
        <v>5372</v>
      </c>
      <c r="D9" s="5">
        <v>4137</v>
      </c>
      <c r="E9" s="5">
        <v>5595</v>
      </c>
      <c r="F9" s="5">
        <v>6357</v>
      </c>
      <c r="G9" s="5">
        <v>5581</v>
      </c>
      <c r="H9" s="5">
        <v>5474</v>
      </c>
      <c r="I9" s="5">
        <v>5765</v>
      </c>
      <c r="J9" s="5">
        <v>6119</v>
      </c>
      <c r="K9" s="5">
        <v>4696</v>
      </c>
      <c r="L9" s="5">
        <v>7199</v>
      </c>
      <c r="M9" s="5">
        <v>5158</v>
      </c>
      <c r="N9" s="5">
        <v>5780</v>
      </c>
      <c r="O9" s="5">
        <f>SUM(Tabela32[[#This Row],[jan/23]:[dez/23]])</f>
        <v>67233</v>
      </c>
    </row>
    <row r="10" spans="1:15" x14ac:dyDescent="0.25">
      <c r="A10" s="4" t="s">
        <v>18</v>
      </c>
      <c r="B10" s="4" t="s">
        <v>17</v>
      </c>
      <c r="C10" s="5">
        <v>4972</v>
      </c>
      <c r="D10" s="5">
        <v>3546</v>
      </c>
      <c r="E10" s="5">
        <v>4349</v>
      </c>
      <c r="F10" s="5">
        <v>4952</v>
      </c>
      <c r="G10" s="5">
        <v>4682</v>
      </c>
      <c r="H10" s="5">
        <v>5485</v>
      </c>
      <c r="I10" s="5">
        <v>5476</v>
      </c>
      <c r="J10" s="5">
        <v>6166</v>
      </c>
      <c r="K10" s="5">
        <v>6395</v>
      </c>
      <c r="L10" s="5">
        <v>6881</v>
      </c>
      <c r="M10" s="5">
        <v>6078</v>
      </c>
      <c r="N10" s="5">
        <v>4035</v>
      </c>
      <c r="O10" s="5">
        <f>SUM(Tabela32[[#This Row],[jan/23]:[dez/23]])</f>
        <v>63017</v>
      </c>
    </row>
    <row r="11" spans="1:15" x14ac:dyDescent="0.25">
      <c r="A11" s="4" t="s">
        <v>20</v>
      </c>
      <c r="B11" s="4" t="s">
        <v>24</v>
      </c>
      <c r="C11" s="5">
        <v>4546</v>
      </c>
      <c r="D11" s="5">
        <v>3786</v>
      </c>
      <c r="E11" s="5">
        <v>4647</v>
      </c>
      <c r="F11" s="5">
        <v>4606</v>
      </c>
      <c r="G11" s="5">
        <v>5559</v>
      </c>
      <c r="H11" s="5">
        <v>5054</v>
      </c>
      <c r="I11" s="5">
        <v>5360</v>
      </c>
      <c r="J11" s="5">
        <v>5800</v>
      </c>
      <c r="K11" s="5">
        <v>5006</v>
      </c>
      <c r="L11" s="5">
        <v>6163</v>
      </c>
      <c r="M11" s="5">
        <v>5008</v>
      </c>
      <c r="N11" s="5">
        <v>4762</v>
      </c>
      <c r="O11" s="5">
        <f>SUM(Tabela32[[#This Row],[jan/23]:[dez/23]])</f>
        <v>60297</v>
      </c>
    </row>
    <row r="12" spans="1:15" x14ac:dyDescent="0.25">
      <c r="A12" s="4" t="s">
        <v>23</v>
      </c>
      <c r="B12" s="4" t="s">
        <v>48</v>
      </c>
      <c r="C12" s="5">
        <v>4486</v>
      </c>
      <c r="D12" s="5">
        <v>3869</v>
      </c>
      <c r="E12" s="5">
        <v>5395</v>
      </c>
      <c r="F12" s="5">
        <v>5664</v>
      </c>
      <c r="G12" s="5">
        <v>4854</v>
      </c>
      <c r="H12" s="5">
        <v>4288</v>
      </c>
      <c r="I12" s="5">
        <v>4364</v>
      </c>
      <c r="J12" s="5">
        <v>5238</v>
      </c>
      <c r="K12" s="5">
        <v>4774</v>
      </c>
      <c r="L12" s="5">
        <v>5928</v>
      </c>
      <c r="M12" s="5">
        <v>5023</v>
      </c>
      <c r="N12" s="5">
        <v>5182</v>
      </c>
      <c r="O12" s="5">
        <f>SUM(Tabela32[[#This Row],[jan/23]:[dez/23]])</f>
        <v>59065</v>
      </c>
    </row>
    <row r="13" spans="1:15" x14ac:dyDescent="0.25">
      <c r="A13" s="4" t="s">
        <v>25</v>
      </c>
      <c r="B13" s="4" t="s">
        <v>28</v>
      </c>
      <c r="C13" s="5">
        <v>3893</v>
      </c>
      <c r="D13" s="5">
        <v>3052</v>
      </c>
      <c r="E13" s="5">
        <v>3493</v>
      </c>
      <c r="F13" s="5">
        <v>5141</v>
      </c>
      <c r="G13" s="5">
        <v>4983</v>
      </c>
      <c r="H13" s="5">
        <v>5500</v>
      </c>
      <c r="I13" s="5">
        <v>6226</v>
      </c>
      <c r="J13" s="5">
        <v>6172</v>
      </c>
      <c r="K13" s="5">
        <v>4575</v>
      </c>
      <c r="L13" s="5">
        <v>5659</v>
      </c>
      <c r="M13" s="5">
        <v>3922</v>
      </c>
      <c r="N13" s="5">
        <v>5863</v>
      </c>
      <c r="O13" s="5">
        <f>SUM(Tabela32[[#This Row],[jan/23]:[dez/23]])</f>
        <v>58479</v>
      </c>
    </row>
    <row r="14" spans="1:15" x14ac:dyDescent="0.25">
      <c r="A14" s="4" t="s">
        <v>27</v>
      </c>
      <c r="B14" s="4" t="s">
        <v>100</v>
      </c>
      <c r="C14" s="5">
        <v>2666</v>
      </c>
      <c r="D14" s="5">
        <v>2664</v>
      </c>
      <c r="E14" s="5">
        <v>4105</v>
      </c>
      <c r="F14" s="5">
        <v>5814</v>
      </c>
      <c r="G14" s="5">
        <v>3706</v>
      </c>
      <c r="H14" s="5">
        <v>6139</v>
      </c>
      <c r="I14" s="5">
        <v>4251</v>
      </c>
      <c r="J14" s="5">
        <v>3868</v>
      </c>
      <c r="K14" s="5">
        <v>4577</v>
      </c>
      <c r="L14" s="5">
        <v>6060</v>
      </c>
      <c r="M14" s="5">
        <v>5110</v>
      </c>
      <c r="N14" s="5">
        <v>3446</v>
      </c>
      <c r="O14" s="5">
        <f>SUM(Tabela32[[#This Row],[jan/23]:[dez/23]])</f>
        <v>52406</v>
      </c>
    </row>
    <row r="15" spans="1:15" x14ac:dyDescent="0.25">
      <c r="A15" s="4" t="s">
        <v>29</v>
      </c>
      <c r="B15" s="4" t="s">
        <v>15</v>
      </c>
      <c r="C15" s="5">
        <v>4679</v>
      </c>
      <c r="D15" s="5">
        <v>3327</v>
      </c>
      <c r="E15" s="5">
        <v>4335</v>
      </c>
      <c r="F15" s="5">
        <v>4204</v>
      </c>
      <c r="G15" s="5">
        <v>4023</v>
      </c>
      <c r="H15" s="5">
        <v>4435</v>
      </c>
      <c r="I15" s="5">
        <v>3498</v>
      </c>
      <c r="J15" s="5">
        <v>4874</v>
      </c>
      <c r="K15" s="5">
        <v>3537</v>
      </c>
      <c r="L15" s="5">
        <v>4997</v>
      </c>
      <c r="M15" s="5">
        <v>4258</v>
      </c>
      <c r="N15" s="5">
        <v>3332</v>
      </c>
      <c r="O15" s="5">
        <f>SUM(Tabela32[[#This Row],[jan/23]:[dez/23]])</f>
        <v>49499</v>
      </c>
    </row>
    <row r="16" spans="1:15" x14ac:dyDescent="0.25">
      <c r="A16" s="4" t="s">
        <v>31</v>
      </c>
      <c r="B16" s="4" t="s">
        <v>21</v>
      </c>
      <c r="C16" s="5">
        <v>2875</v>
      </c>
      <c r="D16" s="5">
        <v>3070</v>
      </c>
      <c r="E16" s="5">
        <v>3671</v>
      </c>
      <c r="F16" s="5">
        <v>3785</v>
      </c>
      <c r="G16" s="5">
        <v>3841</v>
      </c>
      <c r="H16" s="5">
        <v>2913</v>
      </c>
      <c r="I16" s="5">
        <v>4238</v>
      </c>
      <c r="J16" s="5">
        <v>5277</v>
      </c>
      <c r="K16" s="5">
        <v>4195</v>
      </c>
      <c r="L16" s="5">
        <v>5026</v>
      </c>
      <c r="M16" s="5">
        <v>5171</v>
      </c>
      <c r="N16" s="5">
        <v>4920</v>
      </c>
      <c r="O16" s="5">
        <f>SUM(Tabela32[[#This Row],[jan/23]:[dez/23]])</f>
        <v>48982</v>
      </c>
    </row>
    <row r="17" spans="1:15" x14ac:dyDescent="0.25">
      <c r="A17" s="4" t="s">
        <v>33</v>
      </c>
      <c r="B17" s="4" t="s">
        <v>34</v>
      </c>
      <c r="C17" s="5">
        <v>3874</v>
      </c>
      <c r="D17" s="5">
        <v>3600</v>
      </c>
      <c r="E17" s="5">
        <v>5358</v>
      </c>
      <c r="F17" s="5">
        <v>3522</v>
      </c>
      <c r="G17" s="5">
        <v>3656</v>
      </c>
      <c r="H17" s="5">
        <v>3139</v>
      </c>
      <c r="I17" s="5">
        <v>3444</v>
      </c>
      <c r="J17" s="5">
        <v>5021</v>
      </c>
      <c r="K17" s="5">
        <v>3972</v>
      </c>
      <c r="L17" s="5">
        <v>5352</v>
      </c>
      <c r="M17" s="5">
        <v>3305</v>
      </c>
      <c r="N17" s="5">
        <v>3719</v>
      </c>
      <c r="O17" s="5">
        <f>SUM(Tabela32[[#This Row],[jan/23]:[dez/23]])</f>
        <v>47962</v>
      </c>
    </row>
    <row r="18" spans="1:15" x14ac:dyDescent="0.25">
      <c r="A18" s="4" t="s">
        <v>35</v>
      </c>
      <c r="B18" s="4" t="s">
        <v>36</v>
      </c>
      <c r="C18" s="5">
        <v>3331</v>
      </c>
      <c r="D18" s="5">
        <v>3457</v>
      </c>
      <c r="E18" s="5">
        <v>5532</v>
      </c>
      <c r="F18" s="5">
        <v>3701</v>
      </c>
      <c r="G18" s="5">
        <v>3189</v>
      </c>
      <c r="H18" s="5">
        <v>2629</v>
      </c>
      <c r="I18" s="5">
        <v>3157</v>
      </c>
      <c r="J18" s="5">
        <v>4792</v>
      </c>
      <c r="K18" s="5">
        <v>4000</v>
      </c>
      <c r="L18" s="5">
        <v>4663</v>
      </c>
      <c r="M18" s="5">
        <v>4040</v>
      </c>
      <c r="N18" s="5">
        <v>4328</v>
      </c>
      <c r="O18" s="5">
        <f>SUM(Tabela32[[#This Row],[jan/23]:[dez/23]])</f>
        <v>46819</v>
      </c>
    </row>
    <row r="19" spans="1:15" x14ac:dyDescent="0.25">
      <c r="A19" s="4" t="s">
        <v>37</v>
      </c>
      <c r="B19" s="4" t="s">
        <v>30</v>
      </c>
      <c r="C19" s="5">
        <v>2514</v>
      </c>
      <c r="D19" s="5">
        <v>2200</v>
      </c>
      <c r="E19" s="5">
        <v>4252</v>
      </c>
      <c r="F19" s="5">
        <v>4462</v>
      </c>
      <c r="G19" s="5">
        <v>4378</v>
      </c>
      <c r="H19" s="5">
        <v>3628</v>
      </c>
      <c r="I19" s="5">
        <v>4034</v>
      </c>
      <c r="J19" s="5">
        <v>4465</v>
      </c>
      <c r="K19" s="5">
        <v>3386</v>
      </c>
      <c r="L19" s="5">
        <v>3693</v>
      </c>
      <c r="M19" s="5">
        <v>3845</v>
      </c>
      <c r="N19" s="5">
        <v>5498</v>
      </c>
      <c r="O19" s="5">
        <f>SUM(Tabela32[[#This Row],[jan/23]:[dez/23]])</f>
        <v>46355</v>
      </c>
    </row>
    <row r="20" spans="1:15" x14ac:dyDescent="0.25">
      <c r="A20" s="4" t="s">
        <v>39</v>
      </c>
      <c r="B20" s="4" t="s">
        <v>44</v>
      </c>
      <c r="C20" s="5">
        <v>3156</v>
      </c>
      <c r="D20" s="5">
        <v>2957</v>
      </c>
      <c r="E20" s="5">
        <v>3671</v>
      </c>
      <c r="F20" s="5">
        <v>4490</v>
      </c>
      <c r="G20" s="5">
        <v>4179</v>
      </c>
      <c r="H20" s="5">
        <v>3745</v>
      </c>
      <c r="I20" s="5">
        <v>3635</v>
      </c>
      <c r="J20" s="5">
        <v>4237</v>
      </c>
      <c r="K20" s="5">
        <v>4334</v>
      </c>
      <c r="L20" s="5">
        <v>4083</v>
      </c>
      <c r="M20" s="5">
        <v>3516</v>
      </c>
      <c r="N20" s="5">
        <v>3922</v>
      </c>
      <c r="O20" s="5">
        <f>SUM(Tabela32[[#This Row],[jan/23]:[dez/23]])</f>
        <v>45925</v>
      </c>
    </row>
    <row r="21" spans="1:15" x14ac:dyDescent="0.25">
      <c r="A21" s="4" t="s">
        <v>41</v>
      </c>
      <c r="B21" s="4" t="s">
        <v>62</v>
      </c>
      <c r="C21" s="5">
        <v>86</v>
      </c>
      <c r="D21" s="5">
        <v>1455</v>
      </c>
      <c r="E21" s="5">
        <v>3059</v>
      </c>
      <c r="F21" s="5">
        <v>3862</v>
      </c>
      <c r="G21" s="5">
        <v>4271</v>
      </c>
      <c r="H21" s="5">
        <v>4205</v>
      </c>
      <c r="I21" s="5">
        <v>4173</v>
      </c>
      <c r="J21" s="5">
        <v>4650</v>
      </c>
      <c r="K21" s="5">
        <v>3524</v>
      </c>
      <c r="L21" s="5">
        <v>4159</v>
      </c>
      <c r="M21" s="5">
        <v>3955</v>
      </c>
      <c r="N21" s="5">
        <v>4241</v>
      </c>
      <c r="O21" s="5">
        <f>SUM(Tabela32[[#This Row],[jan/23]:[dez/23]])</f>
        <v>41640</v>
      </c>
    </row>
    <row r="22" spans="1:15" x14ac:dyDescent="0.25">
      <c r="A22" s="4" t="s">
        <v>43</v>
      </c>
      <c r="B22" s="4" t="s">
        <v>38</v>
      </c>
      <c r="C22" s="5">
        <v>2934</v>
      </c>
      <c r="D22" s="5">
        <v>2152</v>
      </c>
      <c r="E22" s="5">
        <v>3223</v>
      </c>
      <c r="F22" s="5">
        <v>3221</v>
      </c>
      <c r="G22" s="5">
        <v>2967</v>
      </c>
      <c r="H22" s="5">
        <v>2974</v>
      </c>
      <c r="I22" s="5">
        <v>3080</v>
      </c>
      <c r="J22" s="5">
        <v>3542</v>
      </c>
      <c r="K22" s="5">
        <v>3282</v>
      </c>
      <c r="L22" s="5">
        <v>4027</v>
      </c>
      <c r="M22" s="5">
        <v>3382</v>
      </c>
      <c r="N22" s="5">
        <v>4529</v>
      </c>
      <c r="O22" s="5">
        <f>SUM(Tabela32[[#This Row],[jan/23]:[dez/23]])</f>
        <v>39313</v>
      </c>
    </row>
    <row r="23" spans="1:15" x14ac:dyDescent="0.25">
      <c r="A23" s="4" t="s">
        <v>45</v>
      </c>
      <c r="B23" s="4" t="s">
        <v>432</v>
      </c>
      <c r="C23" s="5">
        <v>3096</v>
      </c>
      <c r="D23" s="5">
        <v>2576</v>
      </c>
      <c r="E23" s="5">
        <v>3337</v>
      </c>
      <c r="F23" s="5">
        <v>3286</v>
      </c>
      <c r="G23" s="5">
        <v>3133</v>
      </c>
      <c r="H23" s="5">
        <v>3260</v>
      </c>
      <c r="I23" s="5">
        <v>3127</v>
      </c>
      <c r="J23" s="5">
        <v>3892</v>
      </c>
      <c r="K23" s="5">
        <v>2917</v>
      </c>
      <c r="L23" s="5">
        <v>3791</v>
      </c>
      <c r="M23" s="5">
        <v>3329</v>
      </c>
      <c r="N23" s="5">
        <v>3469</v>
      </c>
      <c r="O23" s="5">
        <f>SUM(Tabela32[[#This Row],[jan/23]:[dez/23]])</f>
        <v>39213</v>
      </c>
    </row>
    <row r="24" spans="1:15" x14ac:dyDescent="0.25">
      <c r="A24" s="4" t="s">
        <v>47</v>
      </c>
      <c r="B24" s="4" t="s">
        <v>452</v>
      </c>
      <c r="C24" s="5">
        <v>1959</v>
      </c>
      <c r="D24" s="5">
        <v>2192</v>
      </c>
      <c r="E24" s="5">
        <v>3069</v>
      </c>
      <c r="F24" s="5">
        <v>3525</v>
      </c>
      <c r="G24" s="5">
        <v>2923</v>
      </c>
      <c r="H24" s="5">
        <v>3269</v>
      </c>
      <c r="I24" s="5">
        <v>3050</v>
      </c>
      <c r="J24" s="5">
        <v>3026</v>
      </c>
      <c r="K24" s="5">
        <v>3282</v>
      </c>
      <c r="L24" s="5">
        <v>4319</v>
      </c>
      <c r="M24" s="5">
        <v>3695</v>
      </c>
      <c r="N24" s="5">
        <v>3560</v>
      </c>
      <c r="O24" s="5">
        <f>SUM(Tabela32[[#This Row],[jan/23]:[dez/23]])</f>
        <v>37869</v>
      </c>
    </row>
    <row r="25" spans="1:15" x14ac:dyDescent="0.25">
      <c r="A25" s="4" t="s">
        <v>49</v>
      </c>
      <c r="B25" s="4" t="s">
        <v>454</v>
      </c>
      <c r="C25" s="5">
        <v>2328</v>
      </c>
      <c r="D25" s="5">
        <v>1899</v>
      </c>
      <c r="E25" s="5">
        <v>2796</v>
      </c>
      <c r="F25" s="5">
        <v>2932</v>
      </c>
      <c r="G25" s="5">
        <v>3272</v>
      </c>
      <c r="H25" s="5">
        <v>2761</v>
      </c>
      <c r="I25" s="5">
        <v>3107</v>
      </c>
      <c r="J25" s="5">
        <v>3034</v>
      </c>
      <c r="K25" s="5">
        <v>2888</v>
      </c>
      <c r="L25" s="5">
        <v>3167</v>
      </c>
      <c r="M25" s="5">
        <v>2994</v>
      </c>
      <c r="N25" s="5">
        <v>3320</v>
      </c>
      <c r="O25" s="5">
        <f>SUM(Tabela32[[#This Row],[jan/23]:[dez/23]])</f>
        <v>34498</v>
      </c>
    </row>
    <row r="26" spans="1:15" x14ac:dyDescent="0.25">
      <c r="A26" s="4" t="s">
        <v>51</v>
      </c>
      <c r="B26" s="4" t="s">
        <v>130</v>
      </c>
      <c r="C26" s="5">
        <v>2598</v>
      </c>
      <c r="D26" s="5">
        <v>2095</v>
      </c>
      <c r="E26" s="5">
        <v>2797</v>
      </c>
      <c r="F26" s="5">
        <v>2825</v>
      </c>
      <c r="G26" s="5">
        <v>2323</v>
      </c>
      <c r="H26" s="5">
        <v>2644</v>
      </c>
      <c r="I26" s="5">
        <v>2809</v>
      </c>
      <c r="J26" s="5">
        <v>2562</v>
      </c>
      <c r="K26" s="5">
        <v>2828</v>
      </c>
      <c r="L26" s="5">
        <v>4256</v>
      </c>
      <c r="M26" s="5">
        <v>2269</v>
      </c>
      <c r="N26" s="5">
        <v>2677</v>
      </c>
      <c r="O26" s="5">
        <f>SUM(Tabela32[[#This Row],[jan/23]:[dez/23]])</f>
        <v>32683</v>
      </c>
    </row>
    <row r="27" spans="1:15" x14ac:dyDescent="0.25">
      <c r="A27" s="4" t="s">
        <v>53</v>
      </c>
      <c r="B27" s="4" t="s">
        <v>58</v>
      </c>
      <c r="C27" s="5">
        <v>2652</v>
      </c>
      <c r="D27" s="5">
        <v>2454</v>
      </c>
      <c r="E27" s="5">
        <v>2509</v>
      </c>
      <c r="F27" s="5">
        <v>2651</v>
      </c>
      <c r="G27" s="5">
        <v>2512</v>
      </c>
      <c r="H27" s="5">
        <v>2669</v>
      </c>
      <c r="I27" s="5">
        <v>2881</v>
      </c>
      <c r="J27" s="5">
        <v>3188</v>
      </c>
      <c r="K27" s="5">
        <v>2451</v>
      </c>
      <c r="L27" s="5">
        <v>2932</v>
      </c>
      <c r="M27" s="5">
        <v>2543</v>
      </c>
      <c r="N27" s="5">
        <v>2717</v>
      </c>
      <c r="O27" s="5">
        <f>SUM(Tabela32[[#This Row],[jan/23]:[dez/23]])</f>
        <v>32159</v>
      </c>
    </row>
    <row r="28" spans="1:15" x14ac:dyDescent="0.25">
      <c r="A28" s="4" t="s">
        <v>55</v>
      </c>
      <c r="B28" s="4" t="s">
        <v>56</v>
      </c>
      <c r="C28" s="5">
        <v>2681</v>
      </c>
      <c r="D28" s="5">
        <v>2014</v>
      </c>
      <c r="E28" s="5">
        <v>2334</v>
      </c>
      <c r="F28" s="5">
        <v>2418</v>
      </c>
      <c r="G28" s="5">
        <v>3020</v>
      </c>
      <c r="H28" s="5">
        <v>3019</v>
      </c>
      <c r="I28" s="5">
        <v>2630</v>
      </c>
      <c r="J28" s="5">
        <v>2645</v>
      </c>
      <c r="K28" s="5">
        <v>2450</v>
      </c>
      <c r="L28" s="5">
        <v>2794</v>
      </c>
      <c r="M28" s="5">
        <v>2749</v>
      </c>
      <c r="N28" s="5">
        <v>3009</v>
      </c>
      <c r="O28" s="5">
        <f>SUM(Tabela32[[#This Row],[jan/23]:[dez/23]])</f>
        <v>31763</v>
      </c>
    </row>
    <row r="29" spans="1:15" x14ac:dyDescent="0.25">
      <c r="A29" s="4" t="s">
        <v>57</v>
      </c>
      <c r="B29" s="4" t="s">
        <v>40</v>
      </c>
      <c r="C29" s="5">
        <v>34</v>
      </c>
      <c r="D29" s="5">
        <v>44</v>
      </c>
      <c r="E29" s="5">
        <v>1579</v>
      </c>
      <c r="F29" s="5">
        <v>3382</v>
      </c>
      <c r="G29" s="5">
        <v>3148</v>
      </c>
      <c r="H29" s="5">
        <v>2999</v>
      </c>
      <c r="I29" s="5">
        <v>3284</v>
      </c>
      <c r="J29" s="5">
        <v>4026</v>
      </c>
      <c r="K29" s="5">
        <v>3062</v>
      </c>
      <c r="L29" s="5">
        <v>2720</v>
      </c>
      <c r="M29" s="5">
        <v>2384</v>
      </c>
      <c r="N29" s="5">
        <v>2649</v>
      </c>
      <c r="O29" s="5">
        <f>SUM(Tabela32[[#This Row],[jan/23]:[dez/23]])</f>
        <v>29311</v>
      </c>
    </row>
    <row r="30" spans="1:15" x14ac:dyDescent="0.25">
      <c r="A30" s="4" t="s">
        <v>59</v>
      </c>
      <c r="B30" s="4" t="s">
        <v>98</v>
      </c>
      <c r="C30" s="5">
        <v>1684</v>
      </c>
      <c r="D30" s="5">
        <v>1253</v>
      </c>
      <c r="E30" s="5">
        <v>2609</v>
      </c>
      <c r="F30" s="5">
        <v>2124</v>
      </c>
      <c r="G30" s="5">
        <v>2543</v>
      </c>
      <c r="H30" s="5">
        <v>2696</v>
      </c>
      <c r="I30" s="5">
        <v>2685</v>
      </c>
      <c r="J30" s="5">
        <v>2496</v>
      </c>
      <c r="K30" s="5">
        <v>2462</v>
      </c>
      <c r="L30" s="5">
        <v>2302</v>
      </c>
      <c r="M30" s="5">
        <v>2382</v>
      </c>
      <c r="N30" s="5">
        <v>2759</v>
      </c>
      <c r="O30" s="5">
        <f>SUM(Tabela32[[#This Row],[jan/23]:[dez/23]])</f>
        <v>27995</v>
      </c>
    </row>
    <row r="31" spans="1:15" x14ac:dyDescent="0.25">
      <c r="A31" s="4" t="s">
        <v>61</v>
      </c>
      <c r="B31" s="4" t="s">
        <v>578</v>
      </c>
      <c r="C31" s="5">
        <v>3317</v>
      </c>
      <c r="D31" s="5">
        <v>2729</v>
      </c>
      <c r="E31" s="5">
        <v>3229</v>
      </c>
      <c r="F31" s="5">
        <v>3968</v>
      </c>
      <c r="G31" s="5">
        <v>3361</v>
      </c>
      <c r="H31" s="5">
        <v>2908</v>
      </c>
      <c r="I31" s="5">
        <v>1790</v>
      </c>
      <c r="J31" s="5">
        <v>1445</v>
      </c>
      <c r="K31" s="5">
        <v>1165</v>
      </c>
      <c r="L31" s="5">
        <v>1248</v>
      </c>
      <c r="M31" s="5">
        <v>1241</v>
      </c>
      <c r="N31" s="5">
        <v>1449</v>
      </c>
      <c r="O31" s="5">
        <f>SUM(Tabela32[[#This Row],[jan/23]:[dez/23]])</f>
        <v>27850</v>
      </c>
    </row>
    <row r="32" spans="1:15" x14ac:dyDescent="0.25">
      <c r="A32" s="4" t="s">
        <v>63</v>
      </c>
      <c r="B32" s="4" t="s">
        <v>519</v>
      </c>
      <c r="C32" s="5">
        <v>2882</v>
      </c>
      <c r="D32" s="5">
        <v>2340</v>
      </c>
      <c r="E32" s="5">
        <v>2612</v>
      </c>
      <c r="F32" s="5">
        <v>2266</v>
      </c>
      <c r="G32" s="5">
        <v>1994</v>
      </c>
      <c r="H32" s="5">
        <v>1740</v>
      </c>
      <c r="I32" s="5">
        <v>1975</v>
      </c>
      <c r="J32" s="5">
        <v>2050</v>
      </c>
      <c r="K32" s="5">
        <v>1869</v>
      </c>
      <c r="L32" s="5">
        <v>2861</v>
      </c>
      <c r="M32" s="5">
        <v>2441</v>
      </c>
      <c r="N32" s="5">
        <v>2332</v>
      </c>
      <c r="O32" s="5">
        <f>SUM(Tabela32[[#This Row],[jan/23]:[dez/23]])</f>
        <v>27362</v>
      </c>
    </row>
    <row r="33" spans="1:15" x14ac:dyDescent="0.25">
      <c r="A33" s="4" t="s">
        <v>65</v>
      </c>
      <c r="B33" s="4" t="s">
        <v>260</v>
      </c>
      <c r="C33" s="5">
        <v>1608</v>
      </c>
      <c r="D33" s="5">
        <v>973</v>
      </c>
      <c r="E33" s="5">
        <v>1367</v>
      </c>
      <c r="F33" s="5">
        <v>1684</v>
      </c>
      <c r="G33" s="5">
        <v>1698</v>
      </c>
      <c r="H33" s="5">
        <v>2013</v>
      </c>
      <c r="I33" s="5">
        <v>2616</v>
      </c>
      <c r="J33" s="5">
        <v>3062</v>
      </c>
      <c r="K33" s="5">
        <v>2329</v>
      </c>
      <c r="L33" s="5">
        <v>3239</v>
      </c>
      <c r="M33" s="5">
        <v>2554</v>
      </c>
      <c r="N33" s="5">
        <v>3363</v>
      </c>
      <c r="O33" s="5">
        <f>SUM(Tabela32[[#This Row],[jan/23]:[dez/23]])</f>
        <v>26506</v>
      </c>
    </row>
    <row r="34" spans="1:15" x14ac:dyDescent="0.25">
      <c r="A34" s="4" t="s">
        <v>67</v>
      </c>
      <c r="B34" s="4" t="s">
        <v>19</v>
      </c>
      <c r="C34" s="5">
        <v>2344</v>
      </c>
      <c r="D34" s="5">
        <v>1821</v>
      </c>
      <c r="E34" s="5">
        <v>2486</v>
      </c>
      <c r="F34" s="5">
        <v>2562</v>
      </c>
      <c r="G34" s="5">
        <v>2215</v>
      </c>
      <c r="H34" s="5">
        <v>2014</v>
      </c>
      <c r="I34" s="5">
        <v>2430</v>
      </c>
      <c r="J34" s="5">
        <v>2360</v>
      </c>
      <c r="K34" s="5">
        <v>1674</v>
      </c>
      <c r="L34" s="5">
        <v>2094</v>
      </c>
      <c r="M34" s="5">
        <v>2049</v>
      </c>
      <c r="N34" s="5">
        <v>2053</v>
      </c>
      <c r="O34" s="5">
        <f>SUM(Tabela32[[#This Row],[jan/23]:[dez/23]])</f>
        <v>26102</v>
      </c>
    </row>
    <row r="35" spans="1:15" x14ac:dyDescent="0.25">
      <c r="A35" s="4" t="s">
        <v>69</v>
      </c>
      <c r="B35" s="4" t="s">
        <v>232</v>
      </c>
      <c r="C35" s="5">
        <v>977</v>
      </c>
      <c r="D35" s="5">
        <v>1893</v>
      </c>
      <c r="E35" s="5">
        <v>2784</v>
      </c>
      <c r="F35" s="5">
        <v>2764</v>
      </c>
      <c r="G35" s="5">
        <v>2560</v>
      </c>
      <c r="H35" s="5">
        <v>2166</v>
      </c>
      <c r="I35" s="5">
        <v>2084</v>
      </c>
      <c r="J35" s="5">
        <v>2329</v>
      </c>
      <c r="K35" s="5">
        <v>1914</v>
      </c>
      <c r="L35" s="5">
        <v>2298</v>
      </c>
      <c r="M35" s="5">
        <v>2202</v>
      </c>
      <c r="N35" s="5">
        <v>1974</v>
      </c>
      <c r="O35" s="5">
        <f>SUM(Tabela32[[#This Row],[jan/23]:[dez/23]])</f>
        <v>25945</v>
      </c>
    </row>
    <row r="36" spans="1:15" x14ac:dyDescent="0.25">
      <c r="A36" s="4" t="s">
        <v>71</v>
      </c>
      <c r="B36" s="4" t="s">
        <v>70</v>
      </c>
      <c r="C36" s="5">
        <v>1849</v>
      </c>
      <c r="D36" s="5">
        <v>1686</v>
      </c>
      <c r="E36" s="5">
        <v>1310</v>
      </c>
      <c r="F36" s="5">
        <v>1223</v>
      </c>
      <c r="G36" s="5">
        <v>1710</v>
      </c>
      <c r="H36" s="5">
        <v>2039</v>
      </c>
      <c r="I36" s="5">
        <v>1650</v>
      </c>
      <c r="J36" s="5">
        <v>2013</v>
      </c>
      <c r="K36" s="5">
        <v>1783</v>
      </c>
      <c r="L36" s="5">
        <v>2558</v>
      </c>
      <c r="M36" s="5">
        <v>4179</v>
      </c>
      <c r="N36" s="5">
        <v>3195</v>
      </c>
      <c r="O36" s="5">
        <f>SUM(Tabela32[[#This Row],[jan/23]:[dez/23]])</f>
        <v>25195</v>
      </c>
    </row>
    <row r="37" spans="1:15" x14ac:dyDescent="0.25">
      <c r="A37" s="4" t="s">
        <v>73</v>
      </c>
      <c r="B37" s="4" t="s">
        <v>66</v>
      </c>
      <c r="C37" s="5">
        <v>1215</v>
      </c>
      <c r="D37" s="5">
        <v>930</v>
      </c>
      <c r="E37" s="5">
        <v>1247</v>
      </c>
      <c r="F37" s="5">
        <v>1633</v>
      </c>
      <c r="G37" s="5">
        <v>1361</v>
      </c>
      <c r="H37" s="5">
        <v>2016</v>
      </c>
      <c r="I37" s="5">
        <v>2534</v>
      </c>
      <c r="J37" s="5">
        <v>2701</v>
      </c>
      <c r="K37" s="5">
        <v>1804</v>
      </c>
      <c r="L37" s="5">
        <v>2702</v>
      </c>
      <c r="M37" s="5">
        <v>2670</v>
      </c>
      <c r="N37" s="5">
        <v>2768</v>
      </c>
      <c r="O37" s="5">
        <f>SUM(Tabela32[[#This Row],[jan/23]:[dez/23]])</f>
        <v>23581</v>
      </c>
    </row>
    <row r="38" spans="1:15" x14ac:dyDescent="0.25">
      <c r="A38" s="4" t="s">
        <v>75</v>
      </c>
      <c r="B38" s="4" t="s">
        <v>112</v>
      </c>
      <c r="C38" s="5">
        <v>848</v>
      </c>
      <c r="D38" s="5">
        <v>1341</v>
      </c>
      <c r="E38" s="5">
        <v>1524</v>
      </c>
      <c r="F38" s="5">
        <v>2537</v>
      </c>
      <c r="G38" s="5">
        <v>1351</v>
      </c>
      <c r="H38" s="5">
        <v>2497</v>
      </c>
      <c r="I38" s="5">
        <v>2014</v>
      </c>
      <c r="J38" s="5">
        <v>2775</v>
      </c>
      <c r="K38" s="5">
        <v>2907</v>
      </c>
      <c r="L38" s="5">
        <v>1921</v>
      </c>
      <c r="M38" s="5">
        <v>1321</v>
      </c>
      <c r="N38" s="5">
        <v>1435</v>
      </c>
      <c r="O38" s="5">
        <f>SUM(Tabela32[[#This Row],[jan/23]:[dez/23]])</f>
        <v>22471</v>
      </c>
    </row>
    <row r="39" spans="1:15" x14ac:dyDescent="0.25">
      <c r="A39" s="4" t="s">
        <v>77</v>
      </c>
      <c r="B39" s="4" t="s">
        <v>604</v>
      </c>
      <c r="C39" s="5">
        <v>1356</v>
      </c>
      <c r="D39" s="5">
        <v>1219</v>
      </c>
      <c r="E39" s="5">
        <v>1238</v>
      </c>
      <c r="F39" s="5">
        <v>1284</v>
      </c>
      <c r="G39" s="5">
        <v>1579</v>
      </c>
      <c r="H39" s="5">
        <v>1634</v>
      </c>
      <c r="I39" s="5">
        <v>2367</v>
      </c>
      <c r="J39" s="5">
        <v>2189</v>
      </c>
      <c r="K39" s="5">
        <v>1994</v>
      </c>
      <c r="L39" s="5">
        <v>2094</v>
      </c>
      <c r="M39" s="5">
        <v>2059</v>
      </c>
      <c r="N39" s="5">
        <v>2477</v>
      </c>
      <c r="O39" s="5">
        <f>SUM(Tabela32[[#This Row],[jan/23]:[dez/23]])</f>
        <v>21490</v>
      </c>
    </row>
    <row r="40" spans="1:15" x14ac:dyDescent="0.25">
      <c r="A40" s="4" t="s">
        <v>79</v>
      </c>
      <c r="B40" s="4" t="s">
        <v>576</v>
      </c>
      <c r="C40" s="5">
        <v>2287</v>
      </c>
      <c r="D40" s="5">
        <v>2285</v>
      </c>
      <c r="E40" s="5">
        <v>2779</v>
      </c>
      <c r="F40" s="5">
        <v>3255</v>
      </c>
      <c r="G40" s="5">
        <v>2472</v>
      </c>
      <c r="H40" s="5">
        <v>1850</v>
      </c>
      <c r="I40" s="5">
        <v>1259</v>
      </c>
      <c r="J40" s="5">
        <v>1261</v>
      </c>
      <c r="K40" s="5">
        <v>851</v>
      </c>
      <c r="L40" s="5">
        <v>892</v>
      </c>
      <c r="M40" s="5">
        <v>969</v>
      </c>
      <c r="N40" s="5">
        <v>1048</v>
      </c>
      <c r="O40" s="5">
        <f>SUM(Tabela32[[#This Row],[jan/23]:[dez/23]])</f>
        <v>21208</v>
      </c>
    </row>
    <row r="41" spans="1:15" x14ac:dyDescent="0.25">
      <c r="A41" s="4" t="s">
        <v>81</v>
      </c>
      <c r="B41" s="4" t="s">
        <v>575</v>
      </c>
      <c r="C41" s="5">
        <v>2061</v>
      </c>
      <c r="D41" s="5">
        <v>1292</v>
      </c>
      <c r="E41" s="5">
        <v>1551</v>
      </c>
      <c r="F41" s="5">
        <v>1654</v>
      </c>
      <c r="G41" s="5">
        <v>1447</v>
      </c>
      <c r="H41" s="5">
        <v>1792</v>
      </c>
      <c r="I41" s="5">
        <v>1934</v>
      </c>
      <c r="J41" s="5">
        <v>1784</v>
      </c>
      <c r="K41" s="5">
        <v>1544</v>
      </c>
      <c r="L41" s="5">
        <v>1788</v>
      </c>
      <c r="M41" s="5">
        <v>1752</v>
      </c>
      <c r="N41" s="5">
        <v>1965</v>
      </c>
      <c r="O41" s="5">
        <f>SUM(Tabela32[[#This Row],[jan/23]:[dez/23]])</f>
        <v>20564</v>
      </c>
    </row>
    <row r="42" spans="1:15" x14ac:dyDescent="0.25">
      <c r="A42" s="4" t="s">
        <v>83</v>
      </c>
      <c r="B42" s="4" t="s">
        <v>74</v>
      </c>
      <c r="C42" s="5">
        <v>1411</v>
      </c>
      <c r="D42" s="5">
        <v>928</v>
      </c>
      <c r="E42" s="5">
        <v>1267</v>
      </c>
      <c r="F42" s="5">
        <v>1570</v>
      </c>
      <c r="G42" s="5">
        <v>1453</v>
      </c>
      <c r="H42" s="5">
        <v>1907</v>
      </c>
      <c r="I42" s="5">
        <v>1895</v>
      </c>
      <c r="J42" s="5">
        <v>2175</v>
      </c>
      <c r="K42" s="5">
        <v>2145</v>
      </c>
      <c r="L42" s="5">
        <v>2094</v>
      </c>
      <c r="M42" s="5">
        <v>1572</v>
      </c>
      <c r="N42" s="5">
        <v>2140</v>
      </c>
      <c r="O42" s="5">
        <f>SUM(Tabela32[[#This Row],[jan/23]:[dez/23]])</f>
        <v>20557</v>
      </c>
    </row>
    <row r="43" spans="1:15" x14ac:dyDescent="0.25">
      <c r="A43" s="4" t="s">
        <v>85</v>
      </c>
      <c r="B43" s="4" t="s">
        <v>178</v>
      </c>
      <c r="C43" s="5">
        <v>1561</v>
      </c>
      <c r="D43" s="5">
        <v>1754</v>
      </c>
      <c r="E43" s="5">
        <v>1720</v>
      </c>
      <c r="F43" s="5">
        <v>1645</v>
      </c>
      <c r="G43" s="5">
        <v>1681</v>
      </c>
      <c r="H43" s="5">
        <v>1345</v>
      </c>
      <c r="I43" s="5">
        <v>1557</v>
      </c>
      <c r="J43" s="5">
        <v>1747</v>
      </c>
      <c r="K43" s="5">
        <v>1541</v>
      </c>
      <c r="L43" s="5">
        <v>1723</v>
      </c>
      <c r="M43" s="5">
        <v>1861</v>
      </c>
      <c r="N43" s="5">
        <v>1696</v>
      </c>
      <c r="O43" s="5">
        <f>SUM(Tabela32[[#This Row],[jan/23]:[dez/23]])</f>
        <v>19831</v>
      </c>
    </row>
    <row r="44" spans="1:15" x14ac:dyDescent="0.25">
      <c r="A44" s="4" t="s">
        <v>87</v>
      </c>
      <c r="B44" s="4" t="s">
        <v>104</v>
      </c>
      <c r="C44" s="5">
        <v>1109</v>
      </c>
      <c r="D44" s="5">
        <v>1274</v>
      </c>
      <c r="E44" s="5">
        <v>1063</v>
      </c>
      <c r="F44" s="5">
        <v>1541</v>
      </c>
      <c r="G44" s="5">
        <v>1495</v>
      </c>
      <c r="H44" s="5">
        <v>1478</v>
      </c>
      <c r="I44" s="5">
        <v>1629</v>
      </c>
      <c r="J44" s="5">
        <v>1720</v>
      </c>
      <c r="K44" s="5">
        <v>2505</v>
      </c>
      <c r="L44" s="5">
        <v>1612</v>
      </c>
      <c r="M44" s="5">
        <v>1540</v>
      </c>
      <c r="N44" s="5">
        <v>1801</v>
      </c>
      <c r="O44" s="5">
        <f>SUM(Tabela32[[#This Row],[jan/23]:[dez/23]])</f>
        <v>18767</v>
      </c>
    </row>
    <row r="45" spans="1:15" x14ac:dyDescent="0.25">
      <c r="A45" s="4" t="s">
        <v>89</v>
      </c>
      <c r="B45" s="4" t="s">
        <v>64</v>
      </c>
      <c r="C45" s="5"/>
      <c r="D45" s="5"/>
      <c r="E45" s="5"/>
      <c r="F45" s="5"/>
      <c r="G45" s="5">
        <v>6</v>
      </c>
      <c r="H45" s="5">
        <v>208</v>
      </c>
      <c r="I45" s="5">
        <v>2872</v>
      </c>
      <c r="J45" s="5">
        <v>4091</v>
      </c>
      <c r="K45" s="5">
        <v>2943</v>
      </c>
      <c r="L45" s="5">
        <v>3148</v>
      </c>
      <c r="M45" s="5">
        <v>2507</v>
      </c>
      <c r="N45" s="5">
        <v>2810</v>
      </c>
      <c r="O45" s="5">
        <f>SUM(Tabela32[[#This Row],[jan/23]:[dez/23]])</f>
        <v>18585</v>
      </c>
    </row>
    <row r="46" spans="1:15" x14ac:dyDescent="0.25">
      <c r="A46" s="4" t="s">
        <v>91</v>
      </c>
      <c r="B46" s="4" t="s">
        <v>390</v>
      </c>
      <c r="C46" s="5">
        <v>1631</v>
      </c>
      <c r="D46" s="5">
        <v>1326</v>
      </c>
      <c r="E46" s="5">
        <v>1433</v>
      </c>
      <c r="F46" s="5">
        <v>1390</v>
      </c>
      <c r="G46" s="5">
        <v>1465</v>
      </c>
      <c r="H46" s="5">
        <v>1300</v>
      </c>
      <c r="I46" s="5">
        <v>1379</v>
      </c>
      <c r="J46" s="5">
        <v>1603</v>
      </c>
      <c r="K46" s="5">
        <v>1441</v>
      </c>
      <c r="L46" s="5">
        <v>1317</v>
      </c>
      <c r="M46" s="5">
        <v>1482</v>
      </c>
      <c r="N46" s="5">
        <v>1704</v>
      </c>
      <c r="O46" s="5">
        <f>SUM(Tabela32[[#This Row],[jan/23]:[dez/23]])</f>
        <v>17471</v>
      </c>
    </row>
    <row r="47" spans="1:15" x14ac:dyDescent="0.25">
      <c r="A47" s="4" t="s">
        <v>93</v>
      </c>
      <c r="B47" s="4" t="s">
        <v>372</v>
      </c>
      <c r="C47" s="5">
        <v>1263</v>
      </c>
      <c r="D47" s="5">
        <v>764</v>
      </c>
      <c r="E47" s="5">
        <v>947</v>
      </c>
      <c r="F47" s="5">
        <v>655</v>
      </c>
      <c r="G47" s="5">
        <v>705</v>
      </c>
      <c r="H47" s="5">
        <v>427</v>
      </c>
      <c r="I47" s="5">
        <v>883</v>
      </c>
      <c r="J47" s="5">
        <v>2695</v>
      </c>
      <c r="K47" s="5">
        <v>1515</v>
      </c>
      <c r="L47" s="5">
        <v>2309</v>
      </c>
      <c r="M47" s="5">
        <v>1525</v>
      </c>
      <c r="N47" s="5">
        <v>1551</v>
      </c>
      <c r="O47" s="5">
        <f>SUM(Tabela32[[#This Row],[jan/23]:[dez/23]])</f>
        <v>15239</v>
      </c>
    </row>
    <row r="48" spans="1:15" x14ac:dyDescent="0.25">
      <c r="A48" s="4" t="s">
        <v>95</v>
      </c>
      <c r="B48" s="4" t="s">
        <v>82</v>
      </c>
      <c r="C48" s="5">
        <v>366</v>
      </c>
      <c r="D48" s="5">
        <v>746</v>
      </c>
      <c r="E48" s="5">
        <v>1579</v>
      </c>
      <c r="F48" s="5">
        <v>1454</v>
      </c>
      <c r="G48" s="5">
        <v>1171</v>
      </c>
      <c r="H48" s="5">
        <v>1021</v>
      </c>
      <c r="I48" s="5">
        <v>1125</v>
      </c>
      <c r="J48" s="5">
        <v>1213</v>
      </c>
      <c r="K48" s="5">
        <v>1030</v>
      </c>
      <c r="L48" s="5">
        <v>1852</v>
      </c>
      <c r="M48" s="5">
        <v>1833</v>
      </c>
      <c r="N48" s="5">
        <v>1515</v>
      </c>
      <c r="O48" s="5">
        <f>SUM(Tabela32[[#This Row],[jan/23]:[dez/23]])</f>
        <v>14905</v>
      </c>
    </row>
    <row r="49" spans="1:15" x14ac:dyDescent="0.25">
      <c r="A49" s="4" t="s">
        <v>97</v>
      </c>
      <c r="B49" s="4" t="s">
        <v>512</v>
      </c>
      <c r="C49" s="5">
        <v>1957</v>
      </c>
      <c r="D49" s="5">
        <v>1213</v>
      </c>
      <c r="E49" s="5">
        <v>1186</v>
      </c>
      <c r="F49" s="5">
        <v>1185</v>
      </c>
      <c r="G49" s="5">
        <v>1126</v>
      </c>
      <c r="H49" s="5">
        <v>1310</v>
      </c>
      <c r="I49" s="5">
        <v>1168</v>
      </c>
      <c r="J49" s="5">
        <v>1444</v>
      </c>
      <c r="K49" s="5">
        <v>787</v>
      </c>
      <c r="L49" s="5">
        <v>891</v>
      </c>
      <c r="M49" s="5">
        <v>1332</v>
      </c>
      <c r="N49" s="5">
        <v>1202</v>
      </c>
      <c r="O49" s="5">
        <f>SUM(Tabela32[[#This Row],[jan/23]:[dez/23]])</f>
        <v>14801</v>
      </c>
    </row>
    <row r="50" spans="1:15" x14ac:dyDescent="0.25">
      <c r="A50" s="4" t="s">
        <v>99</v>
      </c>
      <c r="B50" s="4" t="s">
        <v>538</v>
      </c>
      <c r="C50" s="5">
        <v>1663</v>
      </c>
      <c r="D50" s="5">
        <v>1196</v>
      </c>
      <c r="E50" s="5">
        <v>1464</v>
      </c>
      <c r="F50" s="5">
        <v>1693</v>
      </c>
      <c r="G50" s="5">
        <v>1536</v>
      </c>
      <c r="H50" s="5">
        <v>1426</v>
      </c>
      <c r="I50" s="5">
        <v>1478</v>
      </c>
      <c r="J50" s="5">
        <v>1182</v>
      </c>
      <c r="K50" s="5">
        <v>682</v>
      </c>
      <c r="L50" s="4">
        <v>691</v>
      </c>
      <c r="M50" s="4">
        <v>738</v>
      </c>
      <c r="N50" s="5">
        <v>759</v>
      </c>
      <c r="O50" s="5">
        <f>SUM(Tabela32[[#This Row],[jan/23]:[dez/23]])</f>
        <v>14508</v>
      </c>
    </row>
    <row r="51" spans="1:15" x14ac:dyDescent="0.25">
      <c r="A51" s="4" t="s">
        <v>101</v>
      </c>
      <c r="B51" s="4" t="s">
        <v>76</v>
      </c>
      <c r="C51" s="5"/>
      <c r="D51" s="5"/>
      <c r="E51" s="5"/>
      <c r="F51" s="5"/>
      <c r="G51" s="5">
        <v>11</v>
      </c>
      <c r="H51" s="4"/>
      <c r="I51" s="5">
        <v>754</v>
      </c>
      <c r="J51" s="5">
        <v>2250</v>
      </c>
      <c r="K51" s="5">
        <v>2122</v>
      </c>
      <c r="L51" s="5">
        <v>2633</v>
      </c>
      <c r="M51" s="5">
        <v>2773</v>
      </c>
      <c r="N51" s="5">
        <v>3128</v>
      </c>
      <c r="O51" s="5">
        <f>SUM(Tabela32[[#This Row],[jan/23]:[dez/23]])</f>
        <v>13671</v>
      </c>
    </row>
    <row r="52" spans="1:15" x14ac:dyDescent="0.25">
      <c r="A52" s="4" t="s">
        <v>103</v>
      </c>
      <c r="B52" s="4" t="s">
        <v>72</v>
      </c>
      <c r="C52" s="4">
        <v>750</v>
      </c>
      <c r="D52" s="4">
        <v>523</v>
      </c>
      <c r="E52" s="4">
        <v>727</v>
      </c>
      <c r="F52" s="5">
        <v>1298</v>
      </c>
      <c r="G52" s="5">
        <v>1106</v>
      </c>
      <c r="H52" s="5">
        <v>1205</v>
      </c>
      <c r="I52" s="5">
        <v>844</v>
      </c>
      <c r="J52" s="5">
        <v>1464</v>
      </c>
      <c r="K52" s="5">
        <v>1285</v>
      </c>
      <c r="L52" s="5">
        <v>1705</v>
      </c>
      <c r="M52" s="5">
        <v>1022</v>
      </c>
      <c r="N52" s="5">
        <v>1620</v>
      </c>
      <c r="O52" s="5">
        <f>SUM(Tabela32[[#This Row],[jan/23]:[dez/23]])</f>
        <v>13549</v>
      </c>
    </row>
    <row r="53" spans="1:15" x14ac:dyDescent="0.25">
      <c r="A53" s="4" t="s">
        <v>105</v>
      </c>
      <c r="B53" s="4" t="s">
        <v>84</v>
      </c>
      <c r="C53" s="5">
        <v>1108</v>
      </c>
      <c r="D53" s="4">
        <v>760</v>
      </c>
      <c r="E53" s="5">
        <v>1058</v>
      </c>
      <c r="F53" s="5">
        <v>1107</v>
      </c>
      <c r="G53" s="5">
        <v>1014</v>
      </c>
      <c r="H53" s="5">
        <v>1414</v>
      </c>
      <c r="I53" s="5">
        <v>1186</v>
      </c>
      <c r="J53" s="5">
        <v>1374</v>
      </c>
      <c r="K53" s="5">
        <v>1045</v>
      </c>
      <c r="L53" s="5">
        <v>1127</v>
      </c>
      <c r="M53" s="5">
        <v>996</v>
      </c>
      <c r="N53" s="5">
        <v>1222</v>
      </c>
      <c r="O53" s="5">
        <f>SUM(Tabela32[[#This Row],[jan/23]:[dez/23]])</f>
        <v>13411</v>
      </c>
    </row>
    <row r="54" spans="1:15" x14ac:dyDescent="0.25">
      <c r="A54" s="4" t="s">
        <v>107</v>
      </c>
      <c r="B54" s="4" t="s">
        <v>78</v>
      </c>
      <c r="C54" s="5">
        <v>788</v>
      </c>
      <c r="D54" s="4">
        <v>701</v>
      </c>
      <c r="E54" s="5">
        <v>1042</v>
      </c>
      <c r="F54" s="5">
        <v>1071</v>
      </c>
      <c r="G54" s="5">
        <v>1188</v>
      </c>
      <c r="H54" s="5">
        <v>1207</v>
      </c>
      <c r="I54" s="5">
        <v>1303</v>
      </c>
      <c r="J54" s="5">
        <v>1286</v>
      </c>
      <c r="K54" s="5">
        <v>1017</v>
      </c>
      <c r="L54" s="5">
        <v>1273</v>
      </c>
      <c r="M54" s="5">
        <v>1117</v>
      </c>
      <c r="N54" s="5">
        <v>1346</v>
      </c>
      <c r="O54" s="5">
        <f>SUM(Tabela32[[#This Row],[jan/23]:[dez/23]])</f>
        <v>13339</v>
      </c>
    </row>
    <row r="55" spans="1:15" x14ac:dyDescent="0.25">
      <c r="A55" s="4" t="s">
        <v>109</v>
      </c>
      <c r="B55" s="4" t="s">
        <v>52</v>
      </c>
      <c r="C55" s="4">
        <v>976</v>
      </c>
      <c r="D55" s="5">
        <v>977</v>
      </c>
      <c r="E55" s="5">
        <v>729</v>
      </c>
      <c r="F55" s="5">
        <v>399</v>
      </c>
      <c r="G55" s="4">
        <v>963</v>
      </c>
      <c r="H55" s="5">
        <v>1161</v>
      </c>
      <c r="I55" s="5">
        <v>1419</v>
      </c>
      <c r="J55" s="5">
        <v>1404</v>
      </c>
      <c r="K55" s="5">
        <v>1292</v>
      </c>
      <c r="L55" s="5">
        <v>1256</v>
      </c>
      <c r="M55" s="5">
        <v>1169</v>
      </c>
      <c r="N55" s="5">
        <v>1370</v>
      </c>
      <c r="O55" s="5">
        <f>SUM(Tabela32[[#This Row],[jan/23]:[dez/23]])</f>
        <v>13115</v>
      </c>
    </row>
    <row r="56" spans="1:15" x14ac:dyDescent="0.25">
      <c r="A56" s="4" t="s">
        <v>111</v>
      </c>
      <c r="B56" s="4" t="s">
        <v>584</v>
      </c>
      <c r="C56" s="5">
        <v>1057</v>
      </c>
      <c r="D56" s="4">
        <v>983</v>
      </c>
      <c r="E56" s="5">
        <v>1553</v>
      </c>
      <c r="F56" s="5">
        <v>1107</v>
      </c>
      <c r="G56" s="5">
        <v>854</v>
      </c>
      <c r="H56" s="5">
        <v>1038</v>
      </c>
      <c r="I56" s="5">
        <v>1128</v>
      </c>
      <c r="J56" s="5">
        <v>1244</v>
      </c>
      <c r="K56" s="5">
        <v>690</v>
      </c>
      <c r="L56" s="5">
        <v>733</v>
      </c>
      <c r="M56" s="5">
        <v>743</v>
      </c>
      <c r="N56" s="5">
        <v>817</v>
      </c>
      <c r="O56" s="5">
        <f>SUM(Tabela32[[#This Row],[jan/23]:[dez/23]])</f>
        <v>11947</v>
      </c>
    </row>
    <row r="57" spans="1:15" x14ac:dyDescent="0.25">
      <c r="A57" s="4" t="s">
        <v>113</v>
      </c>
      <c r="B57" s="4" t="s">
        <v>88</v>
      </c>
      <c r="C57" s="4">
        <v>774</v>
      </c>
      <c r="D57" s="4">
        <v>747</v>
      </c>
      <c r="E57" s="5">
        <v>965</v>
      </c>
      <c r="F57" s="5">
        <v>930</v>
      </c>
      <c r="G57" s="5">
        <v>988</v>
      </c>
      <c r="H57" s="5">
        <v>873</v>
      </c>
      <c r="I57" s="5">
        <v>997</v>
      </c>
      <c r="J57" s="5">
        <v>1046</v>
      </c>
      <c r="K57" s="5">
        <v>840</v>
      </c>
      <c r="L57" s="4">
        <v>906</v>
      </c>
      <c r="M57" s="5">
        <v>805</v>
      </c>
      <c r="N57" s="4">
        <v>898</v>
      </c>
      <c r="O57" s="5">
        <f>SUM(Tabela32[[#This Row],[jan/23]:[dez/23]])</f>
        <v>10769</v>
      </c>
    </row>
    <row r="58" spans="1:15" x14ac:dyDescent="0.25">
      <c r="A58" s="4" t="s">
        <v>115</v>
      </c>
      <c r="B58" s="4" t="s">
        <v>150</v>
      </c>
      <c r="C58" s="4">
        <v>698</v>
      </c>
      <c r="D58" s="4">
        <v>584</v>
      </c>
      <c r="E58" s="4">
        <v>808</v>
      </c>
      <c r="F58" s="4">
        <v>763</v>
      </c>
      <c r="G58" s="5">
        <v>772</v>
      </c>
      <c r="H58" s="4">
        <v>604</v>
      </c>
      <c r="I58" s="5">
        <v>797</v>
      </c>
      <c r="J58" s="5">
        <v>1169</v>
      </c>
      <c r="K58" s="4">
        <v>839</v>
      </c>
      <c r="L58" s="5">
        <v>1046</v>
      </c>
      <c r="M58" s="5">
        <v>857</v>
      </c>
      <c r="N58" s="5">
        <v>808</v>
      </c>
      <c r="O58" s="5">
        <f>SUM(Tabela32[[#This Row],[jan/23]:[dez/23]])</f>
        <v>9745</v>
      </c>
    </row>
    <row r="59" spans="1:15" x14ac:dyDescent="0.25">
      <c r="A59" s="4" t="s">
        <v>117</v>
      </c>
      <c r="B59" s="4" t="s">
        <v>398</v>
      </c>
      <c r="C59" s="4">
        <v>810</v>
      </c>
      <c r="D59" s="5">
        <v>554</v>
      </c>
      <c r="E59" s="5">
        <v>895</v>
      </c>
      <c r="F59" s="4">
        <v>816</v>
      </c>
      <c r="G59" s="4">
        <v>786</v>
      </c>
      <c r="H59" s="5">
        <v>654</v>
      </c>
      <c r="I59" s="5">
        <v>824</v>
      </c>
      <c r="J59" s="5">
        <v>730</v>
      </c>
      <c r="K59" s="5">
        <v>483</v>
      </c>
      <c r="L59" s="4">
        <v>598</v>
      </c>
      <c r="M59" s="4">
        <v>671</v>
      </c>
      <c r="N59" s="4">
        <v>705</v>
      </c>
      <c r="O59" s="5">
        <f>SUM(Tabela32[[#This Row],[jan/23]:[dez/23]])</f>
        <v>8526</v>
      </c>
    </row>
    <row r="60" spans="1:15" x14ac:dyDescent="0.25">
      <c r="A60" s="4" t="s">
        <v>119</v>
      </c>
      <c r="B60" s="4" t="s">
        <v>90</v>
      </c>
      <c r="C60" s="4">
        <v>528</v>
      </c>
      <c r="D60" s="4">
        <v>466</v>
      </c>
      <c r="E60" s="4">
        <v>578</v>
      </c>
      <c r="F60" s="4">
        <v>629</v>
      </c>
      <c r="G60" s="4">
        <v>577</v>
      </c>
      <c r="H60" s="4">
        <v>555</v>
      </c>
      <c r="I60" s="5">
        <v>625</v>
      </c>
      <c r="J60" s="4">
        <v>755</v>
      </c>
      <c r="K60" s="4">
        <v>611</v>
      </c>
      <c r="L60" s="4">
        <v>663</v>
      </c>
      <c r="M60" s="5">
        <v>505</v>
      </c>
      <c r="N60" s="4">
        <v>692</v>
      </c>
      <c r="O60" s="5">
        <f>SUM(Tabela32[[#This Row],[jan/23]:[dez/23]])</f>
        <v>7184</v>
      </c>
    </row>
    <row r="61" spans="1:15" x14ac:dyDescent="0.25">
      <c r="A61" s="4" t="s">
        <v>121</v>
      </c>
      <c r="B61" s="4" t="s">
        <v>54</v>
      </c>
      <c r="C61" s="4">
        <v>749</v>
      </c>
      <c r="D61" s="4">
        <v>636</v>
      </c>
      <c r="E61" s="4">
        <v>727</v>
      </c>
      <c r="F61" s="4">
        <v>684</v>
      </c>
      <c r="G61" s="4">
        <v>669</v>
      </c>
      <c r="H61" s="4">
        <v>529</v>
      </c>
      <c r="I61" s="4">
        <v>568</v>
      </c>
      <c r="J61" s="4">
        <v>641</v>
      </c>
      <c r="K61" s="4">
        <v>516</v>
      </c>
      <c r="L61" s="4">
        <v>511</v>
      </c>
      <c r="M61" s="4">
        <v>395</v>
      </c>
      <c r="N61" s="4">
        <v>468</v>
      </c>
      <c r="O61" s="5">
        <f>SUM(Tabela32[[#This Row],[jan/23]:[dez/23]])</f>
        <v>7093</v>
      </c>
    </row>
    <row r="62" spans="1:15" x14ac:dyDescent="0.25">
      <c r="A62" s="4" t="s">
        <v>123</v>
      </c>
      <c r="B62" s="4" t="s">
        <v>60</v>
      </c>
      <c r="C62" s="4">
        <v>678</v>
      </c>
      <c r="D62" s="4">
        <v>532</v>
      </c>
      <c r="E62" s="4">
        <v>716</v>
      </c>
      <c r="F62" s="4">
        <v>643</v>
      </c>
      <c r="G62" s="4">
        <v>604</v>
      </c>
      <c r="H62" s="4">
        <v>466</v>
      </c>
      <c r="I62" s="4">
        <v>534</v>
      </c>
      <c r="J62" s="4">
        <v>507</v>
      </c>
      <c r="K62" s="4">
        <v>475</v>
      </c>
      <c r="L62" s="4">
        <v>390</v>
      </c>
      <c r="M62" s="4">
        <v>383</v>
      </c>
      <c r="N62" s="4">
        <v>451</v>
      </c>
      <c r="O62" s="5">
        <f>SUM(Tabela32[[#This Row],[jan/23]:[dez/23]])</f>
        <v>6379</v>
      </c>
    </row>
    <row r="63" spans="1:15" x14ac:dyDescent="0.25">
      <c r="A63" s="4" t="s">
        <v>125</v>
      </c>
      <c r="B63" s="4" t="s">
        <v>102</v>
      </c>
      <c r="C63" s="4">
        <v>349</v>
      </c>
      <c r="D63" s="4">
        <v>585</v>
      </c>
      <c r="E63" s="4">
        <v>952</v>
      </c>
      <c r="F63" s="4">
        <v>528</v>
      </c>
      <c r="G63" s="4">
        <v>522</v>
      </c>
      <c r="H63" s="4">
        <v>505</v>
      </c>
      <c r="I63" s="4">
        <v>444</v>
      </c>
      <c r="J63" s="4">
        <v>366</v>
      </c>
      <c r="K63" s="4">
        <v>361</v>
      </c>
      <c r="L63" s="4">
        <v>460</v>
      </c>
      <c r="M63" s="4">
        <v>738</v>
      </c>
      <c r="N63" s="4">
        <v>513</v>
      </c>
      <c r="O63" s="5">
        <f>SUM(Tabela32[[#This Row],[jan/23]:[dez/23]])</f>
        <v>6323</v>
      </c>
    </row>
    <row r="64" spans="1:15" x14ac:dyDescent="0.25">
      <c r="A64" s="4" t="s">
        <v>127</v>
      </c>
      <c r="B64" s="4" t="s">
        <v>196</v>
      </c>
      <c r="C64" s="4">
        <v>310</v>
      </c>
      <c r="D64" s="4">
        <v>478</v>
      </c>
      <c r="E64" s="4">
        <v>632</v>
      </c>
      <c r="F64" s="4">
        <v>525</v>
      </c>
      <c r="G64" s="4">
        <v>564</v>
      </c>
      <c r="H64" s="4">
        <v>488</v>
      </c>
      <c r="I64" s="4">
        <v>433</v>
      </c>
      <c r="J64" s="4">
        <v>556</v>
      </c>
      <c r="K64" s="4">
        <v>400</v>
      </c>
      <c r="L64" s="5">
        <v>396</v>
      </c>
      <c r="M64" s="4">
        <v>388</v>
      </c>
      <c r="N64" s="5">
        <v>478</v>
      </c>
      <c r="O64" s="5">
        <f>SUM(Tabela32[[#This Row],[jan/23]:[dez/23]])</f>
        <v>5648</v>
      </c>
    </row>
    <row r="65" spans="1:15" x14ac:dyDescent="0.25">
      <c r="A65" s="4" t="s">
        <v>129</v>
      </c>
      <c r="B65" s="4" t="s">
        <v>607</v>
      </c>
      <c r="C65" s="4">
        <v>483</v>
      </c>
      <c r="D65" s="4">
        <v>374</v>
      </c>
      <c r="E65" s="4">
        <v>362</v>
      </c>
      <c r="F65" s="4">
        <v>464</v>
      </c>
      <c r="G65" s="4">
        <v>357</v>
      </c>
      <c r="H65" s="4">
        <v>471</v>
      </c>
      <c r="I65" s="4">
        <v>592</v>
      </c>
      <c r="J65" s="4">
        <v>631</v>
      </c>
      <c r="K65" s="4">
        <v>449</v>
      </c>
      <c r="L65" s="4">
        <v>617</v>
      </c>
      <c r="M65" s="4">
        <v>449</v>
      </c>
      <c r="N65" s="4">
        <v>324</v>
      </c>
      <c r="O65" s="5">
        <f>SUM(Tabela32[[#This Row],[jan/23]:[dez/23]])</f>
        <v>5573</v>
      </c>
    </row>
    <row r="66" spans="1:15" x14ac:dyDescent="0.25">
      <c r="A66" s="4" t="s">
        <v>131</v>
      </c>
      <c r="B66" s="4" t="s">
        <v>587</v>
      </c>
      <c r="C66" s="4">
        <v>498</v>
      </c>
      <c r="D66" s="4">
        <v>455</v>
      </c>
      <c r="E66" s="4">
        <v>594</v>
      </c>
      <c r="F66" s="4">
        <v>483</v>
      </c>
      <c r="G66" s="4">
        <v>491</v>
      </c>
      <c r="H66" s="4">
        <v>431</v>
      </c>
      <c r="I66" s="4">
        <v>868</v>
      </c>
      <c r="J66" s="4">
        <v>412</v>
      </c>
      <c r="K66" s="4">
        <v>324</v>
      </c>
      <c r="L66" s="4">
        <v>345</v>
      </c>
      <c r="M66" s="4">
        <v>287</v>
      </c>
      <c r="N66" s="4">
        <v>378</v>
      </c>
      <c r="O66" s="5">
        <f>SUM(Tabela32[[#This Row],[jan/23]:[dez/23]])</f>
        <v>5566</v>
      </c>
    </row>
    <row r="67" spans="1:15" x14ac:dyDescent="0.25">
      <c r="A67" s="4" t="s">
        <v>133</v>
      </c>
      <c r="B67" s="4" t="s">
        <v>256</v>
      </c>
      <c r="C67" s="4">
        <v>453</v>
      </c>
      <c r="D67" s="4">
        <v>697</v>
      </c>
      <c r="E67" s="4">
        <v>496</v>
      </c>
      <c r="F67" s="4">
        <v>410</v>
      </c>
      <c r="G67" s="4">
        <v>435</v>
      </c>
      <c r="H67" s="4">
        <v>343</v>
      </c>
      <c r="I67" s="4">
        <v>405</v>
      </c>
      <c r="J67" s="4">
        <v>492</v>
      </c>
      <c r="K67" s="4">
        <v>374</v>
      </c>
      <c r="L67" s="4">
        <v>474</v>
      </c>
      <c r="M67" s="4">
        <v>478</v>
      </c>
      <c r="N67" s="4">
        <v>478</v>
      </c>
      <c r="O67" s="5">
        <f>SUM(Tabela32[[#This Row],[jan/23]:[dez/23]])</f>
        <v>5535</v>
      </c>
    </row>
    <row r="68" spans="1:15" x14ac:dyDescent="0.25">
      <c r="A68" s="4" t="s">
        <v>135</v>
      </c>
      <c r="B68" s="4" t="s">
        <v>536</v>
      </c>
      <c r="C68" s="4">
        <v>449</v>
      </c>
      <c r="D68" s="4">
        <v>395</v>
      </c>
      <c r="E68" s="4">
        <v>796</v>
      </c>
      <c r="F68" s="4">
        <v>492</v>
      </c>
      <c r="G68" s="4">
        <v>455</v>
      </c>
      <c r="H68" s="4">
        <v>347</v>
      </c>
      <c r="I68" s="4">
        <v>367</v>
      </c>
      <c r="J68" s="4">
        <v>495</v>
      </c>
      <c r="K68" s="4">
        <v>423</v>
      </c>
      <c r="L68" s="4">
        <v>355</v>
      </c>
      <c r="M68" s="4">
        <v>441</v>
      </c>
      <c r="N68" s="4">
        <v>364</v>
      </c>
      <c r="O68" s="5">
        <f>SUM(Tabela32[[#This Row],[jan/23]:[dez/23]])</f>
        <v>5379</v>
      </c>
    </row>
    <row r="69" spans="1:15" x14ac:dyDescent="0.25">
      <c r="A69" s="4" t="s">
        <v>137</v>
      </c>
      <c r="B69" s="4" t="s">
        <v>446</v>
      </c>
      <c r="C69" s="4">
        <v>422</v>
      </c>
      <c r="D69" s="4">
        <v>264</v>
      </c>
      <c r="E69" s="4">
        <v>393</v>
      </c>
      <c r="F69" s="4">
        <v>482</v>
      </c>
      <c r="G69" s="4">
        <v>453</v>
      </c>
      <c r="H69" s="4">
        <v>333</v>
      </c>
      <c r="I69" s="4">
        <v>474</v>
      </c>
      <c r="J69" s="4">
        <v>487</v>
      </c>
      <c r="K69" s="4">
        <v>411</v>
      </c>
      <c r="L69" s="4">
        <v>554</v>
      </c>
      <c r="M69" s="4">
        <v>586</v>
      </c>
      <c r="N69" s="4">
        <v>446</v>
      </c>
      <c r="O69" s="5">
        <f>SUM(Tabela32[[#This Row],[jan/23]:[dez/23]])</f>
        <v>5305</v>
      </c>
    </row>
    <row r="70" spans="1:15" x14ac:dyDescent="0.25">
      <c r="A70" s="4" t="s">
        <v>139</v>
      </c>
      <c r="B70" s="4" t="s">
        <v>430</v>
      </c>
      <c r="C70" s="4"/>
      <c r="D70" s="4"/>
      <c r="E70" s="4"/>
      <c r="F70" s="4"/>
      <c r="G70" s="4">
        <v>226</v>
      </c>
      <c r="H70" s="4">
        <v>501</v>
      </c>
      <c r="I70" s="4">
        <v>414</v>
      </c>
      <c r="J70" s="4">
        <v>710</v>
      </c>
      <c r="K70" s="4">
        <v>658</v>
      </c>
      <c r="L70" s="5">
        <v>1033</v>
      </c>
      <c r="M70" s="4">
        <v>986</v>
      </c>
      <c r="N70" s="4">
        <v>771</v>
      </c>
      <c r="O70" s="5">
        <f>SUM(Tabela32[[#This Row],[jan/23]:[dez/23]])</f>
        <v>5299</v>
      </c>
    </row>
    <row r="71" spans="1:15" x14ac:dyDescent="0.25">
      <c r="A71" s="4" t="s">
        <v>141</v>
      </c>
      <c r="B71" s="4" t="s">
        <v>214</v>
      </c>
      <c r="C71" s="4">
        <v>271</v>
      </c>
      <c r="D71" s="4">
        <v>270</v>
      </c>
      <c r="E71" s="4">
        <v>441</v>
      </c>
      <c r="F71" s="4">
        <v>442</v>
      </c>
      <c r="G71" s="4">
        <v>432</v>
      </c>
      <c r="H71" s="4">
        <v>715</v>
      </c>
      <c r="I71" s="4">
        <v>491</v>
      </c>
      <c r="J71" s="4">
        <v>418</v>
      </c>
      <c r="K71" s="4">
        <v>309</v>
      </c>
      <c r="L71" s="4">
        <v>556</v>
      </c>
      <c r="M71" s="4">
        <v>543</v>
      </c>
      <c r="N71" s="4">
        <v>393</v>
      </c>
      <c r="O71" s="5">
        <f>SUM(Tabela32[[#This Row],[jan/23]:[dez/23]])</f>
        <v>5281</v>
      </c>
    </row>
    <row r="72" spans="1:15" x14ac:dyDescent="0.25">
      <c r="A72" s="4" t="s">
        <v>143</v>
      </c>
      <c r="B72" s="4" t="s">
        <v>494</v>
      </c>
      <c r="C72" s="4"/>
      <c r="D72" s="4"/>
      <c r="E72" s="4">
        <v>18</v>
      </c>
      <c r="F72" s="4">
        <v>78</v>
      </c>
      <c r="G72" s="4">
        <v>170</v>
      </c>
      <c r="H72" s="4">
        <v>236</v>
      </c>
      <c r="I72" s="4">
        <v>456</v>
      </c>
      <c r="J72" s="4">
        <v>728</v>
      </c>
      <c r="K72" s="4">
        <v>766</v>
      </c>
      <c r="L72" s="5">
        <v>1045</v>
      </c>
      <c r="M72" s="4">
        <v>864</v>
      </c>
      <c r="N72" s="4">
        <v>837</v>
      </c>
      <c r="O72" s="5">
        <f>SUM(Tabela32[[#This Row],[jan/23]:[dez/23]])</f>
        <v>5198</v>
      </c>
    </row>
    <row r="73" spans="1:15" x14ac:dyDescent="0.25">
      <c r="A73" s="4" t="s">
        <v>145</v>
      </c>
      <c r="B73" s="4" t="s">
        <v>118</v>
      </c>
      <c r="C73" s="4">
        <v>392</v>
      </c>
      <c r="D73" s="4">
        <v>350</v>
      </c>
      <c r="E73" s="4">
        <v>349</v>
      </c>
      <c r="F73" s="4">
        <v>431</v>
      </c>
      <c r="G73" s="4">
        <v>437</v>
      </c>
      <c r="H73" s="4">
        <v>396</v>
      </c>
      <c r="I73" s="4">
        <v>438</v>
      </c>
      <c r="J73" s="4">
        <v>441</v>
      </c>
      <c r="K73" s="4">
        <v>403</v>
      </c>
      <c r="L73" s="4">
        <v>488</v>
      </c>
      <c r="M73" s="4">
        <v>512</v>
      </c>
      <c r="N73" s="4">
        <v>453</v>
      </c>
      <c r="O73" s="5">
        <f>SUM(Tabela32[[#This Row],[jan/23]:[dez/23]])</f>
        <v>5090</v>
      </c>
    </row>
    <row r="74" spans="1:15" x14ac:dyDescent="0.25">
      <c r="A74" s="4" t="s">
        <v>147</v>
      </c>
      <c r="B74" s="4" t="s">
        <v>298</v>
      </c>
      <c r="C74" s="4">
        <v>356</v>
      </c>
      <c r="D74" s="4">
        <v>345</v>
      </c>
      <c r="E74" s="4">
        <v>500</v>
      </c>
      <c r="F74" s="4">
        <v>500</v>
      </c>
      <c r="G74" s="4">
        <v>400</v>
      </c>
      <c r="H74" s="4">
        <v>350</v>
      </c>
      <c r="I74" s="4">
        <v>400</v>
      </c>
      <c r="J74" s="4">
        <v>380</v>
      </c>
      <c r="K74" s="4">
        <v>350</v>
      </c>
      <c r="L74" s="4">
        <v>400</v>
      </c>
      <c r="M74" s="4">
        <v>450</v>
      </c>
      <c r="N74" s="4">
        <v>480</v>
      </c>
      <c r="O74" s="5">
        <f>SUM(Tabela32[[#This Row],[jan/23]:[dez/23]])</f>
        <v>4911</v>
      </c>
    </row>
    <row r="75" spans="1:15" x14ac:dyDescent="0.25">
      <c r="A75" s="4" t="s">
        <v>149</v>
      </c>
      <c r="B75" s="4" t="s">
        <v>570</v>
      </c>
      <c r="C75" s="4">
        <v>379</v>
      </c>
      <c r="D75" s="4">
        <v>299</v>
      </c>
      <c r="E75" s="4">
        <v>257</v>
      </c>
      <c r="F75" s="4">
        <v>378</v>
      </c>
      <c r="G75" s="4">
        <v>421</v>
      </c>
      <c r="H75" s="4">
        <v>411</v>
      </c>
      <c r="I75" s="4">
        <v>422</v>
      </c>
      <c r="J75" s="4">
        <v>515</v>
      </c>
      <c r="K75" s="4">
        <v>346</v>
      </c>
      <c r="L75" s="4">
        <v>397</v>
      </c>
      <c r="M75" s="4">
        <v>364</v>
      </c>
      <c r="N75" s="4">
        <v>308</v>
      </c>
      <c r="O75" s="5">
        <f>SUM(Tabela32[[#This Row],[jan/23]:[dez/23]])</f>
        <v>4497</v>
      </c>
    </row>
    <row r="76" spans="1:15" x14ac:dyDescent="0.25">
      <c r="A76" s="4" t="s">
        <v>151</v>
      </c>
      <c r="B76" s="4" t="s">
        <v>116</v>
      </c>
      <c r="C76" s="4">
        <v>340</v>
      </c>
      <c r="D76" s="4">
        <v>241</v>
      </c>
      <c r="E76" s="4">
        <v>378</v>
      </c>
      <c r="F76" s="4">
        <v>315</v>
      </c>
      <c r="G76" s="4">
        <v>253</v>
      </c>
      <c r="H76" s="4">
        <v>271</v>
      </c>
      <c r="I76" s="4">
        <v>366</v>
      </c>
      <c r="J76" s="4">
        <v>504</v>
      </c>
      <c r="K76" s="4">
        <v>451</v>
      </c>
      <c r="L76" s="4">
        <v>522</v>
      </c>
      <c r="M76" s="4">
        <v>447</v>
      </c>
      <c r="N76" s="4">
        <v>335</v>
      </c>
      <c r="O76" s="5">
        <f>SUM(Tabela32[[#This Row],[jan/23]:[dez/23]])</f>
        <v>4423</v>
      </c>
    </row>
    <row r="77" spans="1:15" x14ac:dyDescent="0.25">
      <c r="A77" s="4" t="s">
        <v>153</v>
      </c>
      <c r="B77" s="4" t="s">
        <v>154</v>
      </c>
      <c r="C77" s="4">
        <v>649</v>
      </c>
      <c r="D77" s="4">
        <v>450</v>
      </c>
      <c r="E77" s="4">
        <v>350</v>
      </c>
      <c r="F77" s="4">
        <v>239</v>
      </c>
      <c r="G77" s="4">
        <v>290</v>
      </c>
      <c r="H77" s="4">
        <v>302</v>
      </c>
      <c r="I77" s="4">
        <v>261</v>
      </c>
      <c r="J77" s="4">
        <v>262</v>
      </c>
      <c r="K77" s="4">
        <v>287</v>
      </c>
      <c r="L77" s="4">
        <v>523</v>
      </c>
      <c r="M77" s="4">
        <v>387</v>
      </c>
      <c r="N77" s="4">
        <v>404</v>
      </c>
      <c r="O77" s="5">
        <f>SUM(Tabela32[[#This Row],[jan/23]:[dez/23]])</f>
        <v>4404</v>
      </c>
    </row>
    <row r="78" spans="1:15" x14ac:dyDescent="0.25">
      <c r="A78" s="4" t="s">
        <v>155</v>
      </c>
      <c r="B78" s="4" t="s">
        <v>322</v>
      </c>
      <c r="C78" s="4">
        <v>360</v>
      </c>
      <c r="D78" s="4">
        <v>374</v>
      </c>
      <c r="E78" s="4">
        <v>413</v>
      </c>
      <c r="F78" s="4">
        <v>467</v>
      </c>
      <c r="G78" s="4">
        <v>471</v>
      </c>
      <c r="H78" s="4">
        <v>509</v>
      </c>
      <c r="I78" s="4">
        <v>521</v>
      </c>
      <c r="J78" s="4">
        <v>390</v>
      </c>
      <c r="K78" s="4">
        <v>353</v>
      </c>
      <c r="L78" s="4">
        <v>333</v>
      </c>
      <c r="M78" s="4">
        <v>89</v>
      </c>
      <c r="N78" s="4">
        <v>30</v>
      </c>
      <c r="O78" s="5">
        <f>SUM(Tabela32[[#This Row],[jan/23]:[dez/23]])</f>
        <v>4310</v>
      </c>
    </row>
    <row r="79" spans="1:15" x14ac:dyDescent="0.25">
      <c r="A79" s="4" t="s">
        <v>157</v>
      </c>
      <c r="B79" s="4" t="s">
        <v>647</v>
      </c>
      <c r="C79" s="4">
        <v>457</v>
      </c>
      <c r="D79" s="4">
        <v>254</v>
      </c>
      <c r="E79" s="4">
        <v>282</v>
      </c>
      <c r="F79" s="4">
        <v>531</v>
      </c>
      <c r="G79" s="4">
        <v>448</v>
      </c>
      <c r="H79" s="4">
        <v>411</v>
      </c>
      <c r="I79" s="4">
        <v>327</v>
      </c>
      <c r="J79" s="4">
        <v>421</v>
      </c>
      <c r="K79" s="4">
        <v>379</v>
      </c>
      <c r="L79" s="4">
        <v>354</v>
      </c>
      <c r="M79" s="4">
        <v>203</v>
      </c>
      <c r="N79" s="4">
        <v>191</v>
      </c>
      <c r="O79" s="5">
        <f>SUM(Tabela32[[#This Row],[jan/23]:[dez/23]])</f>
        <v>4258</v>
      </c>
    </row>
    <row r="80" spans="1:15" x14ac:dyDescent="0.25">
      <c r="A80" s="4" t="s">
        <v>159</v>
      </c>
      <c r="B80" s="4" t="s">
        <v>202</v>
      </c>
      <c r="C80" s="4">
        <v>207</v>
      </c>
      <c r="D80" s="4">
        <v>299</v>
      </c>
      <c r="E80" s="4">
        <v>351</v>
      </c>
      <c r="F80" s="4">
        <v>413</v>
      </c>
      <c r="G80" s="4">
        <v>466</v>
      </c>
      <c r="H80" s="4">
        <v>454</v>
      </c>
      <c r="I80" s="4">
        <v>434</v>
      </c>
      <c r="J80" s="4">
        <v>407</v>
      </c>
      <c r="K80" s="4">
        <v>304</v>
      </c>
      <c r="L80" s="4">
        <v>323</v>
      </c>
      <c r="M80" s="4">
        <v>288</v>
      </c>
      <c r="N80" s="4">
        <v>274</v>
      </c>
      <c r="O80" s="5">
        <f>SUM(Tabela32[[#This Row],[jan/23]:[dez/23]])</f>
        <v>4220</v>
      </c>
    </row>
    <row r="81" spans="1:15" x14ac:dyDescent="0.25">
      <c r="A81" s="4" t="s">
        <v>163</v>
      </c>
      <c r="B81" s="4" t="s">
        <v>160</v>
      </c>
      <c r="C81" s="4">
        <v>300</v>
      </c>
      <c r="D81" s="4">
        <v>233</v>
      </c>
      <c r="E81" s="4">
        <v>361</v>
      </c>
      <c r="F81" s="4">
        <v>197</v>
      </c>
      <c r="G81" s="4">
        <v>197</v>
      </c>
      <c r="H81" s="4">
        <v>248</v>
      </c>
      <c r="I81" s="4">
        <v>309</v>
      </c>
      <c r="J81" s="4">
        <v>402</v>
      </c>
      <c r="K81" s="4">
        <v>337</v>
      </c>
      <c r="L81" s="4">
        <v>532</v>
      </c>
      <c r="M81" s="4">
        <v>306</v>
      </c>
      <c r="N81" s="4">
        <v>432</v>
      </c>
      <c r="O81" s="5">
        <f>SUM(Tabela32[[#This Row],[jan/23]:[dez/23]])</f>
        <v>3854</v>
      </c>
    </row>
    <row r="82" spans="1:15" x14ac:dyDescent="0.25">
      <c r="A82" s="4" t="s">
        <v>161</v>
      </c>
      <c r="B82" s="4" t="s">
        <v>124</v>
      </c>
      <c r="C82" s="4">
        <v>332</v>
      </c>
      <c r="D82" s="4">
        <v>254</v>
      </c>
      <c r="E82" s="4">
        <v>347</v>
      </c>
      <c r="F82" s="4">
        <v>353</v>
      </c>
      <c r="G82" s="4">
        <v>349</v>
      </c>
      <c r="H82" s="4">
        <v>358</v>
      </c>
      <c r="I82" s="4">
        <v>327</v>
      </c>
      <c r="J82" s="4"/>
      <c r="K82" s="4">
        <v>313</v>
      </c>
      <c r="L82" s="4">
        <v>434</v>
      </c>
      <c r="M82" s="4">
        <v>314</v>
      </c>
      <c r="N82" s="4">
        <v>354</v>
      </c>
      <c r="O82" s="5">
        <f>SUM(Tabela32[[#This Row],[jan/23]:[dez/23]])</f>
        <v>3735</v>
      </c>
    </row>
    <row r="83" spans="1:15" x14ac:dyDescent="0.25">
      <c r="A83" s="4" t="s">
        <v>165</v>
      </c>
      <c r="B83" s="4" t="s">
        <v>122</v>
      </c>
      <c r="C83" s="4"/>
      <c r="D83" s="4"/>
      <c r="E83" s="4"/>
      <c r="F83" s="4"/>
      <c r="G83" s="4">
        <v>13</v>
      </c>
      <c r="H83" s="4"/>
      <c r="I83" s="4">
        <v>4</v>
      </c>
      <c r="J83" s="4"/>
      <c r="K83" s="4">
        <v>190</v>
      </c>
      <c r="L83" s="4">
        <v>793</v>
      </c>
      <c r="M83" s="5">
        <v>1149</v>
      </c>
      <c r="N83" s="5">
        <v>1151</v>
      </c>
      <c r="O83" s="5">
        <f>SUM(Tabela32[[#This Row],[jan/23]:[dez/23]])</f>
        <v>3300</v>
      </c>
    </row>
    <row r="84" spans="1:15" x14ac:dyDescent="0.25">
      <c r="A84" s="4" t="s">
        <v>167</v>
      </c>
      <c r="B84" s="4" t="s">
        <v>110</v>
      </c>
      <c r="C84" s="4">
        <v>248</v>
      </c>
      <c r="D84" s="4">
        <v>165</v>
      </c>
      <c r="E84" s="4">
        <v>229</v>
      </c>
      <c r="F84" s="4">
        <v>318</v>
      </c>
      <c r="G84" s="4">
        <v>382</v>
      </c>
      <c r="H84" s="4">
        <v>306</v>
      </c>
      <c r="I84" s="4">
        <v>227</v>
      </c>
      <c r="J84" s="4">
        <v>324</v>
      </c>
      <c r="K84" s="4">
        <v>246</v>
      </c>
      <c r="L84" s="4">
        <v>258</v>
      </c>
      <c r="M84" s="4">
        <v>252</v>
      </c>
      <c r="N84" s="4">
        <v>314</v>
      </c>
      <c r="O84" s="5">
        <f>SUM(Tabela32[[#This Row],[jan/23]:[dez/23]])</f>
        <v>3269</v>
      </c>
    </row>
    <row r="85" spans="1:15" x14ac:dyDescent="0.25">
      <c r="A85" s="4" t="s">
        <v>169</v>
      </c>
      <c r="B85" s="4" t="s">
        <v>579</v>
      </c>
      <c r="C85" s="4">
        <v>363</v>
      </c>
      <c r="D85" s="4">
        <v>201</v>
      </c>
      <c r="E85" s="4">
        <v>257</v>
      </c>
      <c r="F85" s="4">
        <v>369</v>
      </c>
      <c r="G85" s="4">
        <v>325</v>
      </c>
      <c r="H85" s="4">
        <v>403</v>
      </c>
      <c r="I85" s="4">
        <v>197</v>
      </c>
      <c r="J85" s="4">
        <v>433</v>
      </c>
      <c r="K85" s="4">
        <v>197</v>
      </c>
      <c r="L85" s="4">
        <v>273</v>
      </c>
      <c r="M85" s="4">
        <v>106</v>
      </c>
      <c r="N85" s="4">
        <v>105</v>
      </c>
      <c r="O85" s="5">
        <f>SUM(Tabela32[[#This Row],[jan/23]:[dez/23]])</f>
        <v>3229</v>
      </c>
    </row>
    <row r="86" spans="1:15" x14ac:dyDescent="0.25">
      <c r="A86" s="4" t="s">
        <v>171</v>
      </c>
      <c r="B86" s="4" t="s">
        <v>174</v>
      </c>
      <c r="C86" s="4">
        <v>139</v>
      </c>
      <c r="D86" s="4">
        <v>121</v>
      </c>
      <c r="E86" s="4">
        <v>234</v>
      </c>
      <c r="F86" s="4">
        <v>243</v>
      </c>
      <c r="G86" s="4">
        <v>305</v>
      </c>
      <c r="H86" s="4">
        <v>280</v>
      </c>
      <c r="I86" s="4">
        <v>500</v>
      </c>
      <c r="J86" s="4">
        <v>244</v>
      </c>
      <c r="K86" s="4">
        <v>210</v>
      </c>
      <c r="L86" s="4">
        <v>279</v>
      </c>
      <c r="M86" s="4">
        <v>264</v>
      </c>
      <c r="N86" s="4">
        <v>390</v>
      </c>
      <c r="O86" s="5">
        <f>SUM(Tabela32[[#This Row],[jan/23]:[dez/23]])</f>
        <v>3209</v>
      </c>
    </row>
    <row r="87" spans="1:15" x14ac:dyDescent="0.25">
      <c r="A87" s="4" t="s">
        <v>173</v>
      </c>
      <c r="B87" s="4" t="s">
        <v>645</v>
      </c>
      <c r="C87" s="4">
        <v>345</v>
      </c>
      <c r="D87" s="4">
        <v>285</v>
      </c>
      <c r="E87" s="4">
        <v>259</v>
      </c>
      <c r="F87" s="4">
        <v>244</v>
      </c>
      <c r="G87" s="4">
        <v>244</v>
      </c>
      <c r="H87" s="4">
        <v>239</v>
      </c>
      <c r="I87" s="4">
        <v>265</v>
      </c>
      <c r="J87" s="4">
        <v>318</v>
      </c>
      <c r="K87" s="4">
        <v>233</v>
      </c>
      <c r="L87" s="4">
        <v>284</v>
      </c>
      <c r="M87" s="4">
        <v>217</v>
      </c>
      <c r="N87" s="4">
        <v>243</v>
      </c>
      <c r="O87" s="5">
        <f>SUM(Tabela32[[#This Row],[jan/23]:[dez/23]])</f>
        <v>3176</v>
      </c>
    </row>
    <row r="88" spans="1:15" x14ac:dyDescent="0.25">
      <c r="A88" s="4" t="s">
        <v>175</v>
      </c>
      <c r="B88" s="4" t="s">
        <v>600</v>
      </c>
      <c r="C88" s="4">
        <v>144</v>
      </c>
      <c r="D88" s="4">
        <v>228</v>
      </c>
      <c r="E88" s="4">
        <v>279</v>
      </c>
      <c r="F88" s="4">
        <v>184</v>
      </c>
      <c r="G88" s="4">
        <v>375</v>
      </c>
      <c r="H88" s="4">
        <v>75</v>
      </c>
      <c r="I88" s="4">
        <v>145</v>
      </c>
      <c r="J88" s="4">
        <v>523</v>
      </c>
      <c r="K88" s="4">
        <v>436</v>
      </c>
      <c r="L88" s="4">
        <v>629</v>
      </c>
      <c r="M88" s="4">
        <v>88</v>
      </c>
      <c r="N88" s="4">
        <v>61</v>
      </c>
      <c r="O88" s="5">
        <f>SUM(Tabela32[[#This Row],[jan/23]:[dez/23]])</f>
        <v>3167</v>
      </c>
    </row>
    <row r="89" spans="1:15" x14ac:dyDescent="0.25">
      <c r="A89" s="4" t="s">
        <v>177</v>
      </c>
      <c r="B89" s="4" t="s">
        <v>601</v>
      </c>
      <c r="C89" s="4">
        <v>170</v>
      </c>
      <c r="D89" s="4">
        <v>116</v>
      </c>
      <c r="E89" s="4">
        <v>368</v>
      </c>
      <c r="F89" s="4">
        <v>475</v>
      </c>
      <c r="G89" s="4">
        <v>302</v>
      </c>
      <c r="H89" s="4">
        <v>290</v>
      </c>
      <c r="I89" s="4">
        <v>187</v>
      </c>
      <c r="J89" s="4">
        <v>166</v>
      </c>
      <c r="K89" s="4">
        <v>203</v>
      </c>
      <c r="L89" s="4">
        <v>141</v>
      </c>
      <c r="M89" s="4">
        <v>271</v>
      </c>
      <c r="N89" s="4">
        <v>381</v>
      </c>
      <c r="O89" s="5">
        <f>SUM(Tabela32[[#This Row],[jan/23]:[dez/23]])</f>
        <v>3070</v>
      </c>
    </row>
    <row r="90" spans="1:15" x14ac:dyDescent="0.25">
      <c r="A90" s="4" t="s">
        <v>179</v>
      </c>
      <c r="B90" s="4" t="s">
        <v>250</v>
      </c>
      <c r="C90" s="4">
        <v>34</v>
      </c>
      <c r="D90" s="4">
        <v>54</v>
      </c>
      <c r="E90" s="4">
        <v>132</v>
      </c>
      <c r="F90" s="4">
        <v>134</v>
      </c>
      <c r="G90" s="4">
        <v>156</v>
      </c>
      <c r="H90" s="4">
        <v>177</v>
      </c>
      <c r="I90" s="4">
        <v>249</v>
      </c>
      <c r="J90" s="4">
        <v>282</v>
      </c>
      <c r="K90" s="4">
        <v>333</v>
      </c>
      <c r="L90" s="4">
        <v>373</v>
      </c>
      <c r="M90" s="4">
        <v>354</v>
      </c>
      <c r="N90" s="4">
        <v>752</v>
      </c>
      <c r="O90" s="5">
        <f>SUM(Tabela32[[#This Row],[jan/23]:[dez/23]])</f>
        <v>3030</v>
      </c>
    </row>
    <row r="91" spans="1:15" x14ac:dyDescent="0.25">
      <c r="A91" s="4" t="s">
        <v>181</v>
      </c>
      <c r="B91" s="4" t="s">
        <v>230</v>
      </c>
      <c r="C91" s="4">
        <v>328</v>
      </c>
      <c r="D91" s="4">
        <v>214</v>
      </c>
      <c r="E91" s="4">
        <v>180</v>
      </c>
      <c r="F91" s="4">
        <v>185</v>
      </c>
      <c r="G91" s="4">
        <v>241</v>
      </c>
      <c r="H91" s="4">
        <v>258</v>
      </c>
      <c r="I91" s="4">
        <v>187</v>
      </c>
      <c r="J91" s="4">
        <v>309</v>
      </c>
      <c r="K91" s="4">
        <v>250</v>
      </c>
      <c r="L91" s="4">
        <v>322</v>
      </c>
      <c r="M91" s="4">
        <v>292</v>
      </c>
      <c r="N91" s="4">
        <v>196</v>
      </c>
      <c r="O91" s="5">
        <f>SUM(Tabela32[[#This Row],[jan/23]:[dez/23]])</f>
        <v>2962</v>
      </c>
    </row>
    <row r="92" spans="1:15" x14ac:dyDescent="0.25">
      <c r="A92" s="4" t="s">
        <v>183</v>
      </c>
      <c r="B92" s="4" t="s">
        <v>535</v>
      </c>
      <c r="C92" s="4">
        <v>334</v>
      </c>
      <c r="D92" s="4">
        <v>224</v>
      </c>
      <c r="E92" s="4">
        <v>257</v>
      </c>
      <c r="F92" s="4">
        <v>279</v>
      </c>
      <c r="G92" s="4">
        <v>237</v>
      </c>
      <c r="H92" s="4">
        <v>284</v>
      </c>
      <c r="I92" s="4">
        <v>285</v>
      </c>
      <c r="J92" s="4">
        <v>310</v>
      </c>
      <c r="K92" s="4">
        <v>245</v>
      </c>
      <c r="L92" s="4">
        <v>184</v>
      </c>
      <c r="M92" s="4">
        <v>173</v>
      </c>
      <c r="N92" s="4">
        <v>121</v>
      </c>
      <c r="O92" s="5">
        <f>SUM(Tabela32[[#This Row],[jan/23]:[dez/23]])</f>
        <v>2933</v>
      </c>
    </row>
    <row r="93" spans="1:15" x14ac:dyDescent="0.25">
      <c r="A93" s="4" t="s">
        <v>185</v>
      </c>
      <c r="B93" s="4" t="s">
        <v>190</v>
      </c>
      <c r="C93" s="4">
        <v>221</v>
      </c>
      <c r="D93" s="4">
        <v>237</v>
      </c>
      <c r="E93" s="4">
        <v>350</v>
      </c>
      <c r="F93" s="4">
        <v>400</v>
      </c>
      <c r="G93" s="4">
        <v>302</v>
      </c>
      <c r="H93" s="4">
        <v>299</v>
      </c>
      <c r="I93" s="4">
        <v>200</v>
      </c>
      <c r="J93" s="4">
        <v>194</v>
      </c>
      <c r="K93" s="4">
        <v>173</v>
      </c>
      <c r="L93" s="4">
        <v>197</v>
      </c>
      <c r="M93" s="4">
        <v>143</v>
      </c>
      <c r="N93" s="4">
        <v>210</v>
      </c>
      <c r="O93" s="5">
        <f>SUM(Tabela32[[#This Row],[jan/23]:[dez/23]])</f>
        <v>2926</v>
      </c>
    </row>
    <row r="94" spans="1:15" x14ac:dyDescent="0.25">
      <c r="A94" s="4" t="s">
        <v>187</v>
      </c>
      <c r="B94" s="4" t="s">
        <v>114</v>
      </c>
      <c r="C94" s="4">
        <v>200</v>
      </c>
      <c r="D94" s="4">
        <v>190</v>
      </c>
      <c r="E94" s="4">
        <v>236</v>
      </c>
      <c r="F94" s="4">
        <v>269</v>
      </c>
      <c r="G94" s="4">
        <v>249</v>
      </c>
      <c r="H94" s="4">
        <v>263</v>
      </c>
      <c r="I94" s="4">
        <v>160</v>
      </c>
      <c r="J94" s="4">
        <v>192</v>
      </c>
      <c r="K94" s="4">
        <v>232</v>
      </c>
      <c r="L94" s="4">
        <v>310</v>
      </c>
      <c r="M94" s="4">
        <v>347</v>
      </c>
      <c r="N94" s="4">
        <v>268</v>
      </c>
      <c r="O94" s="5">
        <f>SUM(Tabela32[[#This Row],[jan/23]:[dez/23]])</f>
        <v>2916</v>
      </c>
    </row>
    <row r="95" spans="1:15" x14ac:dyDescent="0.25">
      <c r="A95" s="4" t="s">
        <v>189</v>
      </c>
      <c r="B95" s="4" t="s">
        <v>396</v>
      </c>
      <c r="C95" s="4">
        <v>174</v>
      </c>
      <c r="D95" s="4">
        <v>254</v>
      </c>
      <c r="E95" s="4">
        <v>290</v>
      </c>
      <c r="F95" s="4">
        <v>236</v>
      </c>
      <c r="G95" s="4">
        <v>260</v>
      </c>
      <c r="H95" s="4">
        <v>288</v>
      </c>
      <c r="I95" s="4">
        <v>230</v>
      </c>
      <c r="J95" s="4">
        <v>302</v>
      </c>
      <c r="K95" s="4">
        <v>183</v>
      </c>
      <c r="L95" s="4">
        <v>279</v>
      </c>
      <c r="M95" s="4">
        <v>181</v>
      </c>
      <c r="N95" s="4">
        <v>195</v>
      </c>
      <c r="O95" s="5">
        <f>SUM(Tabela32[[#This Row],[jan/23]:[dez/23]])</f>
        <v>2872</v>
      </c>
    </row>
    <row r="96" spans="1:15" x14ac:dyDescent="0.25">
      <c r="A96" s="4" t="s">
        <v>191</v>
      </c>
      <c r="B96" s="4" t="s">
        <v>136</v>
      </c>
      <c r="C96" s="4">
        <v>201</v>
      </c>
      <c r="D96" s="4">
        <v>144</v>
      </c>
      <c r="E96" s="4">
        <v>176</v>
      </c>
      <c r="F96" s="4">
        <v>163</v>
      </c>
      <c r="G96" s="4">
        <v>155</v>
      </c>
      <c r="H96" s="4">
        <v>203</v>
      </c>
      <c r="I96" s="4">
        <v>220</v>
      </c>
      <c r="J96" s="4">
        <v>274</v>
      </c>
      <c r="K96" s="4">
        <v>299</v>
      </c>
      <c r="L96" s="4">
        <v>325</v>
      </c>
      <c r="M96" s="4">
        <v>318</v>
      </c>
      <c r="N96" s="4">
        <v>375</v>
      </c>
      <c r="O96" s="5">
        <f>SUM(Tabela32[[#This Row],[jan/23]:[dez/23]])</f>
        <v>2853</v>
      </c>
    </row>
    <row r="97" spans="1:15" x14ac:dyDescent="0.25">
      <c r="A97" s="4" t="s">
        <v>193</v>
      </c>
      <c r="B97" s="4" t="s">
        <v>242</v>
      </c>
      <c r="C97" s="4">
        <v>216</v>
      </c>
      <c r="D97" s="4">
        <v>196</v>
      </c>
      <c r="E97" s="4">
        <v>334</v>
      </c>
      <c r="F97" s="4">
        <v>250</v>
      </c>
      <c r="G97" s="4">
        <v>339</v>
      </c>
      <c r="H97" s="4">
        <v>270</v>
      </c>
      <c r="I97" s="4">
        <v>206</v>
      </c>
      <c r="J97" s="4">
        <v>267</v>
      </c>
      <c r="K97" s="4">
        <v>213</v>
      </c>
      <c r="L97" s="4">
        <v>189</v>
      </c>
      <c r="M97" s="4">
        <v>168</v>
      </c>
      <c r="N97" s="4">
        <v>197</v>
      </c>
      <c r="O97" s="5">
        <f>SUM(Tabela32[[#This Row],[jan/23]:[dez/23]])</f>
        <v>2845</v>
      </c>
    </row>
    <row r="98" spans="1:15" x14ac:dyDescent="0.25">
      <c r="A98" s="4" t="s">
        <v>195</v>
      </c>
      <c r="B98" s="4" t="s">
        <v>140</v>
      </c>
      <c r="C98" s="4">
        <v>183</v>
      </c>
      <c r="D98" s="4">
        <v>168</v>
      </c>
      <c r="E98" s="4">
        <v>191</v>
      </c>
      <c r="F98" s="4">
        <v>210</v>
      </c>
      <c r="G98" s="4">
        <v>189</v>
      </c>
      <c r="H98" s="4">
        <v>168</v>
      </c>
      <c r="I98" s="4">
        <v>194</v>
      </c>
      <c r="J98" s="4">
        <v>215</v>
      </c>
      <c r="K98" s="4">
        <v>217</v>
      </c>
      <c r="L98" s="4">
        <v>272</v>
      </c>
      <c r="M98" s="4">
        <v>381</v>
      </c>
      <c r="N98" s="4">
        <v>248</v>
      </c>
      <c r="O98" s="5">
        <f>SUM(Tabela32[[#This Row],[jan/23]:[dez/23]])</f>
        <v>2636</v>
      </c>
    </row>
    <row r="99" spans="1:15" x14ac:dyDescent="0.25">
      <c r="A99" s="4" t="s">
        <v>197</v>
      </c>
      <c r="B99" s="4" t="s">
        <v>152</v>
      </c>
      <c r="C99" s="4">
        <v>110</v>
      </c>
      <c r="D99" s="4">
        <v>156</v>
      </c>
      <c r="E99" s="4">
        <v>154</v>
      </c>
      <c r="F99" s="4">
        <v>158</v>
      </c>
      <c r="G99" s="4">
        <v>179</v>
      </c>
      <c r="H99" s="4">
        <v>166</v>
      </c>
      <c r="I99" s="4">
        <v>191</v>
      </c>
      <c r="J99" s="4">
        <v>260</v>
      </c>
      <c r="K99" s="4">
        <v>350</v>
      </c>
      <c r="L99" s="4">
        <v>296</v>
      </c>
      <c r="M99" s="4">
        <v>266</v>
      </c>
      <c r="N99" s="4">
        <v>195</v>
      </c>
      <c r="O99" s="5">
        <f>SUM(Tabela32[[#This Row],[jan/23]:[dez/23]])</f>
        <v>2481</v>
      </c>
    </row>
    <row r="100" spans="1:15" x14ac:dyDescent="0.25">
      <c r="A100" s="4" t="s">
        <v>199</v>
      </c>
      <c r="B100" s="4" t="s">
        <v>392</v>
      </c>
      <c r="C100" s="4">
        <v>139</v>
      </c>
      <c r="D100" s="4">
        <v>214</v>
      </c>
      <c r="E100" s="4">
        <v>540</v>
      </c>
      <c r="F100" s="4">
        <v>310</v>
      </c>
      <c r="G100" s="4">
        <v>266</v>
      </c>
      <c r="H100" s="4">
        <v>124</v>
      </c>
      <c r="I100" s="4">
        <v>106</v>
      </c>
      <c r="J100" s="4">
        <v>129</v>
      </c>
      <c r="K100" s="4">
        <v>110</v>
      </c>
      <c r="L100" s="4">
        <v>153</v>
      </c>
      <c r="M100" s="4">
        <v>140</v>
      </c>
      <c r="N100" s="4">
        <v>241</v>
      </c>
      <c r="O100" s="5">
        <f>SUM(Tabela32[[#This Row],[jan/23]:[dez/23]])</f>
        <v>2472</v>
      </c>
    </row>
    <row r="101" spans="1:15" x14ac:dyDescent="0.25">
      <c r="A101" s="4" t="s">
        <v>201</v>
      </c>
      <c r="B101" s="4" t="s">
        <v>610</v>
      </c>
      <c r="C101" s="4">
        <v>183</v>
      </c>
      <c r="D101" s="4">
        <v>202</v>
      </c>
      <c r="E101" s="4">
        <v>306</v>
      </c>
      <c r="F101" s="4">
        <v>251</v>
      </c>
      <c r="G101" s="4">
        <v>237</v>
      </c>
      <c r="H101" s="4">
        <v>293</v>
      </c>
      <c r="I101" s="4">
        <v>194</v>
      </c>
      <c r="J101" s="4">
        <v>170</v>
      </c>
      <c r="K101" s="4">
        <v>137</v>
      </c>
      <c r="L101" s="4">
        <v>183</v>
      </c>
      <c r="M101" s="4">
        <v>151</v>
      </c>
      <c r="N101" s="4">
        <v>159</v>
      </c>
      <c r="O101" s="5">
        <f>SUM(Tabela32[[#This Row],[jan/23]:[dez/23]])</f>
        <v>2466</v>
      </c>
    </row>
    <row r="102" spans="1:15" x14ac:dyDescent="0.25">
      <c r="A102" s="4" t="s">
        <v>203</v>
      </c>
      <c r="B102" s="4" t="s">
        <v>168</v>
      </c>
      <c r="C102" s="4"/>
      <c r="D102" s="4"/>
      <c r="E102" s="4">
        <v>62</v>
      </c>
      <c r="F102" s="4">
        <v>133</v>
      </c>
      <c r="G102" s="4">
        <v>121</v>
      </c>
      <c r="H102" s="4">
        <v>137</v>
      </c>
      <c r="I102" s="4">
        <v>335</v>
      </c>
      <c r="J102" s="4">
        <v>473</v>
      </c>
      <c r="K102" s="4">
        <v>140</v>
      </c>
      <c r="L102" s="4">
        <v>461</v>
      </c>
      <c r="M102" s="4">
        <v>179</v>
      </c>
      <c r="N102" s="4">
        <v>354</v>
      </c>
      <c r="O102" s="5">
        <f>SUM(Tabela32[[#This Row],[jan/23]:[dez/23]])</f>
        <v>2395</v>
      </c>
    </row>
    <row r="103" spans="1:15" x14ac:dyDescent="0.25">
      <c r="A103" s="4" t="s">
        <v>205</v>
      </c>
      <c r="B103" s="4" t="s">
        <v>408</v>
      </c>
      <c r="C103" s="4">
        <v>180</v>
      </c>
      <c r="D103" s="4">
        <v>168</v>
      </c>
      <c r="E103" s="4">
        <v>208</v>
      </c>
      <c r="F103" s="4">
        <v>218</v>
      </c>
      <c r="G103" s="4">
        <v>183</v>
      </c>
      <c r="H103" s="4">
        <v>179</v>
      </c>
      <c r="I103" s="4">
        <v>180</v>
      </c>
      <c r="J103" s="4">
        <v>219</v>
      </c>
      <c r="K103" s="4">
        <v>190</v>
      </c>
      <c r="L103" s="4">
        <v>209</v>
      </c>
      <c r="M103" s="4">
        <v>188</v>
      </c>
      <c r="N103" s="4">
        <v>171</v>
      </c>
      <c r="O103" s="5">
        <f>SUM(Tabela32[[#This Row],[jan/23]:[dez/23]])</f>
        <v>2293</v>
      </c>
    </row>
    <row r="104" spans="1:15" x14ac:dyDescent="0.25">
      <c r="A104" s="4" t="s">
        <v>207</v>
      </c>
      <c r="B104" s="4" t="s">
        <v>310</v>
      </c>
      <c r="C104" s="4">
        <v>220</v>
      </c>
      <c r="D104" s="4">
        <v>143</v>
      </c>
      <c r="E104" s="4">
        <v>199</v>
      </c>
      <c r="F104" s="4">
        <v>175</v>
      </c>
      <c r="G104" s="4">
        <v>188</v>
      </c>
      <c r="H104" s="4">
        <v>159</v>
      </c>
      <c r="I104" s="4">
        <v>178</v>
      </c>
      <c r="J104" s="4">
        <v>210</v>
      </c>
      <c r="K104" s="4">
        <v>234</v>
      </c>
      <c r="L104" s="4">
        <v>153</v>
      </c>
      <c r="M104" s="4">
        <v>198</v>
      </c>
      <c r="N104" s="4">
        <v>151</v>
      </c>
      <c r="O104" s="5">
        <f>SUM(Tabela32[[#This Row],[jan/23]:[dez/23]])</f>
        <v>2208</v>
      </c>
    </row>
    <row r="105" spans="1:15" x14ac:dyDescent="0.25">
      <c r="A105" s="4" t="s">
        <v>209</v>
      </c>
      <c r="B105" s="4" t="s">
        <v>226</v>
      </c>
      <c r="C105" s="4">
        <v>235</v>
      </c>
      <c r="D105" s="4">
        <v>124</v>
      </c>
      <c r="E105" s="4">
        <v>211</v>
      </c>
      <c r="F105" s="4">
        <v>133</v>
      </c>
      <c r="G105" s="4">
        <v>123</v>
      </c>
      <c r="H105" s="4">
        <v>151</v>
      </c>
      <c r="I105" s="4">
        <v>145</v>
      </c>
      <c r="J105" s="4">
        <v>144</v>
      </c>
      <c r="K105" s="4">
        <v>126</v>
      </c>
      <c r="L105" s="4">
        <v>190</v>
      </c>
      <c r="M105" s="4">
        <v>169</v>
      </c>
      <c r="N105" s="4">
        <v>240</v>
      </c>
      <c r="O105" s="5">
        <f>SUM(Tabela32[[#This Row],[jan/23]:[dez/23]])</f>
        <v>1991</v>
      </c>
    </row>
    <row r="106" spans="1:15" x14ac:dyDescent="0.25">
      <c r="A106" s="4" t="s">
        <v>211</v>
      </c>
      <c r="B106" s="4" t="s">
        <v>580</v>
      </c>
      <c r="C106" s="4">
        <v>142</v>
      </c>
      <c r="D106" s="4">
        <v>167</v>
      </c>
      <c r="E106" s="4">
        <v>164</v>
      </c>
      <c r="F106" s="4">
        <v>144</v>
      </c>
      <c r="G106" s="4">
        <v>136</v>
      </c>
      <c r="H106" s="4">
        <v>165</v>
      </c>
      <c r="I106" s="4">
        <v>210</v>
      </c>
      <c r="J106" s="4">
        <v>205</v>
      </c>
      <c r="K106" s="4">
        <v>130</v>
      </c>
      <c r="L106" s="4">
        <v>156</v>
      </c>
      <c r="M106" s="4">
        <v>123</v>
      </c>
      <c r="N106" s="4">
        <v>123</v>
      </c>
      <c r="O106" s="5">
        <f>SUM(Tabela32[[#This Row],[jan/23]:[dez/23]])</f>
        <v>1865</v>
      </c>
    </row>
    <row r="107" spans="1:15" x14ac:dyDescent="0.25">
      <c r="A107" s="4" t="s">
        <v>213</v>
      </c>
      <c r="B107" s="4" t="s">
        <v>602</v>
      </c>
      <c r="C107" s="4">
        <v>217</v>
      </c>
      <c r="D107" s="4">
        <v>139</v>
      </c>
      <c r="E107" s="4">
        <v>173</v>
      </c>
      <c r="F107" s="4">
        <v>181</v>
      </c>
      <c r="G107" s="4">
        <v>168</v>
      </c>
      <c r="H107" s="4">
        <v>108</v>
      </c>
      <c r="I107" s="4">
        <v>105</v>
      </c>
      <c r="J107" s="4">
        <v>129</v>
      </c>
      <c r="K107" s="4">
        <v>90</v>
      </c>
      <c r="L107" s="4">
        <v>109</v>
      </c>
      <c r="M107" s="4">
        <v>112</v>
      </c>
      <c r="N107" s="4">
        <v>138</v>
      </c>
      <c r="O107" s="5">
        <f>SUM(Tabela32[[#This Row],[jan/23]:[dez/23]])</f>
        <v>1669</v>
      </c>
    </row>
    <row r="108" spans="1:15" x14ac:dyDescent="0.25">
      <c r="A108" s="4" t="s">
        <v>215</v>
      </c>
      <c r="B108" s="4" t="s">
        <v>613</v>
      </c>
      <c r="C108" s="4">
        <v>84</v>
      </c>
      <c r="D108" s="4">
        <v>91</v>
      </c>
      <c r="E108" s="4">
        <v>122</v>
      </c>
      <c r="F108" s="4">
        <v>123</v>
      </c>
      <c r="G108" s="4">
        <v>117</v>
      </c>
      <c r="H108" s="4">
        <v>204</v>
      </c>
      <c r="I108" s="4">
        <v>138</v>
      </c>
      <c r="J108" s="4">
        <v>159</v>
      </c>
      <c r="K108" s="4">
        <v>109</v>
      </c>
      <c r="L108" s="4">
        <v>174</v>
      </c>
      <c r="M108" s="4">
        <v>157</v>
      </c>
      <c r="N108" s="4">
        <v>155</v>
      </c>
      <c r="O108" s="5">
        <f>SUM(Tabela32[[#This Row],[jan/23]:[dez/23]])</f>
        <v>1633</v>
      </c>
    </row>
    <row r="109" spans="1:15" x14ac:dyDescent="0.25">
      <c r="A109" s="4" t="s">
        <v>217</v>
      </c>
      <c r="B109" s="4" t="s">
        <v>551</v>
      </c>
      <c r="C109" s="4">
        <v>161</v>
      </c>
      <c r="D109" s="4">
        <v>182</v>
      </c>
      <c r="E109" s="4">
        <v>191</v>
      </c>
      <c r="F109" s="4">
        <v>174</v>
      </c>
      <c r="G109" s="4">
        <v>213</v>
      </c>
      <c r="H109" s="4">
        <v>217</v>
      </c>
      <c r="I109" s="4">
        <v>282</v>
      </c>
      <c r="J109" s="4">
        <v>63</v>
      </c>
      <c r="K109" s="4">
        <v>28</v>
      </c>
      <c r="L109" s="4">
        <v>26</v>
      </c>
      <c r="M109" s="4">
        <v>20</v>
      </c>
      <c r="N109" s="4">
        <v>8</v>
      </c>
      <c r="O109" s="5">
        <f>SUM(Tabela32[[#This Row],[jan/23]:[dez/23]])</f>
        <v>1565</v>
      </c>
    </row>
    <row r="110" spans="1:15" x14ac:dyDescent="0.25">
      <c r="A110" s="4" t="s">
        <v>219</v>
      </c>
      <c r="B110" s="4" t="s">
        <v>577</v>
      </c>
      <c r="C110" s="4">
        <v>153</v>
      </c>
      <c r="D110" s="4">
        <v>128</v>
      </c>
      <c r="E110" s="4">
        <v>102</v>
      </c>
      <c r="F110" s="4">
        <v>132</v>
      </c>
      <c r="G110" s="4">
        <v>125</v>
      </c>
      <c r="H110" s="4">
        <v>115</v>
      </c>
      <c r="I110" s="4">
        <v>132</v>
      </c>
      <c r="J110" s="4">
        <v>137</v>
      </c>
      <c r="K110" s="4">
        <v>119</v>
      </c>
      <c r="L110" s="4">
        <v>115</v>
      </c>
      <c r="M110" s="4">
        <v>115</v>
      </c>
      <c r="N110" s="4">
        <v>107</v>
      </c>
      <c r="O110" s="5">
        <f>SUM(Tabela32[[#This Row],[jan/23]:[dez/23]])</f>
        <v>1480</v>
      </c>
    </row>
    <row r="111" spans="1:15" x14ac:dyDescent="0.25">
      <c r="A111" s="4" t="s">
        <v>221</v>
      </c>
      <c r="B111" s="4" t="s">
        <v>228</v>
      </c>
      <c r="C111" s="4">
        <v>114</v>
      </c>
      <c r="D111" s="4">
        <v>134</v>
      </c>
      <c r="E111" s="4">
        <v>229</v>
      </c>
      <c r="F111" s="4">
        <v>226</v>
      </c>
      <c r="G111" s="4">
        <v>168</v>
      </c>
      <c r="H111" s="4">
        <v>100</v>
      </c>
      <c r="I111" s="4">
        <v>70</v>
      </c>
      <c r="J111" s="4">
        <v>92</v>
      </c>
      <c r="K111" s="4">
        <v>76</v>
      </c>
      <c r="L111" s="4">
        <v>71</v>
      </c>
      <c r="M111" s="4">
        <v>84</v>
      </c>
      <c r="N111" s="4">
        <v>89</v>
      </c>
      <c r="O111" s="5">
        <f>SUM(Tabela32[[#This Row],[jan/23]:[dez/23]])</f>
        <v>1453</v>
      </c>
    </row>
    <row r="112" spans="1:15" x14ac:dyDescent="0.25">
      <c r="A112" s="4" t="s">
        <v>223</v>
      </c>
      <c r="B112" s="4" t="s">
        <v>652</v>
      </c>
      <c r="C112" s="4">
        <v>73</v>
      </c>
      <c r="D112" s="4">
        <v>93</v>
      </c>
      <c r="E112" s="4">
        <v>148</v>
      </c>
      <c r="F112" s="4">
        <v>115</v>
      </c>
      <c r="G112" s="4">
        <v>117</v>
      </c>
      <c r="H112" s="4">
        <v>171</v>
      </c>
      <c r="I112" s="4">
        <v>171</v>
      </c>
      <c r="J112" s="4">
        <v>160</v>
      </c>
      <c r="K112" s="4">
        <v>105</v>
      </c>
      <c r="L112" s="4">
        <v>133</v>
      </c>
      <c r="M112" s="4">
        <v>6</v>
      </c>
      <c r="N112" s="4">
        <v>83</v>
      </c>
      <c r="O112" s="5">
        <f>SUM(Tabela32[[#This Row],[jan/23]:[dez/23]])</f>
        <v>1375</v>
      </c>
    </row>
    <row r="113" spans="1:15" x14ac:dyDescent="0.25">
      <c r="A113" s="4" t="s">
        <v>225</v>
      </c>
      <c r="B113" s="4" t="s">
        <v>270</v>
      </c>
      <c r="C113" s="4">
        <v>63</v>
      </c>
      <c r="D113" s="4">
        <v>84</v>
      </c>
      <c r="E113" s="4">
        <v>141</v>
      </c>
      <c r="F113" s="4">
        <v>132</v>
      </c>
      <c r="G113" s="4">
        <v>109</v>
      </c>
      <c r="H113" s="4">
        <v>102</v>
      </c>
      <c r="I113" s="4">
        <v>92</v>
      </c>
      <c r="J113" s="4">
        <v>90</v>
      </c>
      <c r="K113" s="4">
        <v>96</v>
      </c>
      <c r="L113" s="4">
        <v>150</v>
      </c>
      <c r="M113" s="4">
        <v>130</v>
      </c>
      <c r="N113" s="4">
        <v>160</v>
      </c>
      <c r="O113" s="5">
        <f>SUM(Tabela32[[#This Row],[jan/23]:[dez/23]])</f>
        <v>1349</v>
      </c>
    </row>
    <row r="114" spans="1:15" x14ac:dyDescent="0.25">
      <c r="A114" s="4" t="s">
        <v>229</v>
      </c>
      <c r="B114" s="4" t="s">
        <v>424</v>
      </c>
      <c r="C114" s="4">
        <v>147</v>
      </c>
      <c r="D114" s="4">
        <v>91</v>
      </c>
      <c r="E114" s="4">
        <v>165</v>
      </c>
      <c r="F114" s="4">
        <v>136</v>
      </c>
      <c r="G114" s="4">
        <v>125</v>
      </c>
      <c r="H114" s="4">
        <v>154</v>
      </c>
      <c r="I114" s="4">
        <v>138</v>
      </c>
      <c r="J114" s="4">
        <v>126</v>
      </c>
      <c r="K114" s="4">
        <v>107</v>
      </c>
      <c r="L114" s="4">
        <v>48</v>
      </c>
      <c r="M114" s="4">
        <v>42</v>
      </c>
      <c r="N114" s="4">
        <v>23</v>
      </c>
      <c r="O114" s="5">
        <f>SUM(Tabela32[[#This Row],[jan/23]:[dez/23]])</f>
        <v>1302</v>
      </c>
    </row>
    <row r="115" spans="1:15" x14ac:dyDescent="0.25">
      <c r="A115" s="4" t="s">
        <v>227</v>
      </c>
      <c r="B115" s="4" t="s">
        <v>517</v>
      </c>
      <c r="C115" s="4">
        <v>185</v>
      </c>
      <c r="D115" s="4">
        <v>119</v>
      </c>
      <c r="E115" s="4">
        <v>34</v>
      </c>
      <c r="F115" s="4">
        <v>64</v>
      </c>
      <c r="G115" s="4">
        <v>99</v>
      </c>
      <c r="H115" s="4">
        <v>108</v>
      </c>
      <c r="I115" s="4">
        <v>206</v>
      </c>
      <c r="J115" s="4">
        <v>92</v>
      </c>
      <c r="K115" s="4">
        <v>67</v>
      </c>
      <c r="L115" s="4">
        <v>72</v>
      </c>
      <c r="M115" s="4">
        <v>127</v>
      </c>
      <c r="N115" s="4">
        <v>95</v>
      </c>
      <c r="O115" s="5">
        <f>SUM(Tabela32[[#This Row],[jan/23]:[dez/23]])</f>
        <v>1268</v>
      </c>
    </row>
    <row r="116" spans="1:15" x14ac:dyDescent="0.25">
      <c r="A116" s="4" t="s">
        <v>231</v>
      </c>
      <c r="B116" s="4" t="s">
        <v>252</v>
      </c>
      <c r="C116" s="4">
        <v>28</v>
      </c>
      <c r="D116" s="4">
        <v>93</v>
      </c>
      <c r="E116" s="4">
        <v>108</v>
      </c>
      <c r="F116" s="4">
        <v>175</v>
      </c>
      <c r="G116" s="4">
        <v>215</v>
      </c>
      <c r="H116" s="4">
        <v>11</v>
      </c>
      <c r="I116" s="4">
        <v>159</v>
      </c>
      <c r="J116" s="4">
        <v>172</v>
      </c>
      <c r="K116" s="4">
        <v>102</v>
      </c>
      <c r="L116" s="4">
        <v>78</v>
      </c>
      <c r="M116" s="4">
        <v>40</v>
      </c>
      <c r="N116" s="4">
        <v>23</v>
      </c>
      <c r="O116" s="5">
        <f>SUM(Tabela32[[#This Row],[jan/23]:[dez/23]])</f>
        <v>1204</v>
      </c>
    </row>
    <row r="117" spans="1:15" x14ac:dyDescent="0.25">
      <c r="A117" s="4" t="s">
        <v>233</v>
      </c>
      <c r="B117" s="4" t="s">
        <v>146</v>
      </c>
      <c r="C117" s="4">
        <v>94</v>
      </c>
      <c r="D117" s="4">
        <v>89</v>
      </c>
      <c r="E117" s="4">
        <v>137</v>
      </c>
      <c r="F117" s="4">
        <v>84</v>
      </c>
      <c r="G117" s="4">
        <v>103</v>
      </c>
      <c r="H117" s="4">
        <v>73</v>
      </c>
      <c r="I117" s="4">
        <v>82</v>
      </c>
      <c r="J117" s="4">
        <v>97</v>
      </c>
      <c r="K117" s="4">
        <v>74</v>
      </c>
      <c r="L117" s="4">
        <v>156</v>
      </c>
      <c r="M117" s="4">
        <v>98</v>
      </c>
      <c r="N117" s="4">
        <v>84</v>
      </c>
      <c r="O117" s="5">
        <f>SUM(Tabela32[[#This Row],[jan/23]:[dez/23]])</f>
        <v>1171</v>
      </c>
    </row>
    <row r="118" spans="1:15" x14ac:dyDescent="0.25">
      <c r="A118" s="4" t="s">
        <v>235</v>
      </c>
      <c r="B118" s="4" t="s">
        <v>216</v>
      </c>
      <c r="C118" s="4">
        <v>77</v>
      </c>
      <c r="D118" s="4">
        <v>69</v>
      </c>
      <c r="E118" s="4">
        <v>137</v>
      </c>
      <c r="F118" s="4">
        <v>105</v>
      </c>
      <c r="G118" s="4">
        <v>98</v>
      </c>
      <c r="H118" s="4">
        <v>46</v>
      </c>
      <c r="I118" s="4">
        <v>89</v>
      </c>
      <c r="J118" s="4">
        <v>122</v>
      </c>
      <c r="K118" s="4">
        <v>110</v>
      </c>
      <c r="L118" s="4">
        <v>117</v>
      </c>
      <c r="M118" s="4">
        <v>92</v>
      </c>
      <c r="N118" s="4">
        <v>87</v>
      </c>
      <c r="O118" s="5">
        <f>SUM(Tabela32[[#This Row],[jan/23]:[dez/23]])</f>
        <v>1149</v>
      </c>
    </row>
    <row r="119" spans="1:15" x14ac:dyDescent="0.25">
      <c r="A119" s="4" t="s">
        <v>237</v>
      </c>
      <c r="B119" s="4" t="s">
        <v>608</v>
      </c>
      <c r="C119" s="4">
        <v>68</v>
      </c>
      <c r="D119" s="4">
        <v>64</v>
      </c>
      <c r="E119" s="4">
        <v>131</v>
      </c>
      <c r="F119" s="4">
        <v>231</v>
      </c>
      <c r="G119" s="4">
        <v>142</v>
      </c>
      <c r="H119" s="4">
        <v>47</v>
      </c>
      <c r="I119" s="4">
        <v>33</v>
      </c>
      <c r="J119" s="4">
        <v>46</v>
      </c>
      <c r="K119" s="4">
        <v>152</v>
      </c>
      <c r="L119" s="4">
        <v>119</v>
      </c>
      <c r="M119" s="4">
        <v>24</v>
      </c>
      <c r="N119" s="4">
        <v>15</v>
      </c>
      <c r="O119" s="5">
        <f>SUM(Tabela32[[#This Row],[jan/23]:[dez/23]])</f>
        <v>1072</v>
      </c>
    </row>
    <row r="120" spans="1:15" x14ac:dyDescent="0.25">
      <c r="A120" s="4" t="s">
        <v>239</v>
      </c>
      <c r="B120" s="4" t="s">
        <v>264</v>
      </c>
      <c r="C120" s="4">
        <v>77</v>
      </c>
      <c r="D120" s="4">
        <v>58</v>
      </c>
      <c r="E120" s="4">
        <v>124</v>
      </c>
      <c r="F120" s="4">
        <v>103</v>
      </c>
      <c r="G120" s="4">
        <v>61</v>
      </c>
      <c r="H120" s="4">
        <v>106</v>
      </c>
      <c r="I120" s="4">
        <v>143</v>
      </c>
      <c r="J120" s="4">
        <v>66</v>
      </c>
      <c r="K120" s="4">
        <v>58</v>
      </c>
      <c r="L120" s="4">
        <v>89</v>
      </c>
      <c r="M120" s="4">
        <v>60</v>
      </c>
      <c r="N120" s="4">
        <v>96</v>
      </c>
      <c r="O120" s="5">
        <f>SUM(Tabela32[[#This Row],[jan/23]:[dez/23]])</f>
        <v>1041</v>
      </c>
    </row>
    <row r="121" spans="1:15" x14ac:dyDescent="0.25">
      <c r="A121" s="4" t="s">
        <v>243</v>
      </c>
      <c r="B121" s="4" t="s">
        <v>258</v>
      </c>
      <c r="C121" s="4">
        <v>1</v>
      </c>
      <c r="D121" s="4">
        <v>25</v>
      </c>
      <c r="E121" s="4">
        <v>148</v>
      </c>
      <c r="F121" s="4">
        <v>108</v>
      </c>
      <c r="G121" s="4">
        <v>148</v>
      </c>
      <c r="H121" s="4">
        <v>198</v>
      </c>
      <c r="I121" s="4">
        <v>69</v>
      </c>
      <c r="J121" s="4">
        <v>109</v>
      </c>
      <c r="K121" s="4">
        <v>51</v>
      </c>
      <c r="L121" s="4">
        <v>40</v>
      </c>
      <c r="M121" s="4">
        <v>33</v>
      </c>
      <c r="N121" s="4">
        <v>60</v>
      </c>
      <c r="O121" s="5">
        <f>SUM(Tabela32[[#This Row],[jan/23]:[dez/23]])</f>
        <v>990</v>
      </c>
    </row>
    <row r="122" spans="1:15" x14ac:dyDescent="0.25">
      <c r="A122" s="4" t="s">
        <v>241</v>
      </c>
      <c r="B122" s="4" t="s">
        <v>384</v>
      </c>
      <c r="C122" s="4"/>
      <c r="D122" s="4"/>
      <c r="E122" s="4"/>
      <c r="F122" s="4"/>
      <c r="G122" s="4"/>
      <c r="H122" s="4">
        <v>67</v>
      </c>
      <c r="I122" s="4">
        <v>158</v>
      </c>
      <c r="J122" s="4">
        <v>192</v>
      </c>
      <c r="K122" s="4">
        <v>165</v>
      </c>
      <c r="L122" s="4">
        <v>136</v>
      </c>
      <c r="M122" s="4">
        <v>120</v>
      </c>
      <c r="N122" s="4">
        <v>99</v>
      </c>
      <c r="O122" s="5">
        <f>SUM(Tabela32[[#This Row],[jan/23]:[dez/23]])</f>
        <v>937</v>
      </c>
    </row>
    <row r="123" spans="1:15" x14ac:dyDescent="0.25">
      <c r="A123" s="4" t="s">
        <v>245</v>
      </c>
      <c r="B123" s="4" t="s">
        <v>696</v>
      </c>
      <c r="C123" s="4">
        <v>100</v>
      </c>
      <c r="D123" s="4">
        <v>100</v>
      </c>
      <c r="E123" s="4">
        <v>100</v>
      </c>
      <c r="F123" s="4">
        <v>100</v>
      </c>
      <c r="G123" s="4">
        <v>61</v>
      </c>
      <c r="H123" s="4">
        <v>100</v>
      </c>
      <c r="I123" s="4">
        <v>60</v>
      </c>
      <c r="J123" s="4">
        <v>19</v>
      </c>
      <c r="K123" s="4">
        <v>50</v>
      </c>
      <c r="L123" s="4">
        <v>108</v>
      </c>
      <c r="M123" s="4">
        <v>70</v>
      </c>
      <c r="N123" s="4">
        <v>65</v>
      </c>
      <c r="O123" s="5">
        <f>SUM(Tabela32[[#This Row],[jan/23]:[dez/23]])</f>
        <v>933</v>
      </c>
    </row>
    <row r="124" spans="1:15" x14ac:dyDescent="0.25">
      <c r="A124" s="4" t="s">
        <v>247</v>
      </c>
      <c r="B124" s="4" t="s">
        <v>224</v>
      </c>
      <c r="C124" s="4">
        <v>1</v>
      </c>
      <c r="D124" s="4">
        <v>23</v>
      </c>
      <c r="E124" s="4">
        <v>71</v>
      </c>
      <c r="F124" s="4">
        <v>56</v>
      </c>
      <c r="G124" s="4">
        <v>71</v>
      </c>
      <c r="H124" s="4">
        <v>93</v>
      </c>
      <c r="I124" s="4">
        <v>82</v>
      </c>
      <c r="J124" s="4">
        <v>106</v>
      </c>
      <c r="K124" s="4">
        <v>82</v>
      </c>
      <c r="L124" s="4">
        <v>85</v>
      </c>
      <c r="M124" s="4">
        <v>98</v>
      </c>
      <c r="N124" s="4">
        <v>152</v>
      </c>
      <c r="O124" s="5">
        <f>SUM(Tabela32[[#This Row],[jan/23]:[dez/23]])</f>
        <v>920</v>
      </c>
    </row>
    <row r="125" spans="1:15" x14ac:dyDescent="0.25">
      <c r="A125" s="4" t="s">
        <v>249</v>
      </c>
      <c r="B125" s="4" t="s">
        <v>158</v>
      </c>
      <c r="C125" s="4">
        <v>66</v>
      </c>
      <c r="D125" s="4">
        <v>35</v>
      </c>
      <c r="E125" s="4">
        <v>84</v>
      </c>
      <c r="F125" s="4">
        <v>74</v>
      </c>
      <c r="G125" s="4">
        <v>89</v>
      </c>
      <c r="H125" s="4">
        <v>56</v>
      </c>
      <c r="I125" s="4">
        <v>61</v>
      </c>
      <c r="J125" s="4">
        <v>78</v>
      </c>
      <c r="K125" s="4">
        <v>66</v>
      </c>
      <c r="L125" s="4">
        <v>113</v>
      </c>
      <c r="M125" s="4">
        <v>84</v>
      </c>
      <c r="N125" s="4">
        <v>96</v>
      </c>
      <c r="O125" s="5">
        <f>SUM(Tabela32[[#This Row],[jan/23]:[dez/23]])</f>
        <v>902</v>
      </c>
    </row>
    <row r="126" spans="1:15" x14ac:dyDescent="0.25">
      <c r="A126" s="4" t="s">
        <v>253</v>
      </c>
      <c r="B126" s="4" t="s">
        <v>514</v>
      </c>
      <c r="C126" s="4">
        <v>75</v>
      </c>
      <c r="D126" s="4">
        <v>56</v>
      </c>
      <c r="E126" s="4">
        <v>84</v>
      </c>
      <c r="F126" s="4">
        <v>69</v>
      </c>
      <c r="G126" s="4">
        <v>58</v>
      </c>
      <c r="H126" s="4">
        <v>65</v>
      </c>
      <c r="I126" s="4">
        <v>68</v>
      </c>
      <c r="J126" s="4">
        <v>98</v>
      </c>
      <c r="K126" s="4">
        <v>70</v>
      </c>
      <c r="L126" s="4">
        <v>71</v>
      </c>
      <c r="M126" s="4">
        <v>80</v>
      </c>
      <c r="N126" s="4">
        <v>97</v>
      </c>
      <c r="O126" s="5">
        <f>SUM(Tabela32[[#This Row],[jan/23]:[dez/23]])</f>
        <v>891</v>
      </c>
    </row>
    <row r="127" spans="1:15" x14ac:dyDescent="0.25">
      <c r="A127" s="4" t="s">
        <v>251</v>
      </c>
      <c r="B127" s="4" t="s">
        <v>156</v>
      </c>
      <c r="C127" s="4">
        <v>66</v>
      </c>
      <c r="D127" s="4">
        <v>46</v>
      </c>
      <c r="E127" s="4">
        <v>114</v>
      </c>
      <c r="F127" s="4">
        <v>68</v>
      </c>
      <c r="G127" s="4">
        <v>90</v>
      </c>
      <c r="H127" s="4">
        <v>75</v>
      </c>
      <c r="I127" s="4">
        <v>55</v>
      </c>
      <c r="J127" s="4">
        <v>72</v>
      </c>
      <c r="K127" s="4">
        <v>78</v>
      </c>
      <c r="L127" s="4">
        <v>71</v>
      </c>
      <c r="M127" s="4">
        <v>71</v>
      </c>
      <c r="N127" s="4">
        <v>80</v>
      </c>
      <c r="O127" s="5">
        <f>SUM(Tabela32[[#This Row],[jan/23]:[dez/23]])</f>
        <v>886</v>
      </c>
    </row>
    <row r="128" spans="1:15" x14ac:dyDescent="0.25">
      <c r="A128" s="4" t="s">
        <v>255</v>
      </c>
      <c r="B128" s="4" t="s">
        <v>176</v>
      </c>
      <c r="C128" s="4">
        <v>81</v>
      </c>
      <c r="D128" s="4">
        <v>48</v>
      </c>
      <c r="E128" s="4">
        <v>80</v>
      </c>
      <c r="F128" s="4">
        <v>64</v>
      </c>
      <c r="G128" s="4">
        <v>74</v>
      </c>
      <c r="H128" s="4">
        <v>82</v>
      </c>
      <c r="I128" s="4">
        <v>78</v>
      </c>
      <c r="J128" s="4">
        <v>71</v>
      </c>
      <c r="K128" s="4">
        <v>84</v>
      </c>
      <c r="L128" s="4">
        <v>71</v>
      </c>
      <c r="M128" s="4">
        <v>58</v>
      </c>
      <c r="N128" s="4">
        <v>85</v>
      </c>
      <c r="O128" s="5">
        <f>SUM(Tabela32[[#This Row],[jan/23]:[dez/23]])</f>
        <v>876</v>
      </c>
    </row>
    <row r="129" spans="1:15" x14ac:dyDescent="0.25">
      <c r="A129" s="4" t="s">
        <v>257</v>
      </c>
      <c r="B129" s="4" t="s">
        <v>238</v>
      </c>
      <c r="C129" s="4">
        <v>62</v>
      </c>
      <c r="D129" s="4">
        <v>25</v>
      </c>
      <c r="E129" s="4">
        <v>47</v>
      </c>
      <c r="F129" s="4">
        <v>45</v>
      </c>
      <c r="G129" s="4">
        <v>105</v>
      </c>
      <c r="H129" s="4">
        <v>108</v>
      </c>
      <c r="I129" s="4">
        <v>77</v>
      </c>
      <c r="J129" s="4">
        <v>80</v>
      </c>
      <c r="K129" s="4">
        <v>81</v>
      </c>
      <c r="L129" s="4">
        <v>52</v>
      </c>
      <c r="M129" s="4">
        <v>58</v>
      </c>
      <c r="N129" s="4">
        <v>119</v>
      </c>
      <c r="O129" s="5">
        <f>SUM(Tabela32[[#This Row],[jan/23]:[dez/23]])</f>
        <v>859</v>
      </c>
    </row>
    <row r="130" spans="1:15" x14ac:dyDescent="0.25">
      <c r="A130" s="4" t="s">
        <v>259</v>
      </c>
      <c r="B130" s="4" t="s">
        <v>246</v>
      </c>
      <c r="C130" s="4">
        <v>86</v>
      </c>
      <c r="D130" s="4">
        <v>67</v>
      </c>
      <c r="E130" s="4">
        <v>62</v>
      </c>
      <c r="F130" s="4">
        <v>82</v>
      </c>
      <c r="G130" s="4">
        <v>64</v>
      </c>
      <c r="H130" s="4">
        <v>47</v>
      </c>
      <c r="I130" s="4">
        <v>66</v>
      </c>
      <c r="J130" s="4">
        <v>77</v>
      </c>
      <c r="K130" s="4">
        <v>57</v>
      </c>
      <c r="L130" s="4">
        <v>80</v>
      </c>
      <c r="M130" s="4">
        <v>76</v>
      </c>
      <c r="N130" s="4">
        <v>75</v>
      </c>
      <c r="O130" s="5">
        <f>SUM(Tabela32[[#This Row],[jan/23]:[dez/23]])</f>
        <v>839</v>
      </c>
    </row>
    <row r="131" spans="1:15" x14ac:dyDescent="0.25">
      <c r="A131" s="4" t="s">
        <v>261</v>
      </c>
      <c r="B131" s="4" t="s">
        <v>677</v>
      </c>
      <c r="C131" s="4">
        <v>23</v>
      </c>
      <c r="D131" s="4">
        <v>15</v>
      </c>
      <c r="E131" s="4">
        <v>47</v>
      </c>
      <c r="F131" s="4">
        <v>175</v>
      </c>
      <c r="G131" s="4">
        <v>98</v>
      </c>
      <c r="H131" s="4">
        <v>86</v>
      </c>
      <c r="I131" s="4">
        <v>128</v>
      </c>
      <c r="J131" s="4">
        <v>80</v>
      </c>
      <c r="K131" s="4">
        <v>23</v>
      </c>
      <c r="L131" s="4">
        <v>31</v>
      </c>
      <c r="M131" s="4">
        <v>17</v>
      </c>
      <c r="N131" s="4">
        <v>16</v>
      </c>
      <c r="O131" s="5">
        <f>SUM(Tabela32[[#This Row],[jan/23]:[dez/23]])</f>
        <v>739</v>
      </c>
    </row>
    <row r="132" spans="1:15" x14ac:dyDescent="0.25">
      <c r="A132" s="4" t="s">
        <v>265</v>
      </c>
      <c r="B132" s="4" t="s">
        <v>480</v>
      </c>
      <c r="C132" s="4">
        <v>91</v>
      </c>
      <c r="D132" s="4">
        <v>66</v>
      </c>
      <c r="E132" s="4">
        <v>104</v>
      </c>
      <c r="F132" s="4">
        <v>94</v>
      </c>
      <c r="G132" s="4">
        <v>90</v>
      </c>
      <c r="H132" s="4">
        <v>69</v>
      </c>
      <c r="I132" s="4">
        <v>33</v>
      </c>
      <c r="J132" s="4">
        <v>23</v>
      </c>
      <c r="K132" s="4">
        <v>40</v>
      </c>
      <c r="L132" s="4">
        <v>25</v>
      </c>
      <c r="M132" s="4">
        <v>36</v>
      </c>
      <c r="N132" s="4">
        <v>18</v>
      </c>
      <c r="O132" s="5">
        <f>SUM(Tabela32[[#This Row],[jan/23]:[dez/23]])</f>
        <v>689</v>
      </c>
    </row>
    <row r="133" spans="1:15" x14ac:dyDescent="0.25">
      <c r="A133" s="4" t="s">
        <v>263</v>
      </c>
      <c r="B133" s="4" t="s">
        <v>699</v>
      </c>
      <c r="C133" s="4">
        <v>275</v>
      </c>
      <c r="D133" s="4">
        <v>160</v>
      </c>
      <c r="E133" s="4">
        <v>94</v>
      </c>
      <c r="F133" s="4">
        <v>60</v>
      </c>
      <c r="G133" s="4">
        <v>44</v>
      </c>
      <c r="H133" s="4">
        <v>21</v>
      </c>
      <c r="I133" s="4">
        <v>11</v>
      </c>
      <c r="J133" s="4">
        <v>4</v>
      </c>
      <c r="K133" s="4">
        <v>11</v>
      </c>
      <c r="L133" s="4">
        <v>3</v>
      </c>
      <c r="M133" s="4">
        <v>3</v>
      </c>
      <c r="N133" s="4">
        <v>2</v>
      </c>
      <c r="O133" s="5">
        <f>SUM(Tabela32[[#This Row],[jan/23]:[dez/23]])</f>
        <v>688</v>
      </c>
    </row>
    <row r="134" spans="1:15" x14ac:dyDescent="0.25">
      <c r="A134" s="4" t="s">
        <v>267</v>
      </c>
      <c r="B134" s="4" t="s">
        <v>622</v>
      </c>
      <c r="C134" s="4"/>
      <c r="D134" s="4"/>
      <c r="E134" s="4"/>
      <c r="F134" s="4">
        <v>80</v>
      </c>
      <c r="G134" s="4">
        <v>84</v>
      </c>
      <c r="H134" s="4">
        <v>104</v>
      </c>
      <c r="I134" s="4">
        <v>58</v>
      </c>
      <c r="J134" s="4">
        <v>71</v>
      </c>
      <c r="K134" s="4">
        <v>52</v>
      </c>
      <c r="L134" s="4">
        <v>61</v>
      </c>
      <c r="M134" s="4">
        <v>51</v>
      </c>
      <c r="N134" s="4">
        <v>67</v>
      </c>
      <c r="O134" s="5">
        <f>SUM(Tabela32[[#This Row],[jan/23]:[dez/23]])</f>
        <v>628</v>
      </c>
    </row>
    <row r="135" spans="1:15" x14ac:dyDescent="0.25">
      <c r="A135" s="4" t="s">
        <v>269</v>
      </c>
      <c r="B135" s="4" t="s">
        <v>186</v>
      </c>
      <c r="C135" s="4">
        <v>32</v>
      </c>
      <c r="D135" s="4">
        <v>31</v>
      </c>
      <c r="E135" s="4">
        <v>37</v>
      </c>
      <c r="F135" s="4">
        <v>45</v>
      </c>
      <c r="G135" s="4">
        <v>59</v>
      </c>
      <c r="H135" s="4">
        <v>37</v>
      </c>
      <c r="I135" s="4">
        <v>48</v>
      </c>
      <c r="J135" s="4">
        <v>60</v>
      </c>
      <c r="K135" s="4">
        <v>65</v>
      </c>
      <c r="L135" s="4">
        <v>44</v>
      </c>
      <c r="M135" s="4">
        <v>73</v>
      </c>
      <c r="N135" s="4">
        <v>90</v>
      </c>
      <c r="O135" s="5">
        <f>SUM(Tabela32[[#This Row],[jan/23]:[dez/23]])</f>
        <v>621</v>
      </c>
    </row>
    <row r="136" spans="1:15" x14ac:dyDescent="0.25">
      <c r="A136" s="4" t="s">
        <v>271</v>
      </c>
      <c r="B136" s="4" t="s">
        <v>528</v>
      </c>
      <c r="C136" s="4"/>
      <c r="D136" s="4"/>
      <c r="E136" s="4"/>
      <c r="F136" s="4">
        <v>46</v>
      </c>
      <c r="G136" s="4">
        <v>87</v>
      </c>
      <c r="H136" s="4">
        <v>46</v>
      </c>
      <c r="I136" s="4">
        <v>51</v>
      </c>
      <c r="J136" s="4">
        <v>84</v>
      </c>
      <c r="K136" s="4">
        <v>92</v>
      </c>
      <c r="L136" s="4">
        <v>87</v>
      </c>
      <c r="M136" s="4">
        <v>53</v>
      </c>
      <c r="N136" s="4">
        <v>63</v>
      </c>
      <c r="O136" s="5">
        <f>SUM(Tabela32[[#This Row],[jan/23]:[dez/23]])</f>
        <v>609</v>
      </c>
    </row>
    <row r="137" spans="1:15" x14ac:dyDescent="0.25">
      <c r="A137" s="4" t="s">
        <v>273</v>
      </c>
      <c r="B137" s="4" t="s">
        <v>436</v>
      </c>
      <c r="C137" s="4">
        <v>27</v>
      </c>
      <c r="D137" s="4">
        <v>40</v>
      </c>
      <c r="E137" s="4">
        <v>34</v>
      </c>
      <c r="F137" s="4">
        <v>49</v>
      </c>
      <c r="G137" s="4">
        <v>76</v>
      </c>
      <c r="H137" s="4">
        <v>50</v>
      </c>
      <c r="I137" s="4">
        <v>59</v>
      </c>
      <c r="J137" s="4">
        <v>73</v>
      </c>
      <c r="K137" s="4">
        <v>46</v>
      </c>
      <c r="L137" s="4">
        <v>60</v>
      </c>
      <c r="M137" s="4">
        <v>47</v>
      </c>
      <c r="N137" s="4">
        <v>37</v>
      </c>
      <c r="O137" s="5">
        <f>SUM(Tabela32[[#This Row],[jan/23]:[dez/23]])</f>
        <v>598</v>
      </c>
    </row>
    <row r="138" spans="1:15" x14ac:dyDescent="0.25">
      <c r="A138" s="4" t="s">
        <v>275</v>
      </c>
      <c r="B138" s="4" t="s">
        <v>518</v>
      </c>
      <c r="C138" s="4">
        <v>25</v>
      </c>
      <c r="D138" s="4">
        <v>8</v>
      </c>
      <c r="E138" s="4">
        <v>15</v>
      </c>
      <c r="F138" s="4">
        <v>18</v>
      </c>
      <c r="G138" s="4">
        <v>37</v>
      </c>
      <c r="H138" s="4">
        <v>60</v>
      </c>
      <c r="I138" s="4">
        <v>80</v>
      </c>
      <c r="J138" s="4">
        <v>87</v>
      </c>
      <c r="K138" s="4">
        <v>54</v>
      </c>
      <c r="L138" s="4">
        <v>17</v>
      </c>
      <c r="M138" s="4">
        <v>91</v>
      </c>
      <c r="N138" s="4">
        <v>102</v>
      </c>
      <c r="O138" s="5">
        <f>SUM(Tabela32[[#This Row],[jan/23]:[dez/23]])</f>
        <v>594</v>
      </c>
    </row>
    <row r="139" spans="1:15" x14ac:dyDescent="0.25">
      <c r="A139" s="4" t="s">
        <v>277</v>
      </c>
      <c r="B139" s="4" t="s">
        <v>585</v>
      </c>
      <c r="C139" s="4">
        <v>39</v>
      </c>
      <c r="D139" s="4">
        <v>33</v>
      </c>
      <c r="E139" s="4">
        <v>57</v>
      </c>
      <c r="F139" s="4">
        <v>53</v>
      </c>
      <c r="G139" s="4">
        <v>57</v>
      </c>
      <c r="H139" s="4">
        <v>39</v>
      </c>
      <c r="I139" s="4">
        <v>59</v>
      </c>
      <c r="J139" s="4">
        <v>60</v>
      </c>
      <c r="K139" s="4">
        <v>46</v>
      </c>
      <c r="L139" s="4">
        <v>55</v>
      </c>
      <c r="M139" s="4">
        <v>50</v>
      </c>
      <c r="N139" s="4">
        <v>41</v>
      </c>
      <c r="O139" s="5">
        <f>SUM(Tabela32[[#This Row],[jan/23]:[dez/23]])</f>
        <v>589</v>
      </c>
    </row>
    <row r="140" spans="1:15" x14ac:dyDescent="0.25">
      <c r="A140" s="4" t="s">
        <v>279</v>
      </c>
      <c r="B140" s="4" t="s">
        <v>280</v>
      </c>
      <c r="C140" s="4">
        <v>62</v>
      </c>
      <c r="D140" s="4">
        <v>55</v>
      </c>
      <c r="E140" s="4">
        <v>63</v>
      </c>
      <c r="F140" s="4">
        <v>72</v>
      </c>
      <c r="G140" s="4">
        <v>44</v>
      </c>
      <c r="H140" s="4">
        <v>47</v>
      </c>
      <c r="I140" s="4">
        <v>36</v>
      </c>
      <c r="J140" s="4">
        <v>40</v>
      </c>
      <c r="K140" s="4">
        <v>24</v>
      </c>
      <c r="L140" s="4">
        <v>26</v>
      </c>
      <c r="M140" s="4">
        <v>22</v>
      </c>
      <c r="N140" s="4">
        <v>47</v>
      </c>
      <c r="O140" s="5">
        <f>SUM(Tabela32[[#This Row],[jan/23]:[dez/23]])</f>
        <v>538</v>
      </c>
    </row>
    <row r="141" spans="1:15" x14ac:dyDescent="0.25">
      <c r="A141" s="4" t="s">
        <v>281</v>
      </c>
      <c r="B141" s="4" t="s">
        <v>132</v>
      </c>
      <c r="C141" s="4"/>
      <c r="D141" s="4"/>
      <c r="E141" s="4"/>
      <c r="F141" s="4"/>
      <c r="G141" s="4"/>
      <c r="H141" s="4"/>
      <c r="I141" s="4"/>
      <c r="J141" s="4"/>
      <c r="K141" s="4"/>
      <c r="L141" s="4">
        <v>92</v>
      </c>
      <c r="M141" s="4">
        <v>155</v>
      </c>
      <c r="N141" s="4">
        <v>287</v>
      </c>
      <c r="O141" s="5">
        <f>SUM(Tabela32[[#This Row],[jan/23]:[dez/23]])</f>
        <v>534</v>
      </c>
    </row>
    <row r="142" spans="1:15" x14ac:dyDescent="0.25">
      <c r="A142" s="4" t="s">
        <v>285</v>
      </c>
      <c r="B142" s="4" t="s">
        <v>170</v>
      </c>
      <c r="C142" s="4"/>
      <c r="D142" s="4"/>
      <c r="E142" s="4"/>
      <c r="F142" s="4">
        <v>40</v>
      </c>
      <c r="G142" s="4">
        <v>70</v>
      </c>
      <c r="H142" s="4">
        <v>79</v>
      </c>
      <c r="I142" s="4">
        <v>48</v>
      </c>
      <c r="J142" s="4">
        <v>87</v>
      </c>
      <c r="K142" s="4">
        <v>79</v>
      </c>
      <c r="L142" s="4">
        <v>67</v>
      </c>
      <c r="M142" s="4">
        <v>60</v>
      </c>
      <c r="N142" s="4"/>
      <c r="O142" s="5">
        <f>SUM(Tabela32[[#This Row],[jan/23]:[dez/23]])</f>
        <v>530</v>
      </c>
    </row>
    <row r="143" spans="1:15" x14ac:dyDescent="0.25">
      <c r="A143" s="4" t="s">
        <v>283</v>
      </c>
      <c r="B143" s="4" t="s">
        <v>448</v>
      </c>
      <c r="C143" s="4">
        <v>1</v>
      </c>
      <c r="D143" s="4">
        <v>6</v>
      </c>
      <c r="E143" s="4">
        <v>1</v>
      </c>
      <c r="F143" s="4">
        <v>87</v>
      </c>
      <c r="G143" s="4">
        <v>76</v>
      </c>
      <c r="H143" s="4">
        <v>35</v>
      </c>
      <c r="I143" s="4">
        <v>53</v>
      </c>
      <c r="J143" s="4">
        <v>45</v>
      </c>
      <c r="K143" s="4">
        <v>6</v>
      </c>
      <c r="L143" s="4">
        <v>57</v>
      </c>
      <c r="M143" s="4">
        <v>70</v>
      </c>
      <c r="N143" s="4">
        <v>77</v>
      </c>
      <c r="O143" s="5">
        <f>SUM(Tabela32[[#This Row],[jan/23]:[dez/23]])</f>
        <v>514</v>
      </c>
    </row>
    <row r="144" spans="1:15" x14ac:dyDescent="0.25">
      <c r="A144" s="4" t="s">
        <v>287</v>
      </c>
      <c r="B144" s="4" t="s">
        <v>695</v>
      </c>
      <c r="C144" s="4">
        <v>46</v>
      </c>
      <c r="D144" s="4">
        <v>49</v>
      </c>
      <c r="E144" s="4">
        <v>58</v>
      </c>
      <c r="F144" s="4">
        <v>82</v>
      </c>
      <c r="G144" s="4">
        <v>48</v>
      </c>
      <c r="H144" s="4">
        <v>41</v>
      </c>
      <c r="I144" s="4">
        <v>29</v>
      </c>
      <c r="J144" s="4">
        <v>41</v>
      </c>
      <c r="K144" s="4">
        <v>31</v>
      </c>
      <c r="L144" s="4">
        <v>21</v>
      </c>
      <c r="M144" s="4">
        <v>23</v>
      </c>
      <c r="N144" s="4">
        <v>34</v>
      </c>
      <c r="O144" s="5">
        <f>SUM(Tabela32[[#This Row],[jan/23]:[dez/23]])</f>
        <v>503</v>
      </c>
    </row>
    <row r="145" spans="1:15" x14ac:dyDescent="0.25">
      <c r="A145" s="4" t="s">
        <v>289</v>
      </c>
      <c r="B145" s="4" t="s">
        <v>234</v>
      </c>
      <c r="C145" s="4">
        <v>50</v>
      </c>
      <c r="D145" s="4">
        <v>42</v>
      </c>
      <c r="E145" s="4">
        <v>4</v>
      </c>
      <c r="F145" s="4">
        <v>2</v>
      </c>
      <c r="G145" s="4">
        <v>5</v>
      </c>
      <c r="H145" s="4">
        <v>56</v>
      </c>
      <c r="I145" s="4">
        <v>44</v>
      </c>
      <c r="J145" s="4">
        <v>67</v>
      </c>
      <c r="K145" s="4">
        <v>37</v>
      </c>
      <c r="L145" s="4">
        <v>54</v>
      </c>
      <c r="M145" s="4">
        <v>48</v>
      </c>
      <c r="N145" s="4">
        <v>79</v>
      </c>
      <c r="O145" s="5">
        <f>SUM(Tabela32[[#This Row],[jan/23]:[dez/23]])</f>
        <v>488</v>
      </c>
    </row>
    <row r="146" spans="1:15" x14ac:dyDescent="0.25">
      <c r="A146" s="4" t="s">
        <v>291</v>
      </c>
      <c r="B146" s="4" t="s">
        <v>741</v>
      </c>
      <c r="C146" s="4">
        <v>284</v>
      </c>
      <c r="D146" s="4">
        <v>95</v>
      </c>
      <c r="E146" s="4">
        <v>66</v>
      </c>
      <c r="F146" s="4">
        <v>19</v>
      </c>
      <c r="G146" s="4">
        <v>10</v>
      </c>
      <c r="H146" s="4"/>
      <c r="I146" s="4"/>
      <c r="J146" s="4"/>
      <c r="K146" s="4"/>
      <c r="L146" s="4"/>
      <c r="M146" s="4"/>
      <c r="N146" s="4"/>
      <c r="O146" s="5">
        <f>SUM(Tabela32[[#This Row],[jan/23]:[dez/23]])</f>
        <v>474</v>
      </c>
    </row>
    <row r="147" spans="1:15" x14ac:dyDescent="0.25">
      <c r="A147" s="4" t="s">
        <v>293</v>
      </c>
      <c r="B147" s="4" t="s">
        <v>290</v>
      </c>
      <c r="C147" s="4">
        <v>36</v>
      </c>
      <c r="D147" s="4">
        <v>37</v>
      </c>
      <c r="E147" s="4">
        <v>33</v>
      </c>
      <c r="F147" s="4">
        <v>51</v>
      </c>
      <c r="G147" s="4">
        <v>32</v>
      </c>
      <c r="H147" s="4">
        <v>35</v>
      </c>
      <c r="I147" s="4">
        <v>17</v>
      </c>
      <c r="J147" s="4">
        <v>12</v>
      </c>
      <c r="K147" s="4">
        <v>39</v>
      </c>
      <c r="L147" s="4">
        <v>70</v>
      </c>
      <c r="M147" s="4">
        <v>37</v>
      </c>
      <c r="N147" s="4">
        <v>67</v>
      </c>
      <c r="O147" s="5">
        <f>SUM(Tabela32[[#This Row],[jan/23]:[dez/23]])</f>
        <v>466</v>
      </c>
    </row>
    <row r="148" spans="1:15" x14ac:dyDescent="0.25">
      <c r="A148" s="4" t="s">
        <v>295</v>
      </c>
      <c r="B148" s="4" t="s">
        <v>212</v>
      </c>
      <c r="C148" s="4">
        <v>30</v>
      </c>
      <c r="D148" s="4">
        <v>31</v>
      </c>
      <c r="E148" s="4">
        <v>32</v>
      </c>
      <c r="F148" s="4">
        <v>59</v>
      </c>
      <c r="G148" s="4">
        <v>50</v>
      </c>
      <c r="H148" s="4">
        <v>65</v>
      </c>
      <c r="I148" s="4">
        <v>43</v>
      </c>
      <c r="J148" s="4">
        <v>38</v>
      </c>
      <c r="K148" s="4">
        <v>38</v>
      </c>
      <c r="L148" s="4">
        <v>42</v>
      </c>
      <c r="M148" s="4">
        <v>19</v>
      </c>
      <c r="N148" s="4">
        <v>17</v>
      </c>
      <c r="O148" s="5">
        <f>SUM(Tabela32[[#This Row],[jan/23]:[dez/23]])</f>
        <v>464</v>
      </c>
    </row>
    <row r="149" spans="1:15" x14ac:dyDescent="0.25">
      <c r="A149" s="4" t="s">
        <v>297</v>
      </c>
      <c r="B149" s="4" t="s">
        <v>581</v>
      </c>
      <c r="C149" s="4">
        <v>45</v>
      </c>
      <c r="D149" s="4">
        <v>10</v>
      </c>
      <c r="E149" s="4">
        <v>70</v>
      </c>
      <c r="F149" s="4">
        <v>51</v>
      </c>
      <c r="G149" s="4">
        <v>58</v>
      </c>
      <c r="H149" s="4">
        <v>40</v>
      </c>
      <c r="I149" s="4">
        <v>25</v>
      </c>
      <c r="J149" s="4">
        <v>92</v>
      </c>
      <c r="K149" s="4">
        <v>20</v>
      </c>
      <c r="L149" s="4">
        <v>6</v>
      </c>
      <c r="M149" s="4">
        <v>15</v>
      </c>
      <c r="N149" s="4">
        <v>25</v>
      </c>
      <c r="O149" s="5">
        <f>SUM(Tabela32[[#This Row],[jan/23]:[dez/23]])</f>
        <v>457</v>
      </c>
    </row>
    <row r="150" spans="1:15" x14ac:dyDescent="0.25">
      <c r="A150" s="4" t="s">
        <v>299</v>
      </c>
      <c r="B150" s="4" t="s">
        <v>673</v>
      </c>
      <c r="C150" s="4">
        <v>67</v>
      </c>
      <c r="D150" s="4">
        <v>33</v>
      </c>
      <c r="E150" s="4">
        <v>47</v>
      </c>
      <c r="F150" s="4">
        <v>50</v>
      </c>
      <c r="G150" s="4">
        <v>42</v>
      </c>
      <c r="H150" s="4">
        <v>43</v>
      </c>
      <c r="I150" s="4">
        <v>24</v>
      </c>
      <c r="J150" s="4">
        <v>34</v>
      </c>
      <c r="K150" s="4">
        <v>21</v>
      </c>
      <c r="L150" s="4">
        <v>30</v>
      </c>
      <c r="M150" s="4">
        <v>28</v>
      </c>
      <c r="N150" s="4">
        <v>36</v>
      </c>
      <c r="O150" s="5">
        <f>SUM(Tabela32[[#This Row],[jan/23]:[dez/23]])</f>
        <v>455</v>
      </c>
    </row>
    <row r="151" spans="1:15" x14ac:dyDescent="0.25">
      <c r="A151" s="4" t="s">
        <v>301</v>
      </c>
      <c r="B151" s="4" t="s">
        <v>294</v>
      </c>
      <c r="C151" s="4">
        <v>38</v>
      </c>
      <c r="D151" s="4">
        <v>35</v>
      </c>
      <c r="E151" s="4">
        <v>45</v>
      </c>
      <c r="F151" s="4">
        <v>40</v>
      </c>
      <c r="G151" s="4">
        <v>32</v>
      </c>
      <c r="H151" s="4">
        <v>34</v>
      </c>
      <c r="I151" s="4">
        <v>31</v>
      </c>
      <c r="J151" s="4">
        <v>31</v>
      </c>
      <c r="K151" s="4">
        <v>44</v>
      </c>
      <c r="L151" s="4">
        <v>43</v>
      </c>
      <c r="M151" s="4">
        <v>21</v>
      </c>
      <c r="N151" s="4">
        <v>44</v>
      </c>
      <c r="O151" s="5">
        <f>SUM(Tabela32[[#This Row],[jan/23]:[dez/23]])</f>
        <v>438</v>
      </c>
    </row>
    <row r="152" spans="1:15" x14ac:dyDescent="0.25">
      <c r="A152" s="4" t="s">
        <v>303</v>
      </c>
      <c r="B152" s="4" t="s">
        <v>222</v>
      </c>
      <c r="C152" s="4">
        <v>37</v>
      </c>
      <c r="D152" s="4">
        <v>31</v>
      </c>
      <c r="E152" s="4">
        <v>42</v>
      </c>
      <c r="F152" s="4">
        <v>31</v>
      </c>
      <c r="G152" s="4">
        <v>36</v>
      </c>
      <c r="H152" s="4">
        <v>49</v>
      </c>
      <c r="I152" s="4">
        <v>38</v>
      </c>
      <c r="J152" s="4">
        <v>30</v>
      </c>
      <c r="K152" s="4">
        <v>15</v>
      </c>
      <c r="L152" s="4">
        <v>38</v>
      </c>
      <c r="M152" s="4">
        <v>41</v>
      </c>
      <c r="N152" s="4">
        <v>49</v>
      </c>
      <c r="O152" s="5">
        <f>SUM(Tabela32[[#This Row],[jan/23]:[dez/23]])</f>
        <v>437</v>
      </c>
    </row>
    <row r="153" spans="1:15" x14ac:dyDescent="0.25">
      <c r="A153" s="4" t="s">
        <v>305</v>
      </c>
      <c r="B153" s="4" t="s">
        <v>683</v>
      </c>
      <c r="C153" s="4">
        <v>64</v>
      </c>
      <c r="D153" s="4">
        <v>34</v>
      </c>
      <c r="E153" s="4">
        <v>35</v>
      </c>
      <c r="F153" s="4">
        <v>47</v>
      </c>
      <c r="G153" s="4">
        <v>34</v>
      </c>
      <c r="H153" s="4">
        <v>52</v>
      </c>
      <c r="I153" s="4">
        <v>66</v>
      </c>
      <c r="J153" s="4">
        <v>46</v>
      </c>
      <c r="K153" s="4">
        <v>21</v>
      </c>
      <c r="L153" s="4">
        <v>17</v>
      </c>
      <c r="M153" s="4">
        <v>13</v>
      </c>
      <c r="N153" s="4">
        <v>5</v>
      </c>
      <c r="O153" s="5">
        <f>SUM(Tabela32[[#This Row],[jan/23]:[dez/23]])</f>
        <v>434</v>
      </c>
    </row>
    <row r="154" spans="1:15" x14ac:dyDescent="0.25">
      <c r="A154" s="4" t="s">
        <v>307</v>
      </c>
      <c r="B154" s="4" t="s">
        <v>172</v>
      </c>
      <c r="C154" s="4">
        <v>30</v>
      </c>
      <c r="D154" s="4">
        <v>35</v>
      </c>
      <c r="E154" s="4">
        <v>39</v>
      </c>
      <c r="F154" s="4">
        <v>33</v>
      </c>
      <c r="G154" s="4">
        <v>46</v>
      </c>
      <c r="H154" s="4">
        <v>61</v>
      </c>
      <c r="I154" s="4">
        <v>54</v>
      </c>
      <c r="J154" s="4">
        <v>26</v>
      </c>
      <c r="K154" s="4">
        <v>24</v>
      </c>
      <c r="L154" s="4">
        <v>40</v>
      </c>
      <c r="M154" s="4">
        <v>29</v>
      </c>
      <c r="N154" s="4">
        <v>8</v>
      </c>
      <c r="O154" s="5">
        <f>SUM(Tabela32[[#This Row],[jan/23]:[dez/23]])</f>
        <v>425</v>
      </c>
    </row>
    <row r="155" spans="1:15" x14ac:dyDescent="0.25">
      <c r="A155" s="4" t="s">
        <v>311</v>
      </c>
      <c r="B155" s="4" t="s">
        <v>599</v>
      </c>
      <c r="C155" s="4">
        <v>205</v>
      </c>
      <c r="D155" s="4">
        <v>50</v>
      </c>
      <c r="E155" s="4">
        <v>51</v>
      </c>
      <c r="F155" s="4">
        <v>15</v>
      </c>
      <c r="G155" s="4">
        <v>14</v>
      </c>
      <c r="H155" s="4">
        <v>10</v>
      </c>
      <c r="I155" s="4">
        <v>11</v>
      </c>
      <c r="J155" s="4">
        <v>10</v>
      </c>
      <c r="K155" s="4">
        <v>8</v>
      </c>
      <c r="L155" s="4">
        <v>9</v>
      </c>
      <c r="M155" s="4">
        <v>5</v>
      </c>
      <c r="N155" s="4">
        <v>3</v>
      </c>
      <c r="O155" s="5">
        <f>SUM(Tabela32[[#This Row],[jan/23]:[dez/23]])</f>
        <v>391</v>
      </c>
    </row>
    <row r="156" spans="1:15" x14ac:dyDescent="0.25">
      <c r="A156" s="4" t="s">
        <v>309</v>
      </c>
      <c r="B156" s="4" t="s">
        <v>144</v>
      </c>
      <c r="C156" s="4">
        <v>20</v>
      </c>
      <c r="D156" s="4">
        <v>24</v>
      </c>
      <c r="E156" s="4">
        <v>34</v>
      </c>
      <c r="F156" s="4">
        <v>35</v>
      </c>
      <c r="G156" s="4">
        <v>12</v>
      </c>
      <c r="H156" s="4">
        <v>7</v>
      </c>
      <c r="I156" s="4">
        <v>11</v>
      </c>
      <c r="J156" s="4">
        <v>66</v>
      </c>
      <c r="K156" s="4">
        <v>39</v>
      </c>
      <c r="L156" s="4">
        <v>56</v>
      </c>
      <c r="M156" s="4">
        <v>27</v>
      </c>
      <c r="N156" s="4">
        <v>35</v>
      </c>
      <c r="O156" s="5">
        <f>SUM(Tabela32[[#This Row],[jan/23]:[dez/23]])</f>
        <v>366</v>
      </c>
    </row>
    <row r="157" spans="1:15" x14ac:dyDescent="0.25">
      <c r="A157" s="4" t="s">
        <v>313</v>
      </c>
      <c r="B157" s="4" t="s">
        <v>565</v>
      </c>
      <c r="C157" s="4">
        <v>45</v>
      </c>
      <c r="D157" s="4">
        <v>34</v>
      </c>
      <c r="E157" s="4">
        <v>55</v>
      </c>
      <c r="F157" s="4">
        <v>51</v>
      </c>
      <c r="G157" s="4">
        <v>58</v>
      </c>
      <c r="H157" s="4">
        <v>32</v>
      </c>
      <c r="I157" s="4">
        <v>23</v>
      </c>
      <c r="J157" s="4">
        <v>18</v>
      </c>
      <c r="K157" s="4">
        <v>8</v>
      </c>
      <c r="L157" s="4">
        <v>8</v>
      </c>
      <c r="M157" s="4">
        <v>5</v>
      </c>
      <c r="N157" s="4">
        <v>1</v>
      </c>
      <c r="O157" s="5">
        <f>SUM(Tabela32[[#This Row],[jan/23]:[dez/23]])</f>
        <v>338</v>
      </c>
    </row>
    <row r="158" spans="1:15" x14ac:dyDescent="0.25">
      <c r="A158" s="4" t="s">
        <v>317</v>
      </c>
      <c r="B158" s="4" t="s">
        <v>666</v>
      </c>
      <c r="C158" s="4">
        <v>29</v>
      </c>
      <c r="D158" s="4">
        <v>35</v>
      </c>
      <c r="E158" s="4">
        <v>22</v>
      </c>
      <c r="F158" s="4">
        <v>41</v>
      </c>
      <c r="G158" s="4">
        <v>27</v>
      </c>
      <c r="H158" s="4">
        <v>35</v>
      </c>
      <c r="I158" s="4">
        <v>27</v>
      </c>
      <c r="J158" s="4">
        <v>21</v>
      </c>
      <c r="K158" s="4">
        <v>23</v>
      </c>
      <c r="L158" s="4">
        <v>27</v>
      </c>
      <c r="M158" s="4">
        <v>14</v>
      </c>
      <c r="N158" s="4">
        <v>23</v>
      </c>
      <c r="O158" s="5">
        <f>SUM(Tabela32[[#This Row],[jan/23]:[dez/23]])</f>
        <v>324</v>
      </c>
    </row>
    <row r="159" spans="1:15" x14ac:dyDescent="0.25">
      <c r="A159" s="4" t="s">
        <v>315</v>
      </c>
      <c r="B159" s="4" t="s">
        <v>662</v>
      </c>
      <c r="C159" s="4"/>
      <c r="D159" s="4">
        <v>42</v>
      </c>
      <c r="E159" s="4"/>
      <c r="F159" s="4"/>
      <c r="G159" s="4">
        <v>64</v>
      </c>
      <c r="H159" s="4">
        <v>41</v>
      </c>
      <c r="I159" s="4">
        <v>41</v>
      </c>
      <c r="J159" s="4"/>
      <c r="K159" s="4"/>
      <c r="L159" s="4">
        <v>50</v>
      </c>
      <c r="M159" s="4">
        <v>36</v>
      </c>
      <c r="N159" s="4">
        <v>33</v>
      </c>
      <c r="O159" s="5">
        <f>SUM(Tabela32[[#This Row],[jan/23]:[dez/23]])</f>
        <v>307</v>
      </c>
    </row>
    <row r="160" spans="1:15" x14ac:dyDescent="0.25">
      <c r="A160" s="4" t="s">
        <v>319</v>
      </c>
      <c r="B160" s="4" t="s">
        <v>332</v>
      </c>
      <c r="C160" s="4">
        <v>26</v>
      </c>
      <c r="D160" s="4">
        <v>19</v>
      </c>
      <c r="E160" s="4">
        <v>27</v>
      </c>
      <c r="F160" s="4">
        <v>29</v>
      </c>
      <c r="G160" s="4">
        <v>34</v>
      </c>
      <c r="H160" s="4">
        <v>41</v>
      </c>
      <c r="I160" s="4">
        <v>17</v>
      </c>
      <c r="J160" s="4">
        <v>26</v>
      </c>
      <c r="K160" s="4">
        <v>17</v>
      </c>
      <c r="L160" s="4">
        <v>20</v>
      </c>
      <c r="M160" s="4">
        <v>19</v>
      </c>
      <c r="N160" s="4">
        <v>19</v>
      </c>
      <c r="O160" s="5">
        <f>SUM(Tabela32[[#This Row],[jan/23]:[dez/23]])</f>
        <v>294</v>
      </c>
    </row>
    <row r="161" spans="1:15" x14ac:dyDescent="0.25">
      <c r="A161" s="4" t="s">
        <v>321</v>
      </c>
      <c r="B161" s="4" t="s">
        <v>326</v>
      </c>
      <c r="C161" s="4">
        <v>14</v>
      </c>
      <c r="D161" s="4">
        <v>6</v>
      </c>
      <c r="E161" s="4">
        <v>12</v>
      </c>
      <c r="F161" s="4">
        <v>10</v>
      </c>
      <c r="G161" s="4">
        <v>38</v>
      </c>
      <c r="H161" s="4">
        <v>65</v>
      </c>
      <c r="I161" s="4">
        <v>49</v>
      </c>
      <c r="J161" s="4">
        <v>24</v>
      </c>
      <c r="K161" s="4"/>
      <c r="L161" s="4">
        <v>2</v>
      </c>
      <c r="M161" s="4">
        <v>42</v>
      </c>
      <c r="N161" s="4">
        <v>31</v>
      </c>
      <c r="O161" s="5">
        <f>SUM(Tabela32[[#This Row],[jan/23]:[dez/23]])</f>
        <v>293</v>
      </c>
    </row>
    <row r="162" spans="1:15" x14ac:dyDescent="0.25">
      <c r="A162" s="4" t="s">
        <v>323</v>
      </c>
      <c r="B162" s="4" t="s">
        <v>386</v>
      </c>
      <c r="C162" s="4">
        <v>47</v>
      </c>
      <c r="D162" s="4">
        <v>36</v>
      </c>
      <c r="E162" s="4">
        <v>16</v>
      </c>
      <c r="F162" s="4">
        <v>18</v>
      </c>
      <c r="G162" s="4">
        <v>28</v>
      </c>
      <c r="H162" s="4">
        <v>37</v>
      </c>
      <c r="I162" s="4">
        <v>18</v>
      </c>
      <c r="J162" s="4">
        <v>11</v>
      </c>
      <c r="K162" s="4">
        <v>19</v>
      </c>
      <c r="L162" s="4">
        <v>30</v>
      </c>
      <c r="M162" s="4">
        <v>10</v>
      </c>
      <c r="N162" s="4">
        <v>17</v>
      </c>
      <c r="O162" s="5">
        <f>SUM(Tabela32[[#This Row],[jan/23]:[dez/23]])</f>
        <v>287</v>
      </c>
    </row>
    <row r="163" spans="1:15" x14ac:dyDescent="0.25">
      <c r="A163" s="4" t="s">
        <v>325</v>
      </c>
      <c r="B163" s="4" t="s">
        <v>697</v>
      </c>
      <c r="C163" s="4">
        <v>48</v>
      </c>
      <c r="D163" s="4">
        <v>32</v>
      </c>
      <c r="E163" s="4">
        <v>40</v>
      </c>
      <c r="F163" s="4">
        <v>52</v>
      </c>
      <c r="G163" s="4">
        <v>33</v>
      </c>
      <c r="H163" s="4">
        <v>19</v>
      </c>
      <c r="I163" s="4">
        <v>10</v>
      </c>
      <c r="J163" s="4">
        <v>8</v>
      </c>
      <c r="K163" s="4">
        <v>10</v>
      </c>
      <c r="L163" s="4">
        <v>14</v>
      </c>
      <c r="M163" s="4">
        <v>7</v>
      </c>
      <c r="N163" s="4">
        <v>11</v>
      </c>
      <c r="O163" s="5">
        <f>SUM(Tabela32[[#This Row],[jan/23]:[dez/23]])</f>
        <v>284</v>
      </c>
    </row>
    <row r="164" spans="1:15" x14ac:dyDescent="0.25">
      <c r="A164" s="4" t="s">
        <v>329</v>
      </c>
      <c r="B164" s="4" t="s">
        <v>675</v>
      </c>
      <c r="C164" s="4">
        <v>31</v>
      </c>
      <c r="D164" s="4">
        <v>21</v>
      </c>
      <c r="E164" s="4">
        <v>33</v>
      </c>
      <c r="F164" s="4">
        <v>42</v>
      </c>
      <c r="G164" s="4">
        <v>61</v>
      </c>
      <c r="H164" s="4">
        <v>32</v>
      </c>
      <c r="I164" s="4">
        <v>34</v>
      </c>
      <c r="J164" s="4">
        <v>12</v>
      </c>
      <c r="K164" s="4">
        <v>5</v>
      </c>
      <c r="L164" s="4">
        <v>7</v>
      </c>
      <c r="M164" s="4">
        <v>2</v>
      </c>
      <c r="N164" s="4">
        <v>4</v>
      </c>
      <c r="O164" s="5">
        <f>SUM(Tabela32[[#This Row],[jan/23]:[dez/23]])</f>
        <v>284</v>
      </c>
    </row>
    <row r="165" spans="1:15" x14ac:dyDescent="0.25">
      <c r="A165" s="4" t="s">
        <v>327</v>
      </c>
      <c r="B165" s="4" t="s">
        <v>606</v>
      </c>
      <c r="C165" s="4"/>
      <c r="D165" s="4"/>
      <c r="E165" s="4"/>
      <c r="F165" s="4"/>
      <c r="G165" s="4"/>
      <c r="H165" s="4"/>
      <c r="I165" s="4">
        <v>80</v>
      </c>
      <c r="J165" s="4">
        <v>55</v>
      </c>
      <c r="K165" s="4">
        <v>21</v>
      </c>
      <c r="L165" s="4">
        <v>33</v>
      </c>
      <c r="M165" s="4">
        <v>50</v>
      </c>
      <c r="N165" s="4">
        <v>43</v>
      </c>
      <c r="O165" s="5">
        <f>SUM(Tabela32[[#This Row],[jan/23]:[dez/23]])</f>
        <v>282</v>
      </c>
    </row>
    <row r="166" spans="1:15" x14ac:dyDescent="0.25">
      <c r="A166" s="4" t="s">
        <v>331</v>
      </c>
      <c r="B166" s="4" t="s">
        <v>700</v>
      </c>
      <c r="C166" s="4">
        <v>60</v>
      </c>
      <c r="D166" s="4"/>
      <c r="E166" s="4">
        <v>36</v>
      </c>
      <c r="F166" s="4">
        <v>43</v>
      </c>
      <c r="G166" s="4">
        <v>27</v>
      </c>
      <c r="H166" s="4">
        <v>37</v>
      </c>
      <c r="I166" s="4">
        <v>20</v>
      </c>
      <c r="J166" s="4"/>
      <c r="K166" s="4">
        <v>5</v>
      </c>
      <c r="L166" s="4">
        <v>26</v>
      </c>
      <c r="M166" s="4">
        <v>7</v>
      </c>
      <c r="N166" s="4">
        <v>8</v>
      </c>
      <c r="O166" s="5">
        <f>SUM(Tabela32[[#This Row],[jan/23]:[dez/23]])</f>
        <v>269</v>
      </c>
    </row>
    <row r="167" spans="1:15" x14ac:dyDescent="0.25">
      <c r="A167" s="4" t="s">
        <v>335</v>
      </c>
      <c r="B167" s="4" t="s">
        <v>663</v>
      </c>
      <c r="C167" s="4">
        <v>15</v>
      </c>
      <c r="D167" s="4">
        <v>26</v>
      </c>
      <c r="E167" s="4">
        <v>28</v>
      </c>
      <c r="F167" s="4">
        <v>21</v>
      </c>
      <c r="G167" s="4">
        <v>29</v>
      </c>
      <c r="H167" s="4">
        <v>29</v>
      </c>
      <c r="I167" s="4">
        <v>11</v>
      </c>
      <c r="J167" s="4">
        <v>26</v>
      </c>
      <c r="K167" s="4">
        <v>24</v>
      </c>
      <c r="L167" s="4">
        <v>23</v>
      </c>
      <c r="M167" s="4">
        <v>11</v>
      </c>
      <c r="N167" s="4">
        <v>19</v>
      </c>
      <c r="O167" s="5">
        <f>SUM(Tabela32[[#This Row],[jan/23]:[dez/23]])</f>
        <v>262</v>
      </c>
    </row>
    <row r="168" spans="1:15" x14ac:dyDescent="0.25">
      <c r="A168" s="4" t="s">
        <v>333</v>
      </c>
      <c r="B168" s="4" t="s">
        <v>573</v>
      </c>
      <c r="C168" s="4">
        <v>33</v>
      </c>
      <c r="D168" s="4">
        <v>25</v>
      </c>
      <c r="E168" s="4">
        <v>24</v>
      </c>
      <c r="F168" s="4">
        <v>11</v>
      </c>
      <c r="G168" s="4">
        <v>16</v>
      </c>
      <c r="H168" s="4">
        <v>36</v>
      </c>
      <c r="I168" s="4">
        <v>20</v>
      </c>
      <c r="J168" s="4">
        <v>20</v>
      </c>
      <c r="K168" s="4">
        <v>15</v>
      </c>
      <c r="L168" s="4">
        <v>14</v>
      </c>
      <c r="M168" s="4">
        <v>14</v>
      </c>
      <c r="N168" s="4">
        <v>15</v>
      </c>
      <c r="O168" s="5">
        <f>SUM(Tabela32[[#This Row],[jan/23]:[dez/23]])</f>
        <v>243</v>
      </c>
    </row>
    <row r="169" spans="1:15" x14ac:dyDescent="0.25">
      <c r="A169" s="4" t="s">
        <v>337</v>
      </c>
      <c r="B169" s="4" t="s">
        <v>545</v>
      </c>
      <c r="C169" s="4">
        <v>25</v>
      </c>
      <c r="D169" s="4">
        <v>20</v>
      </c>
      <c r="E169" s="4">
        <v>24</v>
      </c>
      <c r="F169" s="4">
        <v>20</v>
      </c>
      <c r="G169" s="4">
        <v>18</v>
      </c>
      <c r="H169" s="4">
        <v>23</v>
      </c>
      <c r="I169" s="4">
        <v>19</v>
      </c>
      <c r="J169" s="4">
        <v>26</v>
      </c>
      <c r="K169" s="4">
        <v>17</v>
      </c>
      <c r="L169" s="4">
        <v>17</v>
      </c>
      <c r="M169" s="4">
        <v>13</v>
      </c>
      <c r="N169" s="4">
        <v>11</v>
      </c>
      <c r="O169" s="5">
        <f>SUM(Tabela32[[#This Row],[jan/23]:[dez/23]])</f>
        <v>233</v>
      </c>
    </row>
    <row r="170" spans="1:15" x14ac:dyDescent="0.25">
      <c r="A170" s="4" t="s">
        <v>341</v>
      </c>
      <c r="B170" s="4" t="s">
        <v>346</v>
      </c>
      <c r="C170" s="4">
        <v>7</v>
      </c>
      <c r="D170" s="4">
        <v>8</v>
      </c>
      <c r="E170" s="4">
        <v>9</v>
      </c>
      <c r="F170" s="4">
        <v>14</v>
      </c>
      <c r="G170" s="4">
        <v>58</v>
      </c>
      <c r="H170" s="4">
        <v>49</v>
      </c>
      <c r="I170" s="4">
        <v>4</v>
      </c>
      <c r="J170" s="4">
        <v>6</v>
      </c>
      <c r="K170" s="4">
        <v>7</v>
      </c>
      <c r="L170" s="4">
        <v>10</v>
      </c>
      <c r="M170" s="4">
        <v>6</v>
      </c>
      <c r="N170" s="4">
        <v>54</v>
      </c>
      <c r="O170" s="5">
        <f>SUM(Tabela32[[#This Row],[jan/23]:[dez/23]])</f>
        <v>232</v>
      </c>
    </row>
    <row r="171" spans="1:15" x14ac:dyDescent="0.25">
      <c r="A171" s="4" t="s">
        <v>339</v>
      </c>
      <c r="B171" s="4" t="s">
        <v>358</v>
      </c>
      <c r="C171" s="4">
        <v>6</v>
      </c>
      <c r="D171" s="4">
        <v>5</v>
      </c>
      <c r="E171" s="4">
        <v>3</v>
      </c>
      <c r="F171" s="4">
        <v>51</v>
      </c>
      <c r="G171" s="4">
        <v>23</v>
      </c>
      <c r="H171" s="4">
        <v>15</v>
      </c>
      <c r="I171" s="4">
        <v>21</v>
      </c>
      <c r="J171" s="4">
        <v>28</v>
      </c>
      <c r="K171" s="4">
        <v>19</v>
      </c>
      <c r="L171" s="4">
        <v>32</v>
      </c>
      <c r="M171" s="4">
        <v>19</v>
      </c>
      <c r="N171" s="4">
        <v>9</v>
      </c>
      <c r="O171" s="5">
        <f>SUM(Tabela32[[#This Row],[jan/23]:[dez/23]])</f>
        <v>231</v>
      </c>
    </row>
    <row r="172" spans="1:15" x14ac:dyDescent="0.25">
      <c r="A172" s="4" t="s">
        <v>343</v>
      </c>
      <c r="B172" s="4" t="s">
        <v>568</v>
      </c>
      <c r="C172" s="4"/>
      <c r="D172" s="4"/>
      <c r="E172" s="4"/>
      <c r="F172" s="4"/>
      <c r="G172" s="4">
        <v>15</v>
      </c>
      <c r="H172" s="4">
        <v>2</v>
      </c>
      <c r="I172" s="4">
        <v>38</v>
      </c>
      <c r="J172" s="4">
        <v>44</v>
      </c>
      <c r="K172" s="4">
        <v>29</v>
      </c>
      <c r="L172" s="4">
        <v>23</v>
      </c>
      <c r="M172" s="4">
        <v>34</v>
      </c>
      <c r="N172" s="4">
        <v>41</v>
      </c>
      <c r="O172" s="5">
        <f>SUM(Tabela32[[#This Row],[jan/23]:[dez/23]])</f>
        <v>226</v>
      </c>
    </row>
    <row r="173" spans="1:15" x14ac:dyDescent="0.25">
      <c r="A173" s="4" t="s">
        <v>345</v>
      </c>
      <c r="B173" s="4" t="s">
        <v>218</v>
      </c>
      <c r="C173" s="4">
        <v>19</v>
      </c>
      <c r="D173" s="4">
        <v>18</v>
      </c>
      <c r="E173" s="4">
        <v>23</v>
      </c>
      <c r="F173" s="4">
        <v>15</v>
      </c>
      <c r="G173" s="4">
        <v>15</v>
      </c>
      <c r="H173" s="4">
        <v>19</v>
      </c>
      <c r="I173" s="4">
        <v>18</v>
      </c>
      <c r="J173" s="4">
        <v>29</v>
      </c>
      <c r="K173" s="4">
        <v>13</v>
      </c>
      <c r="L173" s="4">
        <v>19</v>
      </c>
      <c r="M173" s="4">
        <v>16</v>
      </c>
      <c r="N173" s="4">
        <v>19</v>
      </c>
      <c r="O173" s="5">
        <f>SUM(Tabela32[[#This Row],[jan/23]:[dez/23]])</f>
        <v>223</v>
      </c>
    </row>
    <row r="174" spans="1:15" x14ac:dyDescent="0.25">
      <c r="A174" s="4" t="s">
        <v>347</v>
      </c>
      <c r="B174" s="4" t="s">
        <v>204</v>
      </c>
      <c r="C174" s="4">
        <v>14</v>
      </c>
      <c r="D174" s="4">
        <v>19</v>
      </c>
      <c r="E174" s="4">
        <v>17</v>
      </c>
      <c r="F174" s="4">
        <v>8</v>
      </c>
      <c r="G174" s="4">
        <v>17</v>
      </c>
      <c r="H174" s="4">
        <v>20</v>
      </c>
      <c r="I174" s="4">
        <v>12</v>
      </c>
      <c r="J174" s="4">
        <v>9</v>
      </c>
      <c r="K174" s="4">
        <v>34</v>
      </c>
      <c r="L174" s="4">
        <v>22</v>
      </c>
      <c r="M174" s="4">
        <v>23</v>
      </c>
      <c r="N174" s="4">
        <v>15</v>
      </c>
      <c r="O174" s="5">
        <f>SUM(Tabela32[[#This Row],[jan/23]:[dez/23]])</f>
        <v>210</v>
      </c>
    </row>
    <row r="175" spans="1:15" x14ac:dyDescent="0.25">
      <c r="A175" s="4" t="s">
        <v>353</v>
      </c>
      <c r="B175" s="4" t="s">
        <v>669</v>
      </c>
      <c r="C175" s="4">
        <v>12</v>
      </c>
      <c r="D175" s="4">
        <v>10</v>
      </c>
      <c r="E175" s="4">
        <v>14</v>
      </c>
      <c r="F175" s="4">
        <v>24</v>
      </c>
      <c r="G175" s="4">
        <v>20</v>
      </c>
      <c r="H175" s="4">
        <v>21</v>
      </c>
      <c r="I175" s="4">
        <v>12</v>
      </c>
      <c r="J175" s="4">
        <v>19</v>
      </c>
      <c r="K175" s="4">
        <v>24</v>
      </c>
      <c r="L175" s="4">
        <v>20</v>
      </c>
      <c r="M175" s="4">
        <v>23</v>
      </c>
      <c r="N175" s="4">
        <v>10</v>
      </c>
      <c r="O175" s="5">
        <f>SUM(Tabela32[[#This Row],[jan/23]:[dez/23]])</f>
        <v>209</v>
      </c>
    </row>
    <row r="176" spans="1:15" x14ac:dyDescent="0.25">
      <c r="A176" s="4" t="s">
        <v>351</v>
      </c>
      <c r="B176" s="4" t="s">
        <v>240</v>
      </c>
      <c r="C176" s="4">
        <v>48</v>
      </c>
      <c r="D176" s="4"/>
      <c r="E176" s="4">
        <v>28</v>
      </c>
      <c r="F176" s="4">
        <v>45</v>
      </c>
      <c r="G176" s="4"/>
      <c r="H176" s="4"/>
      <c r="I176" s="4"/>
      <c r="J176" s="4">
        <v>37</v>
      </c>
      <c r="K176" s="4">
        <v>35</v>
      </c>
      <c r="L176" s="4"/>
      <c r="M176" s="4"/>
      <c r="N176" s="4"/>
      <c r="O176" s="5">
        <f>SUM(Tabela32[[#This Row],[jan/23]:[dez/23]])</f>
        <v>193</v>
      </c>
    </row>
    <row r="177" spans="1:15" x14ac:dyDescent="0.25">
      <c r="A177" s="4" t="s">
        <v>349</v>
      </c>
      <c r="B177" s="4" t="s">
        <v>262</v>
      </c>
      <c r="C177" s="4">
        <v>17</v>
      </c>
      <c r="D177" s="4">
        <v>10</v>
      </c>
      <c r="E177" s="4">
        <v>14</v>
      </c>
      <c r="F177" s="4">
        <v>21</v>
      </c>
      <c r="G177" s="4">
        <v>10</v>
      </c>
      <c r="H177" s="4">
        <v>12</v>
      </c>
      <c r="I177" s="4">
        <v>9</v>
      </c>
      <c r="J177" s="4">
        <v>3</v>
      </c>
      <c r="K177" s="4">
        <v>10</v>
      </c>
      <c r="L177" s="4">
        <v>35</v>
      </c>
      <c r="M177" s="4">
        <v>22</v>
      </c>
      <c r="N177" s="4">
        <v>28</v>
      </c>
      <c r="O177" s="5">
        <f>SUM(Tabela32[[#This Row],[jan/23]:[dez/23]])</f>
        <v>191</v>
      </c>
    </row>
    <row r="178" spans="1:15" x14ac:dyDescent="0.25">
      <c r="A178" s="4" t="s">
        <v>355</v>
      </c>
      <c r="B178" s="4" t="s">
        <v>268</v>
      </c>
      <c r="C178" s="4">
        <v>14</v>
      </c>
      <c r="D178" s="4">
        <v>11</v>
      </c>
      <c r="E178" s="4">
        <v>22</v>
      </c>
      <c r="F178" s="4">
        <v>16</v>
      </c>
      <c r="G178" s="4">
        <v>8</v>
      </c>
      <c r="H178" s="4">
        <v>20</v>
      </c>
      <c r="I178" s="4">
        <v>13</v>
      </c>
      <c r="J178" s="4">
        <v>21</v>
      </c>
      <c r="K178" s="4">
        <v>17</v>
      </c>
      <c r="L178" s="4">
        <v>24</v>
      </c>
      <c r="M178" s="4">
        <v>11</v>
      </c>
      <c r="N178" s="4">
        <v>13</v>
      </c>
      <c r="O178" s="5">
        <f>SUM(Tabela32[[#This Row],[jan/23]:[dez/23]])</f>
        <v>190</v>
      </c>
    </row>
    <row r="179" spans="1:15" x14ac:dyDescent="0.25">
      <c r="A179" s="4" t="s">
        <v>357</v>
      </c>
      <c r="B179" s="4" t="s">
        <v>665</v>
      </c>
      <c r="C179" s="4">
        <v>19</v>
      </c>
      <c r="D179" s="4">
        <v>14</v>
      </c>
      <c r="E179" s="4">
        <v>26</v>
      </c>
      <c r="F179" s="4">
        <v>15</v>
      </c>
      <c r="G179" s="4">
        <v>20</v>
      </c>
      <c r="H179" s="4">
        <v>26</v>
      </c>
      <c r="I179" s="4">
        <v>16</v>
      </c>
      <c r="J179" s="4">
        <v>9</v>
      </c>
      <c r="K179" s="4">
        <v>12</v>
      </c>
      <c r="L179" s="4">
        <v>13</v>
      </c>
      <c r="M179" s="4">
        <v>4</v>
      </c>
      <c r="N179" s="4">
        <v>2</v>
      </c>
      <c r="O179" s="5">
        <f>SUM(Tabela32[[#This Row],[jan/23]:[dez/23]])</f>
        <v>176</v>
      </c>
    </row>
    <row r="180" spans="1:15" x14ac:dyDescent="0.25">
      <c r="A180" s="4" t="s">
        <v>361</v>
      </c>
      <c r="B180" s="4" t="s">
        <v>286</v>
      </c>
      <c r="C180" s="4">
        <v>10</v>
      </c>
      <c r="D180" s="4">
        <v>7</v>
      </c>
      <c r="E180" s="4">
        <v>14</v>
      </c>
      <c r="F180" s="4">
        <v>9</v>
      </c>
      <c r="G180" s="4">
        <v>9</v>
      </c>
      <c r="H180" s="4">
        <v>15</v>
      </c>
      <c r="I180" s="4">
        <v>15</v>
      </c>
      <c r="J180" s="4">
        <v>8</v>
      </c>
      <c r="K180" s="4">
        <v>19</v>
      </c>
      <c r="L180" s="4">
        <v>22</v>
      </c>
      <c r="M180" s="4">
        <v>20</v>
      </c>
      <c r="N180" s="4">
        <v>18</v>
      </c>
      <c r="O180" s="5">
        <f>SUM(Tabela32[[#This Row],[jan/23]:[dez/23]])</f>
        <v>166</v>
      </c>
    </row>
    <row r="181" spans="1:15" x14ac:dyDescent="0.25">
      <c r="A181" s="4" t="s">
        <v>359</v>
      </c>
      <c r="B181" s="4" t="s">
        <v>468</v>
      </c>
      <c r="C181" s="4">
        <v>4</v>
      </c>
      <c r="D181" s="4">
        <v>10</v>
      </c>
      <c r="E181" s="4">
        <v>13</v>
      </c>
      <c r="F181" s="4">
        <v>19</v>
      </c>
      <c r="G181" s="4">
        <v>24</v>
      </c>
      <c r="H181" s="4">
        <v>15</v>
      </c>
      <c r="I181" s="4">
        <v>19</v>
      </c>
      <c r="J181" s="4">
        <v>8</v>
      </c>
      <c r="K181" s="4">
        <v>9</v>
      </c>
      <c r="L181" s="4">
        <v>16</v>
      </c>
      <c r="M181" s="4">
        <v>17</v>
      </c>
      <c r="N181" s="4">
        <v>6</v>
      </c>
      <c r="O181" s="5">
        <f>SUM(Tabela32[[#This Row],[jan/23]:[dez/23]])</f>
        <v>160</v>
      </c>
    </row>
    <row r="182" spans="1:15" x14ac:dyDescent="0.25">
      <c r="A182" s="4" t="s">
        <v>365</v>
      </c>
      <c r="B182" s="4" t="s">
        <v>428</v>
      </c>
      <c r="C182" s="4"/>
      <c r="D182" s="4"/>
      <c r="E182" s="4"/>
      <c r="F182" s="4"/>
      <c r="G182" s="4">
        <v>15</v>
      </c>
      <c r="H182" s="4">
        <v>40</v>
      </c>
      <c r="I182" s="4">
        <v>20</v>
      </c>
      <c r="J182" s="4">
        <v>10</v>
      </c>
      <c r="K182" s="4">
        <v>15</v>
      </c>
      <c r="L182" s="4">
        <v>20</v>
      </c>
      <c r="M182" s="4">
        <v>10</v>
      </c>
      <c r="N182" s="4">
        <v>11</v>
      </c>
      <c r="O182" s="5">
        <f>SUM(Tabela32[[#This Row],[jan/23]:[dez/23]])</f>
        <v>141</v>
      </c>
    </row>
    <row r="183" spans="1:15" x14ac:dyDescent="0.25">
      <c r="A183" s="4" t="s">
        <v>363</v>
      </c>
      <c r="B183" s="4" t="s">
        <v>583</v>
      </c>
      <c r="C183" s="4">
        <v>9</v>
      </c>
      <c r="D183" s="4">
        <v>10</v>
      </c>
      <c r="E183" s="4">
        <v>4</v>
      </c>
      <c r="F183" s="4">
        <v>10</v>
      </c>
      <c r="G183" s="4">
        <v>16</v>
      </c>
      <c r="H183" s="4">
        <v>11</v>
      </c>
      <c r="I183" s="4">
        <v>13</v>
      </c>
      <c r="J183" s="4">
        <v>14</v>
      </c>
      <c r="K183" s="4">
        <v>14</v>
      </c>
      <c r="L183" s="4">
        <v>17</v>
      </c>
      <c r="M183" s="4">
        <v>6</v>
      </c>
      <c r="N183" s="4">
        <v>13</v>
      </c>
      <c r="O183" s="5">
        <f>SUM(Tabela32[[#This Row],[jan/23]:[dez/23]])</f>
        <v>137</v>
      </c>
    </row>
    <row r="184" spans="1:15" x14ac:dyDescent="0.25">
      <c r="A184" s="4" t="s">
        <v>369</v>
      </c>
      <c r="B184" s="4" t="s">
        <v>703</v>
      </c>
      <c r="C184" s="4">
        <v>6</v>
      </c>
      <c r="D184" s="4">
        <v>30</v>
      </c>
      <c r="E184" s="4">
        <v>24</v>
      </c>
      <c r="F184" s="4">
        <v>20</v>
      </c>
      <c r="G184" s="4">
        <v>24</v>
      </c>
      <c r="H184" s="4">
        <v>3</v>
      </c>
      <c r="I184" s="4">
        <v>6</v>
      </c>
      <c r="J184" s="4">
        <v>5</v>
      </c>
      <c r="K184" s="4">
        <v>3</v>
      </c>
      <c r="L184" s="4"/>
      <c r="M184" s="4">
        <v>10</v>
      </c>
      <c r="N184" s="4">
        <v>5</v>
      </c>
      <c r="O184" s="5">
        <f>SUM(Tabela32[[#This Row],[jan/23]:[dez/23]])</f>
        <v>136</v>
      </c>
    </row>
    <row r="185" spans="1:15" x14ac:dyDescent="0.25">
      <c r="A185" s="4" t="s">
        <v>367</v>
      </c>
      <c r="B185" s="4" t="s">
        <v>612</v>
      </c>
      <c r="C185" s="4">
        <v>26</v>
      </c>
      <c r="D185" s="4">
        <v>16</v>
      </c>
      <c r="E185" s="4">
        <v>15</v>
      </c>
      <c r="F185" s="4">
        <v>10</v>
      </c>
      <c r="G185" s="4">
        <v>12</v>
      </c>
      <c r="H185" s="4">
        <v>9</v>
      </c>
      <c r="I185" s="4">
        <v>16</v>
      </c>
      <c r="J185" s="4">
        <v>9</v>
      </c>
      <c r="K185" s="4">
        <v>6</v>
      </c>
      <c r="L185" s="4">
        <v>9</v>
      </c>
      <c r="M185" s="4">
        <v>4</v>
      </c>
      <c r="N185" s="4">
        <v>4</v>
      </c>
      <c r="O185" s="5">
        <f>SUM(Tabela32[[#This Row],[jan/23]:[dez/23]])</f>
        <v>136</v>
      </c>
    </row>
    <row r="186" spans="1:15" x14ac:dyDescent="0.25">
      <c r="A186" s="4" t="s">
        <v>371</v>
      </c>
      <c r="B186" s="4" t="s">
        <v>308</v>
      </c>
      <c r="C186" s="4">
        <v>6</v>
      </c>
      <c r="D186" s="4">
        <v>10</v>
      </c>
      <c r="E186" s="4">
        <v>24</v>
      </c>
      <c r="F186" s="4">
        <v>8</v>
      </c>
      <c r="G186" s="4">
        <v>8</v>
      </c>
      <c r="H186" s="4">
        <v>15</v>
      </c>
      <c r="I186" s="4">
        <v>11</v>
      </c>
      <c r="J186" s="4">
        <v>12</v>
      </c>
      <c r="K186" s="4">
        <v>11</v>
      </c>
      <c r="L186" s="4">
        <v>6</v>
      </c>
      <c r="M186" s="4">
        <v>10</v>
      </c>
      <c r="N186" s="4">
        <v>12</v>
      </c>
      <c r="O186" s="5">
        <f>SUM(Tabela32[[#This Row],[jan/23]:[dez/23]])</f>
        <v>133</v>
      </c>
    </row>
    <row r="187" spans="1:15" x14ac:dyDescent="0.25">
      <c r="A187" s="4" t="s">
        <v>373</v>
      </c>
      <c r="B187" s="4" t="s">
        <v>692</v>
      </c>
      <c r="C187" s="4">
        <v>12</v>
      </c>
      <c r="D187" s="4">
        <v>10</v>
      </c>
      <c r="E187" s="4">
        <v>26</v>
      </c>
      <c r="F187" s="4">
        <v>19</v>
      </c>
      <c r="G187" s="4">
        <v>8</v>
      </c>
      <c r="H187" s="4">
        <v>9</v>
      </c>
      <c r="I187" s="4">
        <v>11</v>
      </c>
      <c r="J187" s="4">
        <v>27</v>
      </c>
      <c r="K187" s="4">
        <v>6</v>
      </c>
      <c r="L187" s="4">
        <v>3</v>
      </c>
      <c r="M187" s="4"/>
      <c r="N187" s="4">
        <v>1</v>
      </c>
      <c r="O187" s="5">
        <f>SUM(Tabela32[[#This Row],[jan/23]:[dez/23]])</f>
        <v>132</v>
      </c>
    </row>
    <row r="188" spans="1:15" x14ac:dyDescent="0.25">
      <c r="A188" s="4" t="s">
        <v>375</v>
      </c>
      <c r="B188" s="4" t="s">
        <v>640</v>
      </c>
      <c r="C188" s="4">
        <v>1</v>
      </c>
      <c r="D188" s="4"/>
      <c r="E188" s="4"/>
      <c r="F188" s="4">
        <v>32</v>
      </c>
      <c r="G188" s="4">
        <v>8</v>
      </c>
      <c r="H188" s="4">
        <v>1</v>
      </c>
      <c r="I188" s="4">
        <v>4</v>
      </c>
      <c r="J188" s="4">
        <v>20</v>
      </c>
      <c r="K188" s="4">
        <v>15</v>
      </c>
      <c r="L188" s="4">
        <v>15</v>
      </c>
      <c r="M188" s="4">
        <v>11</v>
      </c>
      <c r="N188" s="4">
        <v>19</v>
      </c>
      <c r="O188" s="5">
        <f>SUM(Tabela32[[#This Row],[jan/23]:[dez/23]])</f>
        <v>126</v>
      </c>
    </row>
    <row r="189" spans="1:15" x14ac:dyDescent="0.25">
      <c r="A189" s="4" t="s">
        <v>377</v>
      </c>
      <c r="B189" s="4" t="s">
        <v>742</v>
      </c>
      <c r="C189" s="4">
        <v>28</v>
      </c>
      <c r="D189" s="4">
        <v>12</v>
      </c>
      <c r="E189" s="4">
        <v>29</v>
      </c>
      <c r="F189" s="4">
        <v>18</v>
      </c>
      <c r="G189" s="4">
        <v>11</v>
      </c>
      <c r="H189" s="4">
        <v>14</v>
      </c>
      <c r="I189" s="4">
        <v>5</v>
      </c>
      <c r="J189" s="4">
        <v>1</v>
      </c>
      <c r="K189" s="4">
        <v>4</v>
      </c>
      <c r="L189" s="4">
        <v>1</v>
      </c>
      <c r="M189" s="4">
        <v>1</v>
      </c>
      <c r="N189" s="4"/>
      <c r="O189" s="5">
        <f>SUM(Tabela32[[#This Row],[jan/23]:[dez/23]])</f>
        <v>124</v>
      </c>
    </row>
    <row r="190" spans="1:15" x14ac:dyDescent="0.25">
      <c r="A190" s="4" t="s">
        <v>379</v>
      </c>
      <c r="B190" s="4" t="s">
        <v>698</v>
      </c>
      <c r="C190" s="4">
        <v>24</v>
      </c>
      <c r="D190" s="4">
        <v>6</v>
      </c>
      <c r="E190" s="4">
        <v>15</v>
      </c>
      <c r="F190" s="4">
        <v>17</v>
      </c>
      <c r="G190" s="4">
        <v>9</v>
      </c>
      <c r="H190" s="4">
        <v>7</v>
      </c>
      <c r="I190" s="4">
        <v>8</v>
      </c>
      <c r="J190" s="4">
        <v>4</v>
      </c>
      <c r="K190" s="4">
        <v>5</v>
      </c>
      <c r="L190" s="4">
        <v>9</v>
      </c>
      <c r="M190" s="4">
        <v>9</v>
      </c>
      <c r="N190" s="4">
        <v>6</v>
      </c>
      <c r="O190" s="5">
        <f>SUM(Tabela32[[#This Row],[jan/23]:[dez/23]])</f>
        <v>119</v>
      </c>
    </row>
    <row r="191" spans="1:15" x14ac:dyDescent="0.25">
      <c r="A191" s="4" t="s">
        <v>383</v>
      </c>
      <c r="B191" s="4" t="s">
        <v>450</v>
      </c>
      <c r="C191" s="4">
        <v>14</v>
      </c>
      <c r="D191" s="4">
        <v>10</v>
      </c>
      <c r="E191" s="4">
        <v>7</v>
      </c>
      <c r="F191" s="4">
        <v>12</v>
      </c>
      <c r="G191" s="4">
        <v>13</v>
      </c>
      <c r="H191" s="4">
        <v>9</v>
      </c>
      <c r="I191" s="4">
        <v>4</v>
      </c>
      <c r="J191" s="4">
        <v>5</v>
      </c>
      <c r="K191" s="4">
        <v>4</v>
      </c>
      <c r="L191" s="4">
        <v>1</v>
      </c>
      <c r="M191" s="4">
        <v>17</v>
      </c>
      <c r="N191" s="4">
        <v>22</v>
      </c>
      <c r="O191" s="5">
        <f>SUM(Tabela32[[#This Row],[jan/23]:[dez/23]])</f>
        <v>118</v>
      </c>
    </row>
    <row r="192" spans="1:15" x14ac:dyDescent="0.25">
      <c r="A192" s="4" t="s">
        <v>381</v>
      </c>
      <c r="B192" s="4" t="s">
        <v>690</v>
      </c>
      <c r="C192" s="4">
        <v>13</v>
      </c>
      <c r="D192" s="4">
        <v>69</v>
      </c>
      <c r="E192" s="4">
        <v>28</v>
      </c>
      <c r="F192" s="4">
        <v>5</v>
      </c>
      <c r="G192" s="4"/>
      <c r="H192" s="4"/>
      <c r="I192" s="4"/>
      <c r="J192" s="4"/>
      <c r="K192" s="4"/>
      <c r="L192" s="4"/>
      <c r="M192" s="4"/>
      <c r="N192" s="4"/>
      <c r="O192" s="5">
        <f>SUM(Tabela32[[#This Row],[jan/23]:[dez/23]])</f>
        <v>115</v>
      </c>
    </row>
    <row r="193" spans="1:15" x14ac:dyDescent="0.25">
      <c r="A193" s="4" t="s">
        <v>385</v>
      </c>
      <c r="B193" s="4" t="s">
        <v>743</v>
      </c>
      <c r="C193" s="4">
        <v>13</v>
      </c>
      <c r="D193" s="4">
        <v>5</v>
      </c>
      <c r="E193" s="4">
        <v>11</v>
      </c>
      <c r="F193" s="4">
        <v>5</v>
      </c>
      <c r="G193" s="4">
        <v>45</v>
      </c>
      <c r="H193" s="4">
        <v>23</v>
      </c>
      <c r="I193" s="4">
        <v>2</v>
      </c>
      <c r="J193" s="4"/>
      <c r="K193" s="4"/>
      <c r="L193" s="4">
        <v>3</v>
      </c>
      <c r="M193" s="4"/>
      <c r="N193" s="4"/>
      <c r="O193" s="5">
        <f>SUM(Tabela32[[#This Row],[jan/23]:[dez/23]])</f>
        <v>107</v>
      </c>
    </row>
    <row r="194" spans="1:15" x14ac:dyDescent="0.25">
      <c r="A194" s="4" t="s">
        <v>389</v>
      </c>
      <c r="B194" s="4" t="s">
        <v>364</v>
      </c>
      <c r="C194" s="4"/>
      <c r="D194" s="4"/>
      <c r="E194" s="4"/>
      <c r="F194" s="4"/>
      <c r="G194" s="4"/>
      <c r="H194" s="4"/>
      <c r="I194" s="4">
        <v>1</v>
      </c>
      <c r="J194" s="4">
        <v>40</v>
      </c>
      <c r="K194" s="4">
        <v>28</v>
      </c>
      <c r="L194" s="4">
        <v>22</v>
      </c>
      <c r="M194" s="4">
        <v>9</v>
      </c>
      <c r="N194" s="4">
        <v>6</v>
      </c>
      <c r="O194" s="5">
        <f>SUM(Tabela32[[#This Row],[jan/23]:[dez/23]])</f>
        <v>106</v>
      </c>
    </row>
    <row r="195" spans="1:15" x14ac:dyDescent="0.25">
      <c r="A195" s="4" t="s">
        <v>387</v>
      </c>
      <c r="B195" s="4" t="s">
        <v>304</v>
      </c>
      <c r="C195" s="4">
        <v>10</v>
      </c>
      <c r="D195" s="4">
        <v>7</v>
      </c>
      <c r="E195" s="4">
        <v>10</v>
      </c>
      <c r="F195" s="4">
        <v>15</v>
      </c>
      <c r="G195" s="4">
        <v>6</v>
      </c>
      <c r="H195" s="4">
        <v>12</v>
      </c>
      <c r="I195" s="4">
        <v>11</v>
      </c>
      <c r="J195" s="4">
        <v>9</v>
      </c>
      <c r="K195" s="4">
        <v>6</v>
      </c>
      <c r="L195" s="4">
        <v>1</v>
      </c>
      <c r="M195" s="4">
        <v>9</v>
      </c>
      <c r="N195" s="4">
        <v>3</v>
      </c>
      <c r="O195" s="5">
        <f>SUM(Tabela32[[#This Row],[jan/23]:[dez/23]])</f>
        <v>99</v>
      </c>
    </row>
    <row r="196" spans="1:15" x14ac:dyDescent="0.25">
      <c r="A196" s="4" t="s">
        <v>391</v>
      </c>
      <c r="B196" s="4" t="s">
        <v>664</v>
      </c>
      <c r="C196" s="4">
        <v>3</v>
      </c>
      <c r="D196" s="4">
        <v>1</v>
      </c>
      <c r="E196" s="4">
        <v>7</v>
      </c>
      <c r="F196" s="4">
        <v>9</v>
      </c>
      <c r="G196" s="4">
        <v>8</v>
      </c>
      <c r="H196" s="4">
        <v>7</v>
      </c>
      <c r="I196" s="4">
        <v>8</v>
      </c>
      <c r="J196" s="4">
        <v>5</v>
      </c>
      <c r="K196" s="4">
        <v>1</v>
      </c>
      <c r="L196" s="4">
        <v>16</v>
      </c>
      <c r="M196" s="4">
        <v>21</v>
      </c>
      <c r="N196" s="4">
        <v>13</v>
      </c>
      <c r="O196" s="5">
        <f>SUM(Tabela32[[#This Row],[jan/23]:[dez/23]])</f>
        <v>99</v>
      </c>
    </row>
    <row r="197" spans="1:15" x14ac:dyDescent="0.25">
      <c r="A197" s="4" t="s">
        <v>393</v>
      </c>
      <c r="B197" s="4" t="s">
        <v>458</v>
      </c>
      <c r="C197" s="4">
        <v>7</v>
      </c>
      <c r="D197" s="4">
        <v>5</v>
      </c>
      <c r="E197" s="4">
        <v>12</v>
      </c>
      <c r="F197" s="4">
        <v>11</v>
      </c>
      <c r="G197" s="4">
        <v>14</v>
      </c>
      <c r="H197" s="4">
        <v>11</v>
      </c>
      <c r="I197" s="4">
        <v>8</v>
      </c>
      <c r="J197" s="4">
        <v>1</v>
      </c>
      <c r="K197" s="4"/>
      <c r="L197" s="4">
        <v>1</v>
      </c>
      <c r="M197" s="4">
        <v>6</v>
      </c>
      <c r="N197" s="4">
        <v>21</v>
      </c>
      <c r="O197" s="5">
        <f>SUM(Tabela32[[#This Row],[jan/23]:[dez/23]])</f>
        <v>97</v>
      </c>
    </row>
    <row r="198" spans="1:15" x14ac:dyDescent="0.25">
      <c r="A198" s="4" t="s">
        <v>397</v>
      </c>
      <c r="B198" s="4" t="s">
        <v>707</v>
      </c>
      <c r="C198" s="4">
        <v>9</v>
      </c>
      <c r="D198" s="4">
        <v>22</v>
      </c>
      <c r="E198" s="4">
        <v>15</v>
      </c>
      <c r="F198" s="4">
        <v>3</v>
      </c>
      <c r="G198" s="4">
        <v>5</v>
      </c>
      <c r="H198" s="4">
        <v>3</v>
      </c>
      <c r="I198" s="4">
        <v>5</v>
      </c>
      <c r="J198" s="4">
        <v>12</v>
      </c>
      <c r="K198" s="4">
        <v>9</v>
      </c>
      <c r="L198" s="4">
        <v>6</v>
      </c>
      <c r="M198" s="4">
        <v>5</v>
      </c>
      <c r="N198" s="4">
        <v>2</v>
      </c>
      <c r="O198" s="5">
        <f>SUM(Tabela32[[#This Row],[jan/23]:[dez/23]])</f>
        <v>96</v>
      </c>
    </row>
    <row r="199" spans="1:15" x14ac:dyDescent="0.25">
      <c r="A199" s="4" t="s">
        <v>395</v>
      </c>
      <c r="B199" s="4" t="s">
        <v>368</v>
      </c>
      <c r="C199" s="4">
        <v>2</v>
      </c>
      <c r="D199" s="4">
        <v>2</v>
      </c>
      <c r="E199" s="4">
        <v>4</v>
      </c>
      <c r="F199" s="4">
        <v>1</v>
      </c>
      <c r="G199" s="4"/>
      <c r="H199" s="4">
        <v>8</v>
      </c>
      <c r="I199" s="4">
        <v>2</v>
      </c>
      <c r="J199" s="4">
        <v>3</v>
      </c>
      <c r="K199" s="4">
        <v>20</v>
      </c>
      <c r="L199" s="4">
        <v>16</v>
      </c>
      <c r="M199" s="4">
        <v>20</v>
      </c>
      <c r="N199" s="4">
        <v>15</v>
      </c>
      <c r="O199" s="5">
        <f>SUM(Tabela32[[#This Row],[jan/23]:[dez/23]])</f>
        <v>93</v>
      </c>
    </row>
    <row r="200" spans="1:15" x14ac:dyDescent="0.25">
      <c r="A200" s="4" t="s">
        <v>399</v>
      </c>
      <c r="B200" s="4" t="s">
        <v>667</v>
      </c>
      <c r="C200" s="4">
        <v>6</v>
      </c>
      <c r="D200" s="4">
        <v>1</v>
      </c>
      <c r="E200" s="4">
        <v>3</v>
      </c>
      <c r="F200" s="4">
        <v>10</v>
      </c>
      <c r="G200" s="4">
        <v>40</v>
      </c>
      <c r="H200" s="4">
        <v>4</v>
      </c>
      <c r="I200" s="4">
        <v>9</v>
      </c>
      <c r="J200" s="4">
        <v>9</v>
      </c>
      <c r="K200" s="4">
        <v>2</v>
      </c>
      <c r="L200" s="4">
        <v>4</v>
      </c>
      <c r="M200" s="4">
        <v>3</v>
      </c>
      <c r="N200" s="4">
        <v>1</v>
      </c>
      <c r="O200" s="5">
        <f>SUM(Tabela32[[#This Row],[jan/23]:[dez/23]])</f>
        <v>92</v>
      </c>
    </row>
    <row r="201" spans="1:15" x14ac:dyDescent="0.25">
      <c r="A201" s="4" t="s">
        <v>401</v>
      </c>
      <c r="B201" s="4" t="s">
        <v>679</v>
      </c>
      <c r="C201" s="4">
        <v>25</v>
      </c>
      <c r="D201" s="4">
        <v>18</v>
      </c>
      <c r="E201" s="4">
        <v>11</v>
      </c>
      <c r="F201" s="4">
        <v>7</v>
      </c>
      <c r="G201" s="4">
        <v>6</v>
      </c>
      <c r="H201" s="4">
        <v>4</v>
      </c>
      <c r="I201" s="4">
        <v>1</v>
      </c>
      <c r="J201" s="4">
        <v>2</v>
      </c>
      <c r="K201" s="4"/>
      <c r="L201" s="4">
        <v>1</v>
      </c>
      <c r="M201" s="4">
        <v>1</v>
      </c>
      <c r="N201" s="4">
        <v>1</v>
      </c>
      <c r="O201" s="5">
        <f>SUM(Tabela32[[#This Row],[jan/23]:[dez/23]])</f>
        <v>77</v>
      </c>
    </row>
    <row r="202" spans="1:15" x14ac:dyDescent="0.25">
      <c r="A202" s="4" t="s">
        <v>409</v>
      </c>
      <c r="B202" s="4" t="s">
        <v>288</v>
      </c>
      <c r="C202" s="4"/>
      <c r="D202" s="4"/>
      <c r="E202" s="4">
        <v>1</v>
      </c>
      <c r="F202" s="4">
        <v>2</v>
      </c>
      <c r="G202" s="4">
        <v>11</v>
      </c>
      <c r="H202" s="4">
        <v>12</v>
      </c>
      <c r="I202" s="4">
        <v>13</v>
      </c>
      <c r="J202" s="4">
        <v>10</v>
      </c>
      <c r="K202" s="4">
        <v>8</v>
      </c>
      <c r="L202" s="4">
        <v>6</v>
      </c>
      <c r="M202" s="4">
        <v>6</v>
      </c>
      <c r="N202" s="4">
        <v>3</v>
      </c>
      <c r="O202" s="5">
        <f>SUM(Tabela32[[#This Row],[jan/23]:[dez/23]])</f>
        <v>72</v>
      </c>
    </row>
    <row r="203" spans="1:15" x14ac:dyDescent="0.25">
      <c r="A203" s="4" t="s">
        <v>407</v>
      </c>
      <c r="B203" s="4" t="s">
        <v>603</v>
      </c>
      <c r="C203" s="4">
        <v>9</v>
      </c>
      <c r="D203" s="4">
        <v>7</v>
      </c>
      <c r="E203" s="4">
        <v>5</v>
      </c>
      <c r="F203" s="4">
        <v>13</v>
      </c>
      <c r="G203" s="4">
        <v>10</v>
      </c>
      <c r="H203" s="4">
        <v>7</v>
      </c>
      <c r="I203" s="4">
        <v>5</v>
      </c>
      <c r="J203" s="4">
        <v>4</v>
      </c>
      <c r="K203" s="4">
        <v>1</v>
      </c>
      <c r="L203" s="4">
        <v>1</v>
      </c>
      <c r="M203" s="4">
        <v>3</v>
      </c>
      <c r="N203" s="4">
        <v>6</v>
      </c>
      <c r="O203" s="5">
        <f>SUM(Tabela32[[#This Row],[jan/23]:[dez/23]])</f>
        <v>71</v>
      </c>
    </row>
    <row r="204" spans="1:15" x14ac:dyDescent="0.25">
      <c r="A204" s="4" t="s">
        <v>405</v>
      </c>
      <c r="B204" s="4" t="s">
        <v>586</v>
      </c>
      <c r="C204" s="4">
        <v>14</v>
      </c>
      <c r="D204" s="4">
        <v>13</v>
      </c>
      <c r="E204" s="4"/>
      <c r="F204" s="4"/>
      <c r="G204" s="4"/>
      <c r="H204" s="4">
        <v>3</v>
      </c>
      <c r="I204" s="4"/>
      <c r="J204" s="4"/>
      <c r="K204" s="4"/>
      <c r="L204" s="4"/>
      <c r="M204" s="4">
        <v>16</v>
      </c>
      <c r="N204" s="4">
        <v>25</v>
      </c>
      <c r="O204" s="5">
        <f>SUM(Tabela32[[#This Row],[jan/23]:[dez/23]])</f>
        <v>71</v>
      </c>
    </row>
    <row r="205" spans="1:15" x14ac:dyDescent="0.25">
      <c r="A205" s="4" t="s">
        <v>403</v>
      </c>
      <c r="B205" s="4" t="s">
        <v>611</v>
      </c>
      <c r="C205" s="4">
        <v>13</v>
      </c>
      <c r="D205" s="4">
        <v>5</v>
      </c>
      <c r="E205" s="4">
        <v>4</v>
      </c>
      <c r="F205" s="4">
        <v>7</v>
      </c>
      <c r="G205" s="4">
        <v>8</v>
      </c>
      <c r="H205" s="4">
        <v>5</v>
      </c>
      <c r="I205" s="4">
        <v>3</v>
      </c>
      <c r="J205" s="4">
        <v>11</v>
      </c>
      <c r="K205" s="4">
        <v>3</v>
      </c>
      <c r="L205" s="4">
        <v>5</v>
      </c>
      <c r="M205" s="4">
        <v>3</v>
      </c>
      <c r="N205" s="4">
        <v>4</v>
      </c>
      <c r="O205" s="5">
        <f>SUM(Tabela32[[#This Row],[jan/23]:[dez/23]])</f>
        <v>71</v>
      </c>
    </row>
    <row r="206" spans="1:15" x14ac:dyDescent="0.25">
      <c r="A206" s="4" t="s">
        <v>413</v>
      </c>
      <c r="B206" s="4" t="s">
        <v>194</v>
      </c>
      <c r="C206" s="4"/>
      <c r="D206" s="4">
        <v>9</v>
      </c>
      <c r="E206" s="4">
        <v>2</v>
      </c>
      <c r="F206" s="4">
        <v>2</v>
      </c>
      <c r="G206" s="4">
        <v>5</v>
      </c>
      <c r="H206" s="4">
        <v>6</v>
      </c>
      <c r="I206" s="4">
        <v>13</v>
      </c>
      <c r="J206" s="4">
        <v>12</v>
      </c>
      <c r="K206" s="4">
        <v>7</v>
      </c>
      <c r="L206" s="4">
        <v>4</v>
      </c>
      <c r="M206" s="4">
        <v>5</v>
      </c>
      <c r="N206" s="4">
        <v>3</v>
      </c>
      <c r="O206" s="5">
        <f>SUM(Tabela32[[#This Row],[jan/23]:[dez/23]])</f>
        <v>68</v>
      </c>
    </row>
    <row r="207" spans="1:15" x14ac:dyDescent="0.25">
      <c r="A207" s="4" t="s">
        <v>411</v>
      </c>
      <c r="B207" s="4" t="s">
        <v>540</v>
      </c>
      <c r="C207" s="4">
        <v>15</v>
      </c>
      <c r="D207" s="4">
        <v>8</v>
      </c>
      <c r="E207" s="4">
        <v>18</v>
      </c>
      <c r="F207" s="4">
        <v>11</v>
      </c>
      <c r="G207" s="4">
        <v>6</v>
      </c>
      <c r="H207" s="4">
        <v>5</v>
      </c>
      <c r="I207" s="4"/>
      <c r="J207" s="4">
        <v>1</v>
      </c>
      <c r="K207" s="4">
        <v>3</v>
      </c>
      <c r="L207" s="4"/>
      <c r="M207" s="4">
        <v>1</v>
      </c>
      <c r="N207" s="4"/>
      <c r="O207" s="5">
        <f>SUM(Tabela32[[#This Row],[jan/23]:[dez/23]])</f>
        <v>68</v>
      </c>
    </row>
    <row r="208" spans="1:15" x14ac:dyDescent="0.25">
      <c r="A208" s="4" t="s">
        <v>417</v>
      </c>
      <c r="B208" s="4" t="s">
        <v>654</v>
      </c>
      <c r="C208" s="4">
        <v>10</v>
      </c>
      <c r="D208" s="4">
        <v>2</v>
      </c>
      <c r="E208" s="4">
        <v>3</v>
      </c>
      <c r="F208" s="4">
        <v>7</v>
      </c>
      <c r="G208" s="4">
        <v>11</v>
      </c>
      <c r="H208" s="4">
        <v>14</v>
      </c>
      <c r="I208" s="4">
        <v>1</v>
      </c>
      <c r="J208" s="4"/>
      <c r="K208" s="4">
        <v>3</v>
      </c>
      <c r="L208" s="4">
        <v>8</v>
      </c>
      <c r="M208" s="4">
        <v>3</v>
      </c>
      <c r="N208" s="4">
        <v>5</v>
      </c>
      <c r="O208" s="5">
        <f>SUM(Tabela32[[#This Row],[jan/23]:[dez/23]])</f>
        <v>67</v>
      </c>
    </row>
    <row r="209" spans="1:15" x14ac:dyDescent="0.25">
      <c r="A209" s="4" t="s">
        <v>415</v>
      </c>
      <c r="B209" s="4" t="s">
        <v>548</v>
      </c>
      <c r="C209" s="4"/>
      <c r="D209" s="4"/>
      <c r="E209" s="4"/>
      <c r="F209" s="4">
        <v>1</v>
      </c>
      <c r="G209" s="4"/>
      <c r="H209" s="4">
        <v>2</v>
      </c>
      <c r="I209" s="4">
        <v>9</v>
      </c>
      <c r="J209" s="4">
        <v>21</v>
      </c>
      <c r="K209" s="4">
        <v>8</v>
      </c>
      <c r="L209" s="4">
        <v>10</v>
      </c>
      <c r="M209" s="4">
        <v>5</v>
      </c>
      <c r="N209" s="4">
        <v>6</v>
      </c>
      <c r="O209" s="5">
        <f>SUM(Tabela32[[#This Row],[jan/23]:[dez/23]])</f>
        <v>62</v>
      </c>
    </row>
    <row r="210" spans="1:15" x14ac:dyDescent="0.25">
      <c r="A210" s="4" t="s">
        <v>421</v>
      </c>
      <c r="B210" s="4" t="s">
        <v>634</v>
      </c>
      <c r="C210" s="4">
        <v>3</v>
      </c>
      <c r="D210" s="4">
        <v>6</v>
      </c>
      <c r="E210" s="4">
        <v>8</v>
      </c>
      <c r="F210" s="4">
        <v>3</v>
      </c>
      <c r="G210" s="4">
        <v>2</v>
      </c>
      <c r="H210" s="4">
        <v>9</v>
      </c>
      <c r="I210" s="4">
        <v>6</v>
      </c>
      <c r="J210" s="4">
        <v>2</v>
      </c>
      <c r="K210" s="4">
        <v>4</v>
      </c>
      <c r="L210" s="4">
        <v>7</v>
      </c>
      <c r="M210" s="4">
        <v>2</v>
      </c>
      <c r="N210" s="4">
        <v>6</v>
      </c>
      <c r="O210" s="5">
        <f>SUM(Tabela32[[#This Row],[jan/23]:[dez/23]])</f>
        <v>58</v>
      </c>
    </row>
    <row r="211" spans="1:15" x14ac:dyDescent="0.25">
      <c r="A211" s="4" t="s">
        <v>419</v>
      </c>
      <c r="B211" s="4" t="s">
        <v>274</v>
      </c>
      <c r="C211" s="4">
        <v>6</v>
      </c>
      <c r="D211" s="4">
        <v>4</v>
      </c>
      <c r="E211" s="4">
        <v>4</v>
      </c>
      <c r="F211" s="4">
        <v>6</v>
      </c>
      <c r="G211" s="4">
        <v>5</v>
      </c>
      <c r="H211" s="4">
        <v>3</v>
      </c>
      <c r="I211" s="4"/>
      <c r="J211" s="4">
        <v>6</v>
      </c>
      <c r="K211" s="4">
        <v>1</v>
      </c>
      <c r="L211" s="4">
        <v>1</v>
      </c>
      <c r="M211" s="4">
        <v>4</v>
      </c>
      <c r="N211" s="4">
        <v>12</v>
      </c>
      <c r="O211" s="5">
        <f>SUM(Tabela32[[#This Row],[jan/23]:[dez/23]])</f>
        <v>52</v>
      </c>
    </row>
    <row r="212" spans="1:15" x14ac:dyDescent="0.25">
      <c r="A212" s="4" t="s">
        <v>423</v>
      </c>
      <c r="B212" s="4" t="s">
        <v>562</v>
      </c>
      <c r="C212" s="4">
        <v>16</v>
      </c>
      <c r="D212" s="4">
        <v>11</v>
      </c>
      <c r="E212" s="4">
        <v>11</v>
      </c>
      <c r="F212" s="4">
        <v>3</v>
      </c>
      <c r="G212" s="4">
        <v>4</v>
      </c>
      <c r="H212" s="4">
        <v>3</v>
      </c>
      <c r="I212" s="4"/>
      <c r="J212" s="4">
        <v>1</v>
      </c>
      <c r="K212" s="4"/>
      <c r="L212" s="4">
        <v>1</v>
      </c>
      <c r="M212" s="4">
        <v>1</v>
      </c>
      <c r="N212" s="4"/>
      <c r="O212" s="5">
        <f>SUM(Tabela32[[#This Row],[jan/23]:[dez/23]])</f>
        <v>51</v>
      </c>
    </row>
    <row r="213" spans="1:15" x14ac:dyDescent="0.25">
      <c r="A213" s="4" t="s">
        <v>427</v>
      </c>
      <c r="B213" s="4" t="s">
        <v>597</v>
      </c>
      <c r="C213" s="4">
        <v>6</v>
      </c>
      <c r="D213" s="4">
        <v>5</v>
      </c>
      <c r="E213" s="4">
        <v>12</v>
      </c>
      <c r="F213" s="4">
        <v>6</v>
      </c>
      <c r="G213" s="4">
        <v>5</v>
      </c>
      <c r="H213" s="4">
        <v>5</v>
      </c>
      <c r="I213" s="4">
        <v>3</v>
      </c>
      <c r="J213" s="4">
        <v>2</v>
      </c>
      <c r="K213" s="4">
        <v>2</v>
      </c>
      <c r="L213" s="4">
        <v>1</v>
      </c>
      <c r="M213" s="4">
        <v>1</v>
      </c>
      <c r="N213" s="4">
        <v>1</v>
      </c>
      <c r="O213" s="5">
        <f>SUM(Tabela32[[#This Row],[jan/23]:[dez/23]])</f>
        <v>49</v>
      </c>
    </row>
    <row r="214" spans="1:15" x14ac:dyDescent="0.25">
      <c r="A214" s="4" t="s">
        <v>425</v>
      </c>
      <c r="B214" s="4" t="s">
        <v>582</v>
      </c>
      <c r="C214" s="4">
        <v>2</v>
      </c>
      <c r="D214" s="4">
        <v>2</v>
      </c>
      <c r="E214" s="4">
        <v>3</v>
      </c>
      <c r="F214" s="4">
        <v>3</v>
      </c>
      <c r="G214" s="4">
        <v>1</v>
      </c>
      <c r="H214" s="4">
        <v>1</v>
      </c>
      <c r="I214" s="4">
        <v>4</v>
      </c>
      <c r="J214" s="4">
        <v>2</v>
      </c>
      <c r="K214" s="4">
        <v>6</v>
      </c>
      <c r="L214" s="4">
        <v>10</v>
      </c>
      <c r="M214" s="4">
        <v>5</v>
      </c>
      <c r="N214" s="4">
        <v>9</v>
      </c>
      <c r="O214" s="5">
        <f>SUM(Tabela32[[#This Row],[jan/23]:[dez/23]])</f>
        <v>48</v>
      </c>
    </row>
    <row r="215" spans="1:15" x14ac:dyDescent="0.25">
      <c r="A215" s="4" t="s">
        <v>445</v>
      </c>
      <c r="B215" s="4" t="s">
        <v>744</v>
      </c>
      <c r="C215" s="4">
        <v>24</v>
      </c>
      <c r="D215" s="4">
        <v>5</v>
      </c>
      <c r="E215" s="4">
        <v>1</v>
      </c>
      <c r="F215" s="4">
        <v>2</v>
      </c>
      <c r="G215" s="4">
        <v>3</v>
      </c>
      <c r="H215" s="4">
        <v>1</v>
      </c>
      <c r="I215" s="4">
        <v>1</v>
      </c>
      <c r="J215" s="4">
        <v>5</v>
      </c>
      <c r="K215" s="4">
        <v>3</v>
      </c>
      <c r="L215" s="4"/>
      <c r="M215" s="4">
        <v>1</v>
      </c>
      <c r="N215" s="4">
        <v>1</v>
      </c>
      <c r="O215" s="5">
        <f>SUM(Tabela32[[#This Row],[jan/23]:[dez/23]])</f>
        <v>47</v>
      </c>
    </row>
    <row r="216" spans="1:15" x14ac:dyDescent="0.25">
      <c r="A216" s="4" t="s">
        <v>443</v>
      </c>
      <c r="B216" s="4" t="s">
        <v>670</v>
      </c>
      <c r="C216" s="4">
        <v>6</v>
      </c>
      <c r="D216" s="4">
        <v>2</v>
      </c>
      <c r="E216" s="4">
        <v>2</v>
      </c>
      <c r="F216" s="4">
        <v>6</v>
      </c>
      <c r="G216" s="4">
        <v>5</v>
      </c>
      <c r="H216" s="4">
        <v>3</v>
      </c>
      <c r="I216" s="4">
        <v>14</v>
      </c>
      <c r="J216" s="4">
        <v>2</v>
      </c>
      <c r="K216" s="4">
        <v>1</v>
      </c>
      <c r="L216" s="4">
        <v>2</v>
      </c>
      <c r="M216" s="4">
        <v>2</v>
      </c>
      <c r="N216" s="4">
        <v>1</v>
      </c>
      <c r="O216" s="5">
        <f>SUM(Tabela32[[#This Row],[jan/23]:[dez/23]])</f>
        <v>46</v>
      </c>
    </row>
    <row r="217" spans="1:15" x14ac:dyDescent="0.25">
      <c r="A217" s="4" t="s">
        <v>441</v>
      </c>
      <c r="B217" s="4" t="s">
        <v>474</v>
      </c>
      <c r="C217" s="4"/>
      <c r="D217" s="4">
        <v>3</v>
      </c>
      <c r="E217" s="4">
        <v>9</v>
      </c>
      <c r="F217" s="4">
        <v>5</v>
      </c>
      <c r="G217" s="4">
        <v>3</v>
      </c>
      <c r="H217" s="4">
        <v>3</v>
      </c>
      <c r="I217" s="4">
        <v>4</v>
      </c>
      <c r="J217" s="4">
        <v>5</v>
      </c>
      <c r="K217" s="4">
        <v>4</v>
      </c>
      <c r="L217" s="4">
        <v>3</v>
      </c>
      <c r="M217" s="4">
        <v>2</v>
      </c>
      <c r="N217" s="4">
        <v>3</v>
      </c>
      <c r="O217" s="5">
        <f>SUM(Tabela32[[#This Row],[jan/23]:[dez/23]])</f>
        <v>44</v>
      </c>
    </row>
    <row r="218" spans="1:15" x14ac:dyDescent="0.25">
      <c r="A218" s="4" t="s">
        <v>439</v>
      </c>
      <c r="B218" s="4" t="s">
        <v>525</v>
      </c>
      <c r="C218" s="4">
        <v>1</v>
      </c>
      <c r="D218" s="4">
        <v>1</v>
      </c>
      <c r="E218" s="4">
        <v>11</v>
      </c>
      <c r="F218" s="4">
        <v>1</v>
      </c>
      <c r="G218" s="4">
        <v>3</v>
      </c>
      <c r="H218" s="4">
        <v>6</v>
      </c>
      <c r="I218" s="4">
        <v>7</v>
      </c>
      <c r="J218" s="4">
        <v>2</v>
      </c>
      <c r="K218" s="4">
        <v>1</v>
      </c>
      <c r="L218" s="4"/>
      <c r="M218" s="4">
        <v>3</v>
      </c>
      <c r="N218" s="4">
        <v>5</v>
      </c>
      <c r="O218" s="5">
        <f>SUM(Tabela32[[#This Row],[jan/23]:[dez/23]])</f>
        <v>41</v>
      </c>
    </row>
    <row r="219" spans="1:15" x14ac:dyDescent="0.25">
      <c r="A219" s="4" t="s">
        <v>437</v>
      </c>
      <c r="B219" s="4" t="s">
        <v>598</v>
      </c>
      <c r="C219" s="4"/>
      <c r="D219" s="4"/>
      <c r="E219" s="4">
        <v>4</v>
      </c>
      <c r="F219" s="4"/>
      <c r="G219" s="4"/>
      <c r="H219" s="4">
        <v>15</v>
      </c>
      <c r="I219" s="4">
        <v>18</v>
      </c>
      <c r="J219" s="4"/>
      <c r="K219" s="4"/>
      <c r="L219" s="4"/>
      <c r="M219" s="4"/>
      <c r="N219" s="4"/>
      <c r="O219" s="5">
        <f>SUM(Tabela32[[#This Row],[jan/23]:[dez/23]])</f>
        <v>37</v>
      </c>
    </row>
    <row r="220" spans="1:15" x14ac:dyDescent="0.25">
      <c r="A220" s="4" t="s">
        <v>435</v>
      </c>
      <c r="B220" s="4" t="s">
        <v>510</v>
      </c>
      <c r="C220" s="4">
        <v>3</v>
      </c>
      <c r="D220" s="4">
        <v>2</v>
      </c>
      <c r="E220" s="4">
        <v>1</v>
      </c>
      <c r="F220" s="4">
        <v>6</v>
      </c>
      <c r="G220" s="4"/>
      <c r="H220" s="4">
        <v>2</v>
      </c>
      <c r="I220" s="4">
        <v>6</v>
      </c>
      <c r="J220" s="4">
        <v>4</v>
      </c>
      <c r="K220" s="4">
        <v>3</v>
      </c>
      <c r="L220" s="4">
        <v>3</v>
      </c>
      <c r="M220" s="4">
        <v>3</v>
      </c>
      <c r="N220" s="4">
        <v>4</v>
      </c>
      <c r="O220" s="5">
        <f>SUM(Tabela32[[#This Row],[jan/23]:[dez/23]])</f>
        <v>37</v>
      </c>
    </row>
    <row r="221" spans="1:15" x14ac:dyDescent="0.25">
      <c r="A221" s="4" t="s">
        <v>433</v>
      </c>
      <c r="B221" s="4" t="s">
        <v>352</v>
      </c>
      <c r="C221" s="4">
        <v>1</v>
      </c>
      <c r="D221" s="4">
        <v>5</v>
      </c>
      <c r="E221" s="4">
        <v>6</v>
      </c>
      <c r="F221" s="4">
        <v>1</v>
      </c>
      <c r="G221" s="4">
        <v>5</v>
      </c>
      <c r="H221" s="4">
        <v>4</v>
      </c>
      <c r="I221" s="4">
        <v>6</v>
      </c>
      <c r="J221" s="4">
        <v>2</v>
      </c>
      <c r="K221" s="4">
        <v>1</v>
      </c>
      <c r="L221" s="4"/>
      <c r="M221" s="4">
        <v>1</v>
      </c>
      <c r="N221" s="4">
        <v>3</v>
      </c>
      <c r="O221" s="5">
        <f>SUM(Tabela32[[#This Row],[jan/23]:[dez/23]])</f>
        <v>35</v>
      </c>
    </row>
    <row r="222" spans="1:15" x14ac:dyDescent="0.25">
      <c r="A222" s="4" t="s">
        <v>431</v>
      </c>
      <c r="B222" s="4" t="s">
        <v>552</v>
      </c>
      <c r="C222" s="4">
        <v>9</v>
      </c>
      <c r="D222" s="4">
        <v>4</v>
      </c>
      <c r="E222" s="4">
        <v>7</v>
      </c>
      <c r="F222" s="4">
        <v>6</v>
      </c>
      <c r="G222" s="4">
        <v>4</v>
      </c>
      <c r="H222" s="4"/>
      <c r="I222" s="4">
        <v>5</v>
      </c>
      <c r="J222" s="4"/>
      <c r="K222" s="4"/>
      <c r="L222" s="4"/>
      <c r="M222" s="4"/>
      <c r="N222" s="4"/>
      <c r="O222" s="5">
        <f>SUM(Tabela32[[#This Row],[jan/23]:[dez/23]])</f>
        <v>35</v>
      </c>
    </row>
    <row r="223" spans="1:15" x14ac:dyDescent="0.25">
      <c r="A223" s="4" t="s">
        <v>429</v>
      </c>
      <c r="B223" s="4" t="s">
        <v>342</v>
      </c>
      <c r="C223" s="4">
        <v>1</v>
      </c>
      <c r="D223" s="4"/>
      <c r="E223" s="4"/>
      <c r="F223" s="4">
        <v>2</v>
      </c>
      <c r="G223" s="4"/>
      <c r="H223" s="4">
        <v>2</v>
      </c>
      <c r="I223" s="4">
        <v>3</v>
      </c>
      <c r="J223" s="4">
        <v>7</v>
      </c>
      <c r="K223" s="4">
        <v>2</v>
      </c>
      <c r="L223" s="4">
        <v>7</v>
      </c>
      <c r="M223" s="4">
        <v>3</v>
      </c>
      <c r="N223" s="4">
        <v>8</v>
      </c>
      <c r="O223" s="5">
        <f>SUM(Tabela32[[#This Row],[jan/23]:[dez/23]])</f>
        <v>35</v>
      </c>
    </row>
    <row r="224" spans="1:15" x14ac:dyDescent="0.25">
      <c r="A224" s="4" t="s">
        <v>473</v>
      </c>
      <c r="B224" s="4" t="s">
        <v>418</v>
      </c>
      <c r="C224" s="4"/>
      <c r="D224" s="4">
        <v>4</v>
      </c>
      <c r="E224" s="4">
        <v>2</v>
      </c>
      <c r="F224" s="4">
        <v>7</v>
      </c>
      <c r="G224" s="4">
        <v>6</v>
      </c>
      <c r="H224" s="4">
        <v>3</v>
      </c>
      <c r="I224" s="4">
        <v>1</v>
      </c>
      <c r="J224" s="4">
        <v>2</v>
      </c>
      <c r="K224" s="4">
        <v>2</v>
      </c>
      <c r="L224" s="4">
        <v>3</v>
      </c>
      <c r="M224" s="4">
        <v>4</v>
      </c>
      <c r="N224" s="4">
        <v>1</v>
      </c>
      <c r="O224" s="5">
        <f>SUM(Tabela32[[#This Row],[jan/23]:[dez/23]])</f>
        <v>35</v>
      </c>
    </row>
    <row r="225" spans="1:15" x14ac:dyDescent="0.25">
      <c r="A225" s="4" t="s">
        <v>471</v>
      </c>
      <c r="B225" s="4" t="s">
        <v>605</v>
      </c>
      <c r="C225" s="4"/>
      <c r="D225" s="4"/>
      <c r="E225" s="4"/>
      <c r="F225" s="4">
        <v>1</v>
      </c>
      <c r="G225" s="4">
        <v>5</v>
      </c>
      <c r="H225" s="4">
        <v>1</v>
      </c>
      <c r="I225" s="4">
        <v>4</v>
      </c>
      <c r="J225" s="4">
        <v>7</v>
      </c>
      <c r="K225" s="4">
        <v>4</v>
      </c>
      <c r="L225" s="4">
        <v>4</v>
      </c>
      <c r="M225" s="4">
        <v>6</v>
      </c>
      <c r="N225" s="4">
        <v>2</v>
      </c>
      <c r="O225" s="5">
        <f>SUM(Tabela32[[#This Row],[jan/23]:[dez/23]])</f>
        <v>34</v>
      </c>
    </row>
    <row r="226" spans="1:15" x14ac:dyDescent="0.25">
      <c r="A226" s="4" t="s">
        <v>469</v>
      </c>
      <c r="B226" s="4" t="s">
        <v>388</v>
      </c>
      <c r="C226" s="4">
        <v>3</v>
      </c>
      <c r="D226" s="4">
        <v>5</v>
      </c>
      <c r="E226" s="4">
        <v>5</v>
      </c>
      <c r="F226" s="4">
        <v>4</v>
      </c>
      <c r="G226" s="4">
        <v>3</v>
      </c>
      <c r="H226" s="4">
        <v>4</v>
      </c>
      <c r="I226" s="4">
        <v>1</v>
      </c>
      <c r="J226" s="4">
        <v>3</v>
      </c>
      <c r="K226" s="4">
        <v>1</v>
      </c>
      <c r="L226" s="4">
        <v>2</v>
      </c>
      <c r="M226" s="4">
        <v>3</v>
      </c>
      <c r="N226" s="4"/>
      <c r="O226" s="5">
        <f>SUM(Tabela32[[#This Row],[jan/23]:[dez/23]])</f>
        <v>34</v>
      </c>
    </row>
    <row r="227" spans="1:15" x14ac:dyDescent="0.25">
      <c r="A227" s="4" t="s">
        <v>467</v>
      </c>
      <c r="B227" s="4" t="s">
        <v>340</v>
      </c>
      <c r="C227" s="4">
        <v>10</v>
      </c>
      <c r="D227" s="4">
        <v>6</v>
      </c>
      <c r="E227" s="4">
        <v>2</v>
      </c>
      <c r="F227" s="4">
        <v>3</v>
      </c>
      <c r="G227" s="4">
        <v>2</v>
      </c>
      <c r="H227" s="4">
        <v>2</v>
      </c>
      <c r="I227" s="4"/>
      <c r="J227" s="4">
        <v>3</v>
      </c>
      <c r="K227" s="4">
        <v>3</v>
      </c>
      <c r="L227" s="4"/>
      <c r="M227" s="4"/>
      <c r="N227" s="4">
        <v>1</v>
      </c>
      <c r="O227" s="5">
        <f>SUM(Tabela32[[#This Row],[jan/23]:[dez/23]])</f>
        <v>32</v>
      </c>
    </row>
    <row r="228" spans="1:15" x14ac:dyDescent="0.25">
      <c r="A228" s="4" t="s">
        <v>465</v>
      </c>
      <c r="B228" s="4" t="s">
        <v>484</v>
      </c>
      <c r="C228" s="4">
        <v>1</v>
      </c>
      <c r="D228" s="4"/>
      <c r="E228" s="4">
        <v>3</v>
      </c>
      <c r="F228" s="4">
        <v>3</v>
      </c>
      <c r="G228" s="4">
        <v>3</v>
      </c>
      <c r="H228" s="4">
        <v>3</v>
      </c>
      <c r="I228" s="4">
        <v>6</v>
      </c>
      <c r="J228" s="4">
        <v>1</v>
      </c>
      <c r="K228" s="4">
        <v>1</v>
      </c>
      <c r="L228" s="4">
        <v>3</v>
      </c>
      <c r="M228" s="4">
        <v>3</v>
      </c>
      <c r="N228" s="4">
        <v>3</v>
      </c>
      <c r="O228" s="5">
        <f>SUM(Tabela32[[#This Row],[jan/23]:[dez/23]])</f>
        <v>30</v>
      </c>
    </row>
    <row r="229" spans="1:15" x14ac:dyDescent="0.25">
      <c r="A229" s="4" t="s">
        <v>463</v>
      </c>
      <c r="B229" s="4" t="s">
        <v>370</v>
      </c>
      <c r="C229" s="4">
        <v>1</v>
      </c>
      <c r="D229" s="4">
        <v>1</v>
      </c>
      <c r="E229" s="4">
        <v>3</v>
      </c>
      <c r="F229" s="4"/>
      <c r="G229" s="4"/>
      <c r="H229" s="4">
        <v>4</v>
      </c>
      <c r="I229" s="4">
        <v>1</v>
      </c>
      <c r="J229" s="4">
        <v>4</v>
      </c>
      <c r="K229" s="4">
        <v>6</v>
      </c>
      <c r="L229" s="4">
        <v>4</v>
      </c>
      <c r="M229" s="4">
        <v>4</v>
      </c>
      <c r="N229" s="4"/>
      <c r="O229" s="5">
        <f>SUM(Tabela32[[#This Row],[jan/23]:[dez/23]])</f>
        <v>28</v>
      </c>
    </row>
    <row r="230" spans="1:15" x14ac:dyDescent="0.25">
      <c r="A230" s="4" t="s">
        <v>461</v>
      </c>
      <c r="B230" s="4" t="s">
        <v>440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>
        <v>27</v>
      </c>
      <c r="N230" s="4"/>
      <c r="O230" s="5">
        <f>SUM(Tabela32[[#This Row],[jan/23]:[dez/23]])</f>
        <v>27</v>
      </c>
    </row>
    <row r="231" spans="1:15" x14ac:dyDescent="0.25">
      <c r="A231" s="4" t="s">
        <v>459</v>
      </c>
      <c r="B231" s="4" t="s">
        <v>266</v>
      </c>
      <c r="C231" s="4">
        <v>1</v>
      </c>
      <c r="D231" s="4">
        <v>2</v>
      </c>
      <c r="E231" s="4">
        <v>3</v>
      </c>
      <c r="F231" s="4"/>
      <c r="G231" s="4">
        <v>1</v>
      </c>
      <c r="H231" s="4">
        <v>4</v>
      </c>
      <c r="I231" s="4">
        <v>4</v>
      </c>
      <c r="J231" s="4">
        <v>3</v>
      </c>
      <c r="K231" s="4">
        <v>1</v>
      </c>
      <c r="L231" s="4">
        <v>5</v>
      </c>
      <c r="M231" s="4">
        <v>2</v>
      </c>
      <c r="N231" s="4">
        <v>1</v>
      </c>
      <c r="O231" s="5">
        <f>SUM(Tabela32[[#This Row],[jan/23]:[dez/23]])</f>
        <v>27</v>
      </c>
    </row>
    <row r="232" spans="1:15" x14ac:dyDescent="0.25">
      <c r="A232" s="4" t="s">
        <v>457</v>
      </c>
      <c r="B232" s="4" t="s">
        <v>636</v>
      </c>
      <c r="C232" s="4"/>
      <c r="D232" s="4"/>
      <c r="E232" s="4"/>
      <c r="F232" s="4">
        <v>2</v>
      </c>
      <c r="G232" s="4">
        <v>7</v>
      </c>
      <c r="H232" s="4">
        <v>4</v>
      </c>
      <c r="I232" s="4">
        <v>4</v>
      </c>
      <c r="J232" s="4">
        <v>4</v>
      </c>
      <c r="K232" s="4">
        <v>1</v>
      </c>
      <c r="L232" s="4">
        <v>1</v>
      </c>
      <c r="M232" s="4">
        <v>1</v>
      </c>
      <c r="N232" s="4">
        <v>1</v>
      </c>
      <c r="O232" s="5">
        <f>SUM(Tabela32[[#This Row],[jan/23]:[dez/23]])</f>
        <v>25</v>
      </c>
    </row>
    <row r="233" spans="1:15" x14ac:dyDescent="0.25">
      <c r="A233" s="4" t="s">
        <v>455</v>
      </c>
      <c r="B233" s="4" t="s">
        <v>523</v>
      </c>
      <c r="C233" s="4"/>
      <c r="D233" s="4"/>
      <c r="E233" s="4">
        <v>1</v>
      </c>
      <c r="F233" s="4"/>
      <c r="G233" s="4">
        <v>1</v>
      </c>
      <c r="H233" s="4">
        <v>4</v>
      </c>
      <c r="I233" s="4"/>
      <c r="J233" s="4">
        <v>4</v>
      </c>
      <c r="K233" s="4"/>
      <c r="L233" s="4">
        <v>4</v>
      </c>
      <c r="M233" s="4">
        <v>6</v>
      </c>
      <c r="N233" s="4">
        <v>3</v>
      </c>
      <c r="O233" s="5">
        <f>SUM(Tabela32[[#This Row],[jan/23]:[dez/23]])</f>
        <v>23</v>
      </c>
    </row>
    <row r="234" spans="1:15" x14ac:dyDescent="0.25">
      <c r="A234" s="4" t="s">
        <v>453</v>
      </c>
      <c r="B234" s="4" t="s">
        <v>656</v>
      </c>
      <c r="C234" s="4">
        <v>6</v>
      </c>
      <c r="D234" s="4">
        <v>2</v>
      </c>
      <c r="E234" s="4">
        <v>2</v>
      </c>
      <c r="F234" s="4"/>
      <c r="G234" s="4">
        <v>1</v>
      </c>
      <c r="H234" s="4">
        <v>4</v>
      </c>
      <c r="I234" s="4"/>
      <c r="J234" s="4">
        <v>1</v>
      </c>
      <c r="K234" s="4">
        <v>1</v>
      </c>
      <c r="L234" s="4">
        <v>3</v>
      </c>
      <c r="M234" s="4">
        <v>1</v>
      </c>
      <c r="N234" s="4">
        <v>2</v>
      </c>
      <c r="O234" s="5">
        <f>SUM(Tabela32[[#This Row],[jan/23]:[dez/23]])</f>
        <v>23</v>
      </c>
    </row>
    <row r="235" spans="1:15" x14ac:dyDescent="0.25">
      <c r="A235" s="4" t="s">
        <v>451</v>
      </c>
      <c r="B235" s="4" t="s">
        <v>589</v>
      </c>
      <c r="C235" s="4">
        <v>4</v>
      </c>
      <c r="D235" s="4">
        <v>1</v>
      </c>
      <c r="E235" s="4">
        <v>1</v>
      </c>
      <c r="F235" s="4">
        <v>1</v>
      </c>
      <c r="G235" s="4">
        <v>3</v>
      </c>
      <c r="H235" s="4">
        <v>6</v>
      </c>
      <c r="I235" s="4">
        <v>2</v>
      </c>
      <c r="J235" s="4">
        <v>3</v>
      </c>
      <c r="K235" s="4">
        <v>1</v>
      </c>
      <c r="L235" s="4"/>
      <c r="M235" s="4"/>
      <c r="N235" s="4">
        <v>1</v>
      </c>
      <c r="O235" s="5">
        <f>SUM(Tabela32[[#This Row],[jan/23]:[dez/23]])</f>
        <v>23</v>
      </c>
    </row>
    <row r="236" spans="1:15" x14ac:dyDescent="0.25">
      <c r="A236" s="4" t="s">
        <v>449</v>
      </c>
      <c r="B236" s="4" t="s">
        <v>532</v>
      </c>
      <c r="C236" s="4"/>
      <c r="D236" s="4"/>
      <c r="E236" s="4"/>
      <c r="F236" s="4"/>
      <c r="G236" s="4"/>
      <c r="H236" s="4"/>
      <c r="I236" s="4"/>
      <c r="J236" s="4"/>
      <c r="K236" s="4">
        <v>5</v>
      </c>
      <c r="L236" s="4">
        <v>8</v>
      </c>
      <c r="M236" s="4">
        <v>4</v>
      </c>
      <c r="N236" s="4">
        <v>6</v>
      </c>
      <c r="O236" s="5">
        <f>SUM(Tabela32[[#This Row],[jan/23]:[dez/23]])</f>
        <v>23</v>
      </c>
    </row>
    <row r="237" spans="1:15" x14ac:dyDescent="0.25">
      <c r="A237" s="4" t="s">
        <v>447</v>
      </c>
      <c r="B237" s="4" t="s">
        <v>745</v>
      </c>
      <c r="C237" s="4"/>
      <c r="D237" s="4"/>
      <c r="E237" s="4">
        <v>3</v>
      </c>
      <c r="F237" s="4">
        <v>2</v>
      </c>
      <c r="G237" s="4">
        <v>3</v>
      </c>
      <c r="H237" s="4">
        <v>6</v>
      </c>
      <c r="I237" s="4">
        <v>4</v>
      </c>
      <c r="J237" s="4">
        <v>1</v>
      </c>
      <c r="K237" s="4"/>
      <c r="L237" s="4"/>
      <c r="M237" s="4"/>
      <c r="N237" s="4"/>
      <c r="O237" s="5">
        <f>SUM(Tabela32[[#This Row],[jan/23]:[dez/23]])</f>
        <v>19</v>
      </c>
    </row>
    <row r="238" spans="1:15" x14ac:dyDescent="0.25">
      <c r="A238" s="4" t="s">
        <v>515</v>
      </c>
      <c r="B238" s="4" t="s">
        <v>674</v>
      </c>
      <c r="C238" s="4"/>
      <c r="D238" s="4">
        <v>2</v>
      </c>
      <c r="E238" s="4">
        <v>1</v>
      </c>
      <c r="F238" s="4"/>
      <c r="G238" s="4"/>
      <c r="H238" s="4"/>
      <c r="I238" s="4">
        <v>3</v>
      </c>
      <c r="J238" s="4">
        <v>4</v>
      </c>
      <c r="K238" s="4">
        <v>4</v>
      </c>
      <c r="L238" s="4">
        <v>2</v>
      </c>
      <c r="M238" s="4">
        <v>1</v>
      </c>
      <c r="N238" s="4">
        <v>1</v>
      </c>
      <c r="O238" s="5">
        <f>SUM(Tabela32[[#This Row],[jan/23]:[dez/23]])</f>
        <v>18</v>
      </c>
    </row>
    <row r="239" spans="1:15" x14ac:dyDescent="0.25">
      <c r="A239" s="4" t="s">
        <v>513</v>
      </c>
      <c r="B239" s="4" t="s">
        <v>547</v>
      </c>
      <c r="C239" s="4">
        <v>2</v>
      </c>
      <c r="D239" s="4">
        <v>2</v>
      </c>
      <c r="E239" s="4"/>
      <c r="F239" s="4">
        <v>1</v>
      </c>
      <c r="G239" s="4">
        <v>1</v>
      </c>
      <c r="H239" s="4">
        <v>1</v>
      </c>
      <c r="I239" s="4"/>
      <c r="J239" s="4">
        <v>7</v>
      </c>
      <c r="K239" s="4">
        <v>2</v>
      </c>
      <c r="L239" s="4">
        <v>1</v>
      </c>
      <c r="M239" s="4"/>
      <c r="N239" s="4">
        <v>1</v>
      </c>
      <c r="O239" s="5">
        <f>SUM(Tabela32[[#This Row],[jan/23]:[dez/23]])</f>
        <v>18</v>
      </c>
    </row>
    <row r="240" spans="1:15" x14ac:dyDescent="0.25">
      <c r="A240" s="4" t="s">
        <v>511</v>
      </c>
      <c r="B240" s="4" t="s">
        <v>702</v>
      </c>
      <c r="C240" s="4"/>
      <c r="D240" s="4"/>
      <c r="E240" s="4"/>
      <c r="F240" s="4">
        <v>1</v>
      </c>
      <c r="G240" s="4">
        <v>5</v>
      </c>
      <c r="H240" s="4">
        <v>3</v>
      </c>
      <c r="I240" s="4">
        <v>1</v>
      </c>
      <c r="J240" s="4">
        <v>4</v>
      </c>
      <c r="K240" s="4">
        <v>1</v>
      </c>
      <c r="L240" s="4"/>
      <c r="M240" s="4">
        <v>3</v>
      </c>
      <c r="N240" s="4"/>
      <c r="O240" s="5">
        <f>SUM(Tabela32[[#This Row],[jan/23]:[dez/23]])</f>
        <v>18</v>
      </c>
    </row>
    <row r="241" spans="1:15" x14ac:dyDescent="0.25">
      <c r="A241" s="4" t="s">
        <v>509</v>
      </c>
      <c r="B241" s="4" t="s">
        <v>394</v>
      </c>
      <c r="C241" s="4"/>
      <c r="D241" s="4"/>
      <c r="E241" s="4"/>
      <c r="F241" s="4"/>
      <c r="G241" s="4"/>
      <c r="H241" s="4">
        <v>1</v>
      </c>
      <c r="I241" s="4"/>
      <c r="J241" s="4">
        <v>4</v>
      </c>
      <c r="K241" s="4"/>
      <c r="L241" s="4"/>
      <c r="M241" s="4"/>
      <c r="N241" s="4">
        <v>12</v>
      </c>
      <c r="O241" s="5">
        <f>SUM(Tabela32[[#This Row],[jan/23]:[dez/23]])</f>
        <v>17</v>
      </c>
    </row>
    <row r="242" spans="1:15" x14ac:dyDescent="0.25">
      <c r="A242" s="4" t="s">
        <v>507</v>
      </c>
      <c r="B242" s="4" t="s">
        <v>592</v>
      </c>
      <c r="C242" s="4">
        <v>2</v>
      </c>
      <c r="D242" s="4">
        <v>3</v>
      </c>
      <c r="E242" s="4"/>
      <c r="F242" s="4"/>
      <c r="G242" s="4"/>
      <c r="H242" s="4">
        <v>1</v>
      </c>
      <c r="I242" s="4"/>
      <c r="J242" s="4">
        <v>2</v>
      </c>
      <c r="K242" s="4">
        <v>1</v>
      </c>
      <c r="L242" s="4"/>
      <c r="M242" s="4">
        <v>5</v>
      </c>
      <c r="N242" s="4">
        <v>3</v>
      </c>
      <c r="O242" s="5">
        <f>SUM(Tabela32[[#This Row],[jan/23]:[dez/23]])</f>
        <v>17</v>
      </c>
    </row>
    <row r="243" spans="1:15" x14ac:dyDescent="0.25">
      <c r="A243" s="4" t="s">
        <v>505</v>
      </c>
      <c r="B243" s="4" t="s">
        <v>560</v>
      </c>
      <c r="C243" s="4">
        <v>1</v>
      </c>
      <c r="D243" s="4"/>
      <c r="E243" s="4"/>
      <c r="F243" s="4"/>
      <c r="G243" s="4"/>
      <c r="H243" s="4"/>
      <c r="I243" s="4"/>
      <c r="J243" s="4"/>
      <c r="K243" s="4"/>
      <c r="L243" s="4">
        <v>10</v>
      </c>
      <c r="M243" s="4">
        <v>4</v>
      </c>
      <c r="N243" s="4">
        <v>1</v>
      </c>
      <c r="O243" s="5">
        <f>SUM(Tabela32[[#This Row],[jan/23]:[dez/23]])</f>
        <v>16</v>
      </c>
    </row>
    <row r="244" spans="1:15" x14ac:dyDescent="0.25">
      <c r="A244" s="4" t="s">
        <v>503</v>
      </c>
      <c r="B244" s="4" t="s">
        <v>543</v>
      </c>
      <c r="C244" s="4">
        <v>1</v>
      </c>
      <c r="D244" s="4">
        <v>1</v>
      </c>
      <c r="E244" s="4">
        <v>1</v>
      </c>
      <c r="F244" s="4"/>
      <c r="G244" s="4">
        <v>2</v>
      </c>
      <c r="H244" s="4">
        <v>4</v>
      </c>
      <c r="I244" s="4">
        <v>4</v>
      </c>
      <c r="J244" s="4">
        <v>1</v>
      </c>
      <c r="K244" s="4"/>
      <c r="L244" s="4"/>
      <c r="M244" s="4"/>
      <c r="N244" s="4">
        <v>1</v>
      </c>
      <c r="O244" s="5">
        <f>SUM(Tabela32[[#This Row],[jan/23]:[dez/23]])</f>
        <v>15</v>
      </c>
    </row>
    <row r="245" spans="1:15" x14ac:dyDescent="0.25">
      <c r="A245" s="4" t="s">
        <v>501</v>
      </c>
      <c r="B245" s="4" t="s">
        <v>746</v>
      </c>
      <c r="C245" s="4"/>
      <c r="D245" s="4"/>
      <c r="E245" s="4"/>
      <c r="F245" s="4"/>
      <c r="G245" s="4"/>
      <c r="H245" s="4"/>
      <c r="I245" s="4">
        <v>10</v>
      </c>
      <c r="J245" s="4"/>
      <c r="K245" s="4">
        <v>4</v>
      </c>
      <c r="L245" s="4"/>
      <c r="M245" s="4"/>
      <c r="N245" s="4"/>
      <c r="O245" s="5">
        <f>SUM(Tabela32[[#This Row],[jan/23]:[dez/23]])</f>
        <v>14</v>
      </c>
    </row>
    <row r="246" spans="1:15" x14ac:dyDescent="0.25">
      <c r="A246" s="4" t="s">
        <v>499</v>
      </c>
      <c r="B246" s="4" t="s">
        <v>747</v>
      </c>
      <c r="C246" s="4">
        <v>3</v>
      </c>
      <c r="D246" s="4">
        <v>1</v>
      </c>
      <c r="E246" s="4">
        <v>2</v>
      </c>
      <c r="F246" s="4">
        <v>1</v>
      </c>
      <c r="G246" s="4"/>
      <c r="H246" s="4">
        <v>1</v>
      </c>
      <c r="I246" s="4">
        <v>1</v>
      </c>
      <c r="J246" s="4">
        <v>2</v>
      </c>
      <c r="K246" s="4"/>
      <c r="L246" s="4">
        <v>1</v>
      </c>
      <c r="M246" s="4"/>
      <c r="N246" s="4">
        <v>1</v>
      </c>
      <c r="O246" s="5">
        <f>SUM(Tabela32[[#This Row],[jan/23]:[dez/23]])</f>
        <v>13</v>
      </c>
    </row>
    <row r="247" spans="1:15" x14ac:dyDescent="0.25">
      <c r="A247" s="4" t="s">
        <v>497</v>
      </c>
      <c r="B247" s="4" t="s">
        <v>549</v>
      </c>
      <c r="C247" s="4">
        <v>2</v>
      </c>
      <c r="D247" s="4"/>
      <c r="E247" s="4"/>
      <c r="F247" s="4"/>
      <c r="G247" s="4"/>
      <c r="H247" s="4">
        <v>2</v>
      </c>
      <c r="I247" s="4"/>
      <c r="J247" s="4"/>
      <c r="K247" s="4">
        <v>1</v>
      </c>
      <c r="L247" s="4"/>
      <c r="M247" s="4">
        <v>6</v>
      </c>
      <c r="N247" s="4">
        <v>2</v>
      </c>
      <c r="O247" s="5">
        <f>SUM(Tabela32[[#This Row],[jan/23]:[dez/23]])</f>
        <v>13</v>
      </c>
    </row>
    <row r="248" spans="1:15" x14ac:dyDescent="0.25">
      <c r="A248" s="4" t="s">
        <v>495</v>
      </c>
      <c r="B248" s="4" t="s">
        <v>526</v>
      </c>
      <c r="C248" s="4">
        <v>1</v>
      </c>
      <c r="D248" s="4"/>
      <c r="E248" s="4"/>
      <c r="F248" s="4"/>
      <c r="G248" s="4"/>
      <c r="H248" s="4">
        <v>2</v>
      </c>
      <c r="I248" s="4">
        <v>1</v>
      </c>
      <c r="J248" s="4">
        <v>1</v>
      </c>
      <c r="K248" s="4"/>
      <c r="L248" s="4">
        <v>2</v>
      </c>
      <c r="M248" s="4">
        <v>2</v>
      </c>
      <c r="N248" s="4">
        <v>3</v>
      </c>
      <c r="O248" s="5">
        <f>SUM(Tabela32[[#This Row],[jan/23]:[dez/23]])</f>
        <v>12</v>
      </c>
    </row>
    <row r="249" spans="1:15" x14ac:dyDescent="0.25">
      <c r="A249" s="4" t="s">
        <v>493</v>
      </c>
      <c r="B249" s="4" t="s">
        <v>748</v>
      </c>
      <c r="C249" s="4">
        <v>1</v>
      </c>
      <c r="D249" s="4">
        <v>1</v>
      </c>
      <c r="E249" s="4">
        <v>1</v>
      </c>
      <c r="F249" s="4">
        <v>4</v>
      </c>
      <c r="G249" s="4">
        <v>5</v>
      </c>
      <c r="H249" s="4"/>
      <c r="I249" s="4"/>
      <c r="J249" s="4"/>
      <c r="K249" s="4"/>
      <c r="L249" s="4"/>
      <c r="M249" s="4"/>
      <c r="N249" s="4"/>
      <c r="O249" s="5">
        <f>SUM(Tabela32[[#This Row],[jan/23]:[dez/23]])</f>
        <v>12</v>
      </c>
    </row>
    <row r="250" spans="1:15" x14ac:dyDescent="0.25">
      <c r="A250" s="4" t="s">
        <v>491</v>
      </c>
      <c r="B250" s="4" t="s">
        <v>749</v>
      </c>
      <c r="C250" s="4">
        <v>3</v>
      </c>
      <c r="D250" s="4">
        <v>1</v>
      </c>
      <c r="E250" s="4">
        <v>1</v>
      </c>
      <c r="F250" s="4"/>
      <c r="G250" s="4"/>
      <c r="H250" s="4"/>
      <c r="I250" s="4"/>
      <c r="J250" s="4">
        <v>1</v>
      </c>
      <c r="K250" s="4">
        <v>1</v>
      </c>
      <c r="L250" s="4">
        <v>3</v>
      </c>
      <c r="M250" s="4">
        <v>1</v>
      </c>
      <c r="N250" s="4">
        <v>1</v>
      </c>
      <c r="O250" s="5">
        <f>SUM(Tabela32[[#This Row],[jan/23]:[dez/23]])</f>
        <v>12</v>
      </c>
    </row>
    <row r="251" spans="1:15" x14ac:dyDescent="0.25">
      <c r="A251" s="4" t="s">
        <v>489</v>
      </c>
      <c r="B251" s="4" t="s">
        <v>590</v>
      </c>
      <c r="C251" s="4"/>
      <c r="D251" s="4"/>
      <c r="E251" s="4"/>
      <c r="F251" s="4">
        <v>1</v>
      </c>
      <c r="G251" s="4">
        <v>3</v>
      </c>
      <c r="H251" s="4">
        <v>1</v>
      </c>
      <c r="I251" s="4"/>
      <c r="J251" s="4"/>
      <c r="K251" s="4">
        <v>4</v>
      </c>
      <c r="L251" s="4">
        <v>2</v>
      </c>
      <c r="M251" s="4"/>
      <c r="N251" s="4"/>
      <c r="O251" s="5">
        <f>SUM(Tabela32[[#This Row],[jan/23]:[dez/23]])</f>
        <v>11</v>
      </c>
    </row>
    <row r="252" spans="1:15" x14ac:dyDescent="0.25">
      <c r="A252" s="4" t="s">
        <v>487</v>
      </c>
      <c r="B252" s="4" t="s">
        <v>530</v>
      </c>
      <c r="C252" s="4"/>
      <c r="D252" s="4"/>
      <c r="E252" s="4"/>
      <c r="F252" s="4"/>
      <c r="G252" s="4">
        <v>10</v>
      </c>
      <c r="H252" s="4"/>
      <c r="I252" s="4"/>
      <c r="J252" s="4"/>
      <c r="K252" s="4"/>
      <c r="L252" s="4"/>
      <c r="M252" s="4"/>
      <c r="N252" s="4"/>
      <c r="O252" s="5">
        <f>SUM(Tabela32[[#This Row],[jan/23]:[dez/23]])</f>
        <v>10</v>
      </c>
    </row>
    <row r="253" spans="1:15" x14ac:dyDescent="0.25">
      <c r="A253" s="4" t="s">
        <v>485</v>
      </c>
      <c r="B253" s="4" t="s">
        <v>627</v>
      </c>
      <c r="C253" s="4">
        <v>1</v>
      </c>
      <c r="D253" s="4">
        <v>1</v>
      </c>
      <c r="E253" s="4"/>
      <c r="F253" s="4">
        <v>3</v>
      </c>
      <c r="G253" s="4">
        <v>2</v>
      </c>
      <c r="H253" s="4"/>
      <c r="I253" s="4">
        <v>1</v>
      </c>
      <c r="J253" s="4">
        <v>1</v>
      </c>
      <c r="K253" s="4"/>
      <c r="L253" s="4"/>
      <c r="M253" s="4"/>
      <c r="N253" s="4">
        <v>1</v>
      </c>
      <c r="O253" s="5">
        <f>SUM(Tabela32[[#This Row],[jan/23]:[dez/23]])</f>
        <v>10</v>
      </c>
    </row>
    <row r="254" spans="1:15" x14ac:dyDescent="0.25">
      <c r="A254" s="4" t="s">
        <v>483</v>
      </c>
      <c r="B254" s="4" t="s">
        <v>348</v>
      </c>
      <c r="C254" s="4">
        <v>2</v>
      </c>
      <c r="D254" s="4"/>
      <c r="E254" s="4">
        <v>2</v>
      </c>
      <c r="F254" s="4">
        <v>3</v>
      </c>
      <c r="G254" s="4">
        <v>1</v>
      </c>
      <c r="H254" s="4">
        <v>2</v>
      </c>
      <c r="I254" s="4"/>
      <c r="J254" s="4"/>
      <c r="K254" s="4"/>
      <c r="L254" s="4"/>
      <c r="M254" s="4"/>
      <c r="N254" s="4"/>
      <c r="O254" s="5">
        <f>SUM(Tabela32[[#This Row],[jan/23]:[dez/23]])</f>
        <v>10</v>
      </c>
    </row>
    <row r="255" spans="1:15" x14ac:dyDescent="0.25">
      <c r="A255" s="4" t="s">
        <v>481</v>
      </c>
      <c r="B255" s="4" t="s">
        <v>300</v>
      </c>
      <c r="C255" s="4"/>
      <c r="D255" s="4">
        <v>1</v>
      </c>
      <c r="E255" s="4">
        <v>1</v>
      </c>
      <c r="F255" s="4"/>
      <c r="G255" s="4">
        <v>1</v>
      </c>
      <c r="H255" s="4"/>
      <c r="I255" s="4"/>
      <c r="J255" s="4"/>
      <c r="K255" s="4"/>
      <c r="L255" s="4"/>
      <c r="M255" s="4">
        <v>1</v>
      </c>
      <c r="N255" s="4">
        <v>5</v>
      </c>
      <c r="O255" s="5">
        <f>SUM(Tabela32[[#This Row],[jan/23]:[dez/23]])</f>
        <v>9</v>
      </c>
    </row>
    <row r="256" spans="1:15" x14ac:dyDescent="0.25">
      <c r="A256" s="4" t="s">
        <v>479</v>
      </c>
      <c r="B256" s="4" t="s">
        <v>596</v>
      </c>
      <c r="C256" s="4">
        <v>1</v>
      </c>
      <c r="D256" s="4"/>
      <c r="E256" s="4"/>
      <c r="F256" s="4"/>
      <c r="G256" s="4"/>
      <c r="H256" s="4"/>
      <c r="I256" s="4"/>
      <c r="J256" s="4"/>
      <c r="K256" s="4"/>
      <c r="L256" s="4"/>
      <c r="M256" s="4">
        <v>4</v>
      </c>
      <c r="N256" s="4">
        <v>4</v>
      </c>
      <c r="O256" s="5">
        <f>SUM(Tabela32[[#This Row],[jan/23]:[dez/23]])</f>
        <v>9</v>
      </c>
    </row>
    <row r="257" spans="1:15" x14ac:dyDescent="0.25">
      <c r="A257" s="4" t="s">
        <v>477</v>
      </c>
      <c r="B257" s="4" t="s">
        <v>486</v>
      </c>
      <c r="C257" s="4"/>
      <c r="D257" s="4"/>
      <c r="E257" s="4"/>
      <c r="F257" s="4"/>
      <c r="G257" s="4">
        <v>1</v>
      </c>
      <c r="H257" s="4">
        <v>1</v>
      </c>
      <c r="I257" s="4">
        <v>3</v>
      </c>
      <c r="J257" s="4">
        <v>1</v>
      </c>
      <c r="K257" s="4"/>
      <c r="L257" s="4"/>
      <c r="M257" s="4">
        <v>3</v>
      </c>
      <c r="N257" s="4"/>
      <c r="O257" s="5">
        <f>SUM(Tabela32[[#This Row],[jan/23]:[dez/23]])</f>
        <v>9</v>
      </c>
    </row>
    <row r="258" spans="1:15" x14ac:dyDescent="0.25">
      <c r="A258" s="4" t="s">
        <v>475</v>
      </c>
      <c r="B258" s="4" t="s">
        <v>685</v>
      </c>
      <c r="C258" s="4"/>
      <c r="D258" s="4">
        <v>2</v>
      </c>
      <c r="E258" s="4">
        <v>1</v>
      </c>
      <c r="F258" s="4"/>
      <c r="G258" s="4">
        <v>2</v>
      </c>
      <c r="H258" s="4">
        <v>3</v>
      </c>
      <c r="I258" s="4"/>
      <c r="J258" s="4"/>
      <c r="K258" s="4"/>
      <c r="L258" s="4"/>
      <c r="M258" s="4"/>
      <c r="N258" s="4">
        <v>1</v>
      </c>
      <c r="O258" s="5">
        <f>SUM(Tabela32[[#This Row],[jan/23]:[dez/23]])</f>
        <v>9</v>
      </c>
    </row>
    <row r="259" spans="1:15" x14ac:dyDescent="0.25">
      <c r="A259" s="4" t="s">
        <v>555</v>
      </c>
      <c r="B259" s="4" t="s">
        <v>632</v>
      </c>
      <c r="C259" s="4"/>
      <c r="D259" s="4"/>
      <c r="E259" s="4"/>
      <c r="F259" s="4">
        <v>1</v>
      </c>
      <c r="G259" s="4">
        <v>1</v>
      </c>
      <c r="H259" s="4"/>
      <c r="I259" s="4"/>
      <c r="J259" s="4">
        <v>1</v>
      </c>
      <c r="K259" s="4">
        <v>1</v>
      </c>
      <c r="L259" s="4">
        <v>2</v>
      </c>
      <c r="M259" s="4">
        <v>3</v>
      </c>
      <c r="N259" s="4"/>
      <c r="O259" s="5">
        <f>SUM(Tabela32[[#This Row],[jan/23]:[dez/23]])</f>
        <v>9</v>
      </c>
    </row>
    <row r="260" spans="1:15" x14ac:dyDescent="0.25">
      <c r="A260" s="4" t="s">
        <v>556</v>
      </c>
      <c r="B260" s="4" t="s">
        <v>724</v>
      </c>
      <c r="C260" s="4"/>
      <c r="D260" s="4"/>
      <c r="E260" s="4"/>
      <c r="F260" s="4"/>
      <c r="G260" s="4">
        <v>1</v>
      </c>
      <c r="H260" s="4">
        <v>1</v>
      </c>
      <c r="I260" s="4">
        <v>1</v>
      </c>
      <c r="J260" s="4">
        <v>1</v>
      </c>
      <c r="K260" s="4"/>
      <c r="L260" s="4">
        <v>1</v>
      </c>
      <c r="M260" s="4"/>
      <c r="N260" s="4">
        <v>3</v>
      </c>
      <c r="O260" s="5">
        <f>SUM(Tabela32[[#This Row],[jan/23]:[dez/23]])</f>
        <v>8</v>
      </c>
    </row>
    <row r="261" spans="1:15" x14ac:dyDescent="0.25">
      <c r="A261" s="4" t="s">
        <v>557</v>
      </c>
      <c r="B261" s="4" t="s">
        <v>492</v>
      </c>
      <c r="C261" s="4"/>
      <c r="D261" s="4"/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2</v>
      </c>
      <c r="K261" s="4"/>
      <c r="L261" s="4">
        <v>1</v>
      </c>
      <c r="M261" s="4"/>
      <c r="N261" s="4"/>
      <c r="O261" s="5">
        <f>SUM(Tabela32[[#This Row],[jan/23]:[dez/23]])</f>
        <v>8</v>
      </c>
    </row>
    <row r="262" spans="1:15" x14ac:dyDescent="0.25">
      <c r="A262" s="4" t="s">
        <v>558</v>
      </c>
      <c r="B262" s="4" t="s">
        <v>750</v>
      </c>
      <c r="C262" s="4"/>
      <c r="D262" s="4"/>
      <c r="E262" s="4"/>
      <c r="F262" s="4"/>
      <c r="G262" s="4"/>
      <c r="H262" s="4"/>
      <c r="I262" s="4">
        <v>1</v>
      </c>
      <c r="J262" s="4">
        <v>2</v>
      </c>
      <c r="K262" s="4">
        <v>1</v>
      </c>
      <c r="L262" s="4">
        <v>2</v>
      </c>
      <c r="M262" s="4"/>
      <c r="N262" s="4">
        <v>1</v>
      </c>
      <c r="O262" s="5">
        <f>SUM(Tabela32[[#This Row],[jan/23]:[dez/23]])</f>
        <v>7</v>
      </c>
    </row>
    <row r="263" spans="1:15" x14ac:dyDescent="0.25">
      <c r="A263" s="4" t="s">
        <v>559</v>
      </c>
      <c r="B263" s="4" t="s">
        <v>508</v>
      </c>
      <c r="C263" s="4"/>
      <c r="D263" s="4"/>
      <c r="E263" s="4">
        <v>1</v>
      </c>
      <c r="F263" s="4">
        <v>2</v>
      </c>
      <c r="G263" s="4">
        <v>2</v>
      </c>
      <c r="H263" s="4"/>
      <c r="I263" s="4">
        <v>1</v>
      </c>
      <c r="J263" s="4">
        <v>1</v>
      </c>
      <c r="K263" s="4"/>
      <c r="L263" s="4"/>
      <c r="M263" s="4"/>
      <c r="N263" s="4"/>
      <c r="O263" s="5">
        <f>SUM(Tabela32[[#This Row],[jan/23]:[dez/23]])</f>
        <v>7</v>
      </c>
    </row>
    <row r="264" spans="1:15" x14ac:dyDescent="0.25">
      <c r="A264" s="4" t="s">
        <v>561</v>
      </c>
      <c r="B264" s="4" t="s">
        <v>406</v>
      </c>
      <c r="C264" s="4">
        <v>1</v>
      </c>
      <c r="D264" s="4"/>
      <c r="E264" s="4">
        <v>1</v>
      </c>
      <c r="F264" s="4"/>
      <c r="G264" s="4"/>
      <c r="H264" s="4"/>
      <c r="I264" s="4"/>
      <c r="J264" s="4">
        <v>2</v>
      </c>
      <c r="K264" s="4"/>
      <c r="L264" s="4"/>
      <c r="M264" s="4"/>
      <c r="N264" s="4">
        <v>3</v>
      </c>
      <c r="O264" s="5">
        <f>SUM(Tabela32[[#This Row],[jan/23]:[dez/23]])</f>
        <v>7</v>
      </c>
    </row>
    <row r="265" spans="1:15" x14ac:dyDescent="0.25">
      <c r="A265" s="4" t="s">
        <v>563</v>
      </c>
      <c r="B265" s="4" t="s">
        <v>708</v>
      </c>
      <c r="C265" s="4">
        <v>1</v>
      </c>
      <c r="D265" s="4">
        <v>1</v>
      </c>
      <c r="E265" s="4"/>
      <c r="F265" s="4"/>
      <c r="G265" s="4">
        <v>1</v>
      </c>
      <c r="H265" s="4">
        <v>2</v>
      </c>
      <c r="I265" s="4"/>
      <c r="J265" s="4"/>
      <c r="K265" s="4"/>
      <c r="L265" s="4"/>
      <c r="M265" s="4"/>
      <c r="N265" s="4">
        <v>1</v>
      </c>
      <c r="O265" s="5">
        <f>SUM(Tabela32[[#This Row],[jan/23]:[dez/23]])</f>
        <v>6</v>
      </c>
    </row>
    <row r="266" spans="1:15" x14ac:dyDescent="0.25">
      <c r="A266" s="4" t="s">
        <v>564</v>
      </c>
      <c r="B266" s="4" t="s">
        <v>709</v>
      </c>
      <c r="C266" s="4"/>
      <c r="D266" s="4"/>
      <c r="E266" s="4"/>
      <c r="F266" s="4"/>
      <c r="G266" s="4">
        <v>2</v>
      </c>
      <c r="H266" s="4">
        <v>1</v>
      </c>
      <c r="I266" s="4">
        <v>1</v>
      </c>
      <c r="J266" s="4">
        <v>1</v>
      </c>
      <c r="K266" s="4"/>
      <c r="L266" s="4">
        <v>1</v>
      </c>
      <c r="M266" s="4"/>
      <c r="N266" s="4"/>
      <c r="O266" s="5">
        <f>SUM(Tabela32[[#This Row],[jan/23]:[dez/23]])</f>
        <v>6</v>
      </c>
    </row>
    <row r="267" spans="1:15" x14ac:dyDescent="0.25">
      <c r="A267" s="4" t="s">
        <v>566</v>
      </c>
      <c r="B267" s="4" t="s">
        <v>751</v>
      </c>
      <c r="C267" s="4"/>
      <c r="D267" s="4"/>
      <c r="E267" s="4"/>
      <c r="F267" s="4"/>
      <c r="G267" s="4">
        <v>1</v>
      </c>
      <c r="H267" s="4">
        <v>1</v>
      </c>
      <c r="I267" s="4">
        <v>4</v>
      </c>
      <c r="J267" s="4"/>
      <c r="K267" s="4"/>
      <c r="L267" s="4"/>
      <c r="M267" s="4"/>
      <c r="N267" s="4"/>
      <c r="O267" s="5">
        <f>SUM(Tabela32[[#This Row],[jan/23]:[dez/23]])</f>
        <v>6</v>
      </c>
    </row>
    <row r="268" spans="1:15" x14ac:dyDescent="0.25">
      <c r="A268" s="4" t="s">
        <v>567</v>
      </c>
      <c r="B268" s="4" t="s">
        <v>721</v>
      </c>
      <c r="C268" s="4"/>
      <c r="D268" s="4"/>
      <c r="E268" s="4"/>
      <c r="F268" s="4">
        <v>3</v>
      </c>
      <c r="G268" s="4">
        <v>2</v>
      </c>
      <c r="H268" s="4"/>
      <c r="I268" s="4"/>
      <c r="J268" s="4"/>
      <c r="K268" s="4">
        <v>1</v>
      </c>
      <c r="L268" s="4"/>
      <c r="M268" s="4"/>
      <c r="N268" s="4"/>
      <c r="O268" s="5">
        <f>SUM(Tabela32[[#This Row],[jan/23]:[dez/23]])</f>
        <v>6</v>
      </c>
    </row>
    <row r="269" spans="1:15" x14ac:dyDescent="0.25">
      <c r="A269" s="4" t="s">
        <v>569</v>
      </c>
      <c r="B269" s="4" t="s">
        <v>704</v>
      </c>
      <c r="C269" s="4">
        <v>1</v>
      </c>
      <c r="D269" s="4">
        <v>1</v>
      </c>
      <c r="E269" s="4">
        <v>2</v>
      </c>
      <c r="F269" s="4"/>
      <c r="G269" s="4">
        <v>1</v>
      </c>
      <c r="H269" s="4"/>
      <c r="I269" s="4"/>
      <c r="J269" s="4"/>
      <c r="K269" s="4"/>
      <c r="L269" s="4">
        <v>1</v>
      </c>
      <c r="M269" s="4"/>
      <c r="N269" s="4"/>
      <c r="O269" s="5">
        <f>SUM(Tabela32[[#This Row],[jan/23]:[dez/23]])</f>
        <v>6</v>
      </c>
    </row>
    <row r="270" spans="1:15" x14ac:dyDescent="0.25">
      <c r="A270" s="4" t="s">
        <v>571</v>
      </c>
      <c r="B270" s="4" t="s">
        <v>668</v>
      </c>
      <c r="C270" s="4">
        <v>2</v>
      </c>
      <c r="D270" s="4">
        <v>2</v>
      </c>
      <c r="E270" s="4">
        <v>1</v>
      </c>
      <c r="F270" s="4">
        <v>1</v>
      </c>
      <c r="G270" s="4"/>
      <c r="H270" s="4"/>
      <c r="I270" s="4"/>
      <c r="J270" s="4"/>
      <c r="K270" s="4"/>
      <c r="L270" s="4"/>
      <c r="M270" s="4"/>
      <c r="N270" s="4"/>
      <c r="O270" s="5">
        <f>SUM(Tabela32[[#This Row],[jan/23]:[dez/23]])</f>
        <v>6</v>
      </c>
    </row>
    <row r="271" spans="1:15" x14ac:dyDescent="0.25">
      <c r="A271" s="4" t="s">
        <v>572</v>
      </c>
      <c r="B271" s="4" t="s">
        <v>671</v>
      </c>
      <c r="C271" s="4"/>
      <c r="D271" s="4">
        <v>2</v>
      </c>
      <c r="E271" s="4">
        <v>2</v>
      </c>
      <c r="F271" s="4"/>
      <c r="G271" s="4"/>
      <c r="H271" s="4"/>
      <c r="I271" s="4"/>
      <c r="J271" s="4"/>
      <c r="K271" s="4"/>
      <c r="L271" s="4">
        <v>2</v>
      </c>
      <c r="M271" s="4"/>
      <c r="N271" s="4"/>
      <c r="O271" s="5">
        <f>SUM(Tabela32[[#This Row],[jan/23]:[dez/23]])</f>
        <v>6</v>
      </c>
    </row>
    <row r="272" spans="1:15" x14ac:dyDescent="0.25">
      <c r="A272" s="4" t="s">
        <v>617</v>
      </c>
      <c r="B272" s="4" t="s">
        <v>681</v>
      </c>
      <c r="C272" s="4"/>
      <c r="D272" s="4"/>
      <c r="E272" s="4"/>
      <c r="F272" s="4">
        <v>2</v>
      </c>
      <c r="G272" s="4"/>
      <c r="H272" s="4">
        <v>2</v>
      </c>
      <c r="I272" s="4"/>
      <c r="J272" s="4">
        <v>1</v>
      </c>
      <c r="K272" s="4"/>
      <c r="L272" s="4"/>
      <c r="M272" s="4">
        <v>1</v>
      </c>
      <c r="N272" s="4"/>
      <c r="O272" s="5">
        <f>SUM(Tabela32[[#This Row],[jan/23]:[dez/23]])</f>
        <v>6</v>
      </c>
    </row>
    <row r="273" spans="1:15" x14ac:dyDescent="0.25">
      <c r="A273" s="4" t="s">
        <v>618</v>
      </c>
      <c r="B273" s="4" t="s">
        <v>661</v>
      </c>
      <c r="C273" s="4">
        <v>1</v>
      </c>
      <c r="D273" s="4"/>
      <c r="E273" s="4"/>
      <c r="F273" s="4"/>
      <c r="G273" s="4"/>
      <c r="H273" s="4"/>
      <c r="I273" s="4">
        <v>1</v>
      </c>
      <c r="J273" s="4">
        <v>2</v>
      </c>
      <c r="K273" s="4">
        <v>1</v>
      </c>
      <c r="L273" s="4"/>
      <c r="M273" s="4"/>
      <c r="N273" s="4"/>
      <c r="O273" s="5">
        <f>SUM(Tabela32[[#This Row],[jan/23]:[dez/23]])</f>
        <v>5</v>
      </c>
    </row>
    <row r="274" spans="1:15" x14ac:dyDescent="0.25">
      <c r="A274" s="4" t="s">
        <v>619</v>
      </c>
      <c r="B274" s="4" t="s">
        <v>752</v>
      </c>
      <c r="C274" s="4"/>
      <c r="D274" s="4">
        <v>3</v>
      </c>
      <c r="E274" s="4">
        <v>1</v>
      </c>
      <c r="F274" s="4"/>
      <c r="G274" s="4">
        <v>1</v>
      </c>
      <c r="H274" s="4"/>
      <c r="I274" s="4"/>
      <c r="J274" s="4"/>
      <c r="K274" s="4"/>
      <c r="L274" s="4"/>
      <c r="M274" s="4"/>
      <c r="N274" s="4"/>
      <c r="O274" s="5">
        <f>SUM(Tabela32[[#This Row],[jan/23]:[dez/23]])</f>
        <v>5</v>
      </c>
    </row>
    <row r="275" spans="1:15" x14ac:dyDescent="0.25">
      <c r="A275" s="4" t="s">
        <v>620</v>
      </c>
      <c r="B275" s="4" t="s">
        <v>614</v>
      </c>
      <c r="C275" s="4">
        <v>1</v>
      </c>
      <c r="D275" s="4"/>
      <c r="E275" s="4">
        <v>1</v>
      </c>
      <c r="F275" s="4"/>
      <c r="G275" s="4">
        <v>1</v>
      </c>
      <c r="H275" s="4"/>
      <c r="I275" s="4"/>
      <c r="J275" s="4"/>
      <c r="K275" s="4"/>
      <c r="L275" s="4">
        <v>1</v>
      </c>
      <c r="M275" s="4"/>
      <c r="N275" s="4">
        <v>1</v>
      </c>
      <c r="O275" s="5">
        <f>SUM(Tabela32[[#This Row],[jan/23]:[dez/23]])</f>
        <v>5</v>
      </c>
    </row>
    <row r="276" spans="1:15" x14ac:dyDescent="0.25">
      <c r="A276" s="4" t="s">
        <v>621</v>
      </c>
      <c r="B276" s="4" t="s">
        <v>550</v>
      </c>
      <c r="C276" s="4"/>
      <c r="D276" s="4"/>
      <c r="E276" s="4"/>
      <c r="F276" s="4"/>
      <c r="G276" s="4"/>
      <c r="H276" s="4"/>
      <c r="I276" s="4"/>
      <c r="J276" s="4"/>
      <c r="K276" s="4"/>
      <c r="L276" s="4">
        <v>2</v>
      </c>
      <c r="M276" s="4">
        <v>1</v>
      </c>
      <c r="N276" s="4">
        <v>2</v>
      </c>
      <c r="O276" s="5">
        <f>SUM(Tabela32[[#This Row],[jan/23]:[dez/23]])</f>
        <v>5</v>
      </c>
    </row>
    <row r="277" spans="1:15" x14ac:dyDescent="0.25">
      <c r="A277" s="4" t="s">
        <v>623</v>
      </c>
      <c r="B277" s="4" t="s">
        <v>753</v>
      </c>
      <c r="C277" s="4">
        <v>1</v>
      </c>
      <c r="D277" s="4"/>
      <c r="E277" s="4"/>
      <c r="F277" s="4"/>
      <c r="G277" s="4"/>
      <c r="H277" s="4"/>
      <c r="I277" s="4"/>
      <c r="J277" s="4"/>
      <c r="K277" s="4">
        <v>1</v>
      </c>
      <c r="L277" s="4"/>
      <c r="M277" s="4"/>
      <c r="N277" s="4">
        <v>1</v>
      </c>
      <c r="O277" s="5">
        <f>SUM(Tabela32[[#This Row],[jan/23]:[dez/23]])</f>
        <v>3</v>
      </c>
    </row>
    <row r="278" spans="1:15" x14ac:dyDescent="0.25">
      <c r="A278" s="4" t="s">
        <v>624</v>
      </c>
      <c r="B278" s="4" t="s">
        <v>714</v>
      </c>
      <c r="C278" s="4">
        <v>1</v>
      </c>
      <c r="D278" s="4"/>
      <c r="E278" s="4"/>
      <c r="F278" s="4"/>
      <c r="G278" s="4">
        <v>1</v>
      </c>
      <c r="H278" s="4"/>
      <c r="I278" s="4"/>
      <c r="J278" s="4"/>
      <c r="K278" s="4"/>
      <c r="L278" s="4">
        <v>1</v>
      </c>
      <c r="M278" s="4"/>
      <c r="N278" s="4"/>
      <c r="O278" s="5">
        <f>SUM(Tabela32[[#This Row],[jan/23]:[dez/23]])</f>
        <v>3</v>
      </c>
    </row>
    <row r="279" spans="1:15" x14ac:dyDescent="0.25">
      <c r="A279" s="4" t="s">
        <v>626</v>
      </c>
      <c r="B279" s="4" t="s">
        <v>754</v>
      </c>
      <c r="C279" s="4"/>
      <c r="D279" s="4"/>
      <c r="E279" s="4"/>
      <c r="F279" s="4">
        <v>1</v>
      </c>
      <c r="G279" s="4"/>
      <c r="H279" s="4">
        <v>2</v>
      </c>
      <c r="I279" s="4"/>
      <c r="J279" s="4"/>
      <c r="K279" s="4"/>
      <c r="L279" s="4"/>
      <c r="M279" s="4"/>
      <c r="N279" s="4"/>
      <c r="O279" s="5">
        <f>SUM(Tabela32[[#This Row],[jan/23]:[dez/23]])</f>
        <v>3</v>
      </c>
    </row>
    <row r="280" spans="1:15" x14ac:dyDescent="0.25">
      <c r="A280" s="4" t="s">
        <v>628</v>
      </c>
      <c r="B280" s="4" t="s">
        <v>755</v>
      </c>
      <c r="C280" s="4"/>
      <c r="D280" s="4">
        <v>1</v>
      </c>
      <c r="E280" s="4">
        <v>1</v>
      </c>
      <c r="F280" s="4"/>
      <c r="G280" s="4"/>
      <c r="H280" s="4"/>
      <c r="I280" s="4"/>
      <c r="J280" s="4">
        <v>1</v>
      </c>
      <c r="K280" s="4"/>
      <c r="L280" s="4"/>
      <c r="M280" s="4"/>
      <c r="N280" s="4"/>
      <c r="O280" s="5">
        <f>SUM(Tabela32[[#This Row],[jan/23]:[dez/23]])</f>
        <v>3</v>
      </c>
    </row>
    <row r="281" spans="1:15" x14ac:dyDescent="0.25">
      <c r="A281" s="4" t="s">
        <v>630</v>
      </c>
      <c r="B281" s="4" t="s">
        <v>756</v>
      </c>
      <c r="C281" s="4"/>
      <c r="D281" s="4"/>
      <c r="E281" s="4"/>
      <c r="F281" s="4"/>
      <c r="G281" s="4">
        <v>1</v>
      </c>
      <c r="H281" s="4"/>
      <c r="I281" s="4">
        <v>1</v>
      </c>
      <c r="J281" s="4"/>
      <c r="K281" s="4">
        <v>1</v>
      </c>
      <c r="L281" s="4"/>
      <c r="M281" s="4"/>
      <c r="N281" s="4"/>
      <c r="O281" s="5">
        <f>SUM(Tabela32[[#This Row],[jan/23]:[dez/23]])</f>
        <v>3</v>
      </c>
    </row>
    <row r="282" spans="1:15" x14ac:dyDescent="0.25">
      <c r="A282" s="4" t="s">
        <v>631</v>
      </c>
      <c r="B282" s="4" t="s">
        <v>757</v>
      </c>
      <c r="C282" s="4"/>
      <c r="D282" s="4"/>
      <c r="E282" s="4"/>
      <c r="F282" s="4"/>
      <c r="G282" s="4"/>
      <c r="H282" s="4">
        <v>1</v>
      </c>
      <c r="I282" s="4"/>
      <c r="J282" s="4">
        <v>1</v>
      </c>
      <c r="K282" s="4"/>
      <c r="L282" s="4"/>
      <c r="M282" s="4"/>
      <c r="N282" s="4">
        <v>1</v>
      </c>
      <c r="O282" s="5">
        <f>SUM(Tabela32[[#This Row],[jan/23]:[dez/23]])</f>
        <v>3</v>
      </c>
    </row>
    <row r="283" spans="1:15" x14ac:dyDescent="0.25">
      <c r="A283" s="4" t="s">
        <v>633</v>
      </c>
      <c r="B283" s="4" t="s">
        <v>356</v>
      </c>
      <c r="C283" s="4">
        <v>1</v>
      </c>
      <c r="D283" s="4"/>
      <c r="E283" s="4"/>
      <c r="F283" s="4"/>
      <c r="G283" s="4"/>
      <c r="H283" s="4"/>
      <c r="I283" s="4">
        <v>1</v>
      </c>
      <c r="J283" s="4">
        <v>1</v>
      </c>
      <c r="K283" s="4"/>
      <c r="L283" s="4"/>
      <c r="M283" s="4"/>
      <c r="N283" s="4"/>
      <c r="O283" s="5">
        <f>SUM(Tabela32[[#This Row],[jan/23]:[dez/23]])</f>
        <v>3</v>
      </c>
    </row>
    <row r="284" spans="1:15" x14ac:dyDescent="0.25">
      <c r="A284" s="4" t="s">
        <v>635</v>
      </c>
      <c r="B284" s="4" t="s">
        <v>659</v>
      </c>
      <c r="C284" s="4">
        <v>1</v>
      </c>
      <c r="D284" s="4"/>
      <c r="E284" s="4"/>
      <c r="F284" s="4"/>
      <c r="G284" s="4"/>
      <c r="H284" s="4"/>
      <c r="I284" s="4"/>
      <c r="J284" s="4"/>
      <c r="K284" s="4">
        <v>1</v>
      </c>
      <c r="L284" s="4"/>
      <c r="M284" s="4"/>
      <c r="N284" s="4"/>
      <c r="O284" s="5">
        <f>SUM(Tabela32[[#This Row],[jan/23]:[dez/23]])</f>
        <v>2</v>
      </c>
    </row>
    <row r="285" spans="1:15" x14ac:dyDescent="0.25">
      <c r="A285" s="4" t="s">
        <v>637</v>
      </c>
      <c r="B285" s="4" t="s">
        <v>758</v>
      </c>
      <c r="C285" s="4"/>
      <c r="D285" s="4"/>
      <c r="E285" s="4"/>
      <c r="F285" s="4"/>
      <c r="G285" s="4"/>
      <c r="H285" s="4">
        <v>1</v>
      </c>
      <c r="I285" s="4">
        <v>1</v>
      </c>
      <c r="J285" s="4"/>
      <c r="K285" s="4"/>
      <c r="L285" s="4"/>
      <c r="M285" s="4"/>
      <c r="N285" s="4"/>
      <c r="O285" s="5">
        <f>SUM(Tabela32[[#This Row],[jan/23]:[dez/23]])</f>
        <v>2</v>
      </c>
    </row>
    <row r="286" spans="1:15" x14ac:dyDescent="0.25">
      <c r="A286" s="4" t="s">
        <v>638</v>
      </c>
      <c r="B286" s="4" t="s">
        <v>759</v>
      </c>
      <c r="C286" s="4"/>
      <c r="D286" s="4"/>
      <c r="E286" s="4"/>
      <c r="F286" s="4"/>
      <c r="G286" s="4"/>
      <c r="H286" s="4"/>
      <c r="I286" s="4">
        <v>2</v>
      </c>
      <c r="J286" s="4"/>
      <c r="K286" s="4"/>
      <c r="L286" s="4"/>
      <c r="M286" s="4"/>
      <c r="N286" s="4"/>
      <c r="O286" s="5">
        <f>SUM(Tabela32[[#This Row],[jan/23]:[dez/23]])</f>
        <v>2</v>
      </c>
    </row>
    <row r="287" spans="1:15" x14ac:dyDescent="0.25">
      <c r="A287" s="4" t="s">
        <v>639</v>
      </c>
      <c r="B287" s="4" t="s">
        <v>760</v>
      </c>
      <c r="C287" s="4"/>
      <c r="D287" s="4"/>
      <c r="E287" s="4">
        <v>1</v>
      </c>
      <c r="F287" s="4"/>
      <c r="G287" s="4"/>
      <c r="H287" s="4">
        <v>1</v>
      </c>
      <c r="I287" s="4"/>
      <c r="J287" s="4"/>
      <c r="K287" s="4"/>
      <c r="L287" s="4"/>
      <c r="M287" s="4"/>
      <c r="N287" s="4"/>
      <c r="O287" s="5">
        <f>SUM(Tabela32[[#This Row],[jan/23]:[dez/23]])</f>
        <v>2</v>
      </c>
    </row>
    <row r="288" spans="1:15" x14ac:dyDescent="0.25">
      <c r="A288" s="4" t="s">
        <v>641</v>
      </c>
      <c r="B288" s="4" t="s">
        <v>706</v>
      </c>
      <c r="C288" s="4">
        <v>1</v>
      </c>
      <c r="D288" s="4"/>
      <c r="E288" s="4"/>
      <c r="F288" s="4">
        <v>1</v>
      </c>
      <c r="G288" s="4"/>
      <c r="H288" s="4"/>
      <c r="I288" s="4"/>
      <c r="J288" s="4"/>
      <c r="K288" s="4"/>
      <c r="L288" s="4"/>
      <c r="M288" s="4"/>
      <c r="N288" s="4"/>
      <c r="O288" s="5">
        <f>SUM(Tabela32[[#This Row],[jan/23]:[dez/23]])</f>
        <v>2</v>
      </c>
    </row>
    <row r="289" spans="1:15" x14ac:dyDescent="0.25">
      <c r="A289" s="4" t="s">
        <v>642</v>
      </c>
      <c r="B289" s="4" t="s">
        <v>761</v>
      </c>
      <c r="C289" s="4">
        <v>2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>
        <f>SUM(Tabela32[[#This Row],[jan/23]:[dez/23]])</f>
        <v>2</v>
      </c>
    </row>
    <row r="290" spans="1:15" x14ac:dyDescent="0.25">
      <c r="A290" s="4" t="s">
        <v>644</v>
      </c>
      <c r="B290" s="4" t="s">
        <v>718</v>
      </c>
      <c r="C290" s="4"/>
      <c r="D290" s="4"/>
      <c r="E290" s="4"/>
      <c r="F290" s="4"/>
      <c r="G290" s="4">
        <v>1</v>
      </c>
      <c r="H290" s="4">
        <v>1</v>
      </c>
      <c r="I290" s="4"/>
      <c r="J290" s="4"/>
      <c r="K290" s="4"/>
      <c r="L290" s="4"/>
      <c r="M290" s="4"/>
      <c r="N290" s="4"/>
      <c r="O290" s="5">
        <f>SUM(Tabela32[[#This Row],[jan/23]:[dez/23]])</f>
        <v>2</v>
      </c>
    </row>
    <row r="291" spans="1:15" x14ac:dyDescent="0.25">
      <c r="A291" s="4" t="s">
        <v>646</v>
      </c>
      <c r="B291" s="4" t="s">
        <v>464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>
        <v>2</v>
      </c>
      <c r="O291" s="5">
        <f>SUM(Tabela32[[#This Row],[jan/23]:[dez/23]])</f>
        <v>2</v>
      </c>
    </row>
    <row r="292" spans="1:15" x14ac:dyDescent="0.25">
      <c r="A292" s="4" t="s">
        <v>648</v>
      </c>
      <c r="B292" s="4" t="s">
        <v>762</v>
      </c>
      <c r="C292" s="4"/>
      <c r="D292" s="4"/>
      <c r="E292" s="4"/>
      <c r="F292" s="4"/>
      <c r="G292" s="4"/>
      <c r="H292" s="4"/>
      <c r="I292" s="4"/>
      <c r="J292" s="4"/>
      <c r="K292" s="4">
        <v>1</v>
      </c>
      <c r="L292" s="4"/>
      <c r="M292" s="4">
        <v>1</v>
      </c>
      <c r="N292" s="4"/>
      <c r="O292" s="5">
        <f>SUM(Tabela32[[#This Row],[jan/23]:[dez/23]])</f>
        <v>2</v>
      </c>
    </row>
    <row r="293" spans="1:15" x14ac:dyDescent="0.25">
      <c r="A293" s="4" t="s">
        <v>650</v>
      </c>
      <c r="B293" s="4" t="s">
        <v>520</v>
      </c>
      <c r="C293" s="4"/>
      <c r="D293" s="4">
        <v>2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>
        <f>SUM(Tabela32[[#This Row],[jan/23]:[dez/23]])</f>
        <v>2</v>
      </c>
    </row>
    <row r="294" spans="1:15" x14ac:dyDescent="0.25">
      <c r="A294" s="4" t="s">
        <v>651</v>
      </c>
      <c r="B294" s="4" t="s">
        <v>711</v>
      </c>
      <c r="C294" s="4"/>
      <c r="D294" s="4"/>
      <c r="E294" s="4"/>
      <c r="F294" s="4">
        <v>1</v>
      </c>
      <c r="G294" s="4">
        <v>1</v>
      </c>
      <c r="H294" s="4"/>
      <c r="I294" s="4"/>
      <c r="J294" s="4"/>
      <c r="K294" s="4"/>
      <c r="L294" s="4"/>
      <c r="M294" s="4"/>
      <c r="N294" s="4"/>
      <c r="O294" s="5">
        <f>SUM(Tabela32[[#This Row],[jan/23]:[dez/23]])</f>
        <v>2</v>
      </c>
    </row>
    <row r="295" spans="1:15" x14ac:dyDescent="0.25">
      <c r="A295" s="4" t="s">
        <v>653</v>
      </c>
      <c r="B295" s="4" t="s">
        <v>763</v>
      </c>
      <c r="C295" s="4"/>
      <c r="D295" s="4"/>
      <c r="E295" s="4"/>
      <c r="F295" s="4"/>
      <c r="G295" s="4"/>
      <c r="H295" s="4"/>
      <c r="I295" s="4"/>
      <c r="J295" s="4">
        <v>1</v>
      </c>
      <c r="K295" s="4"/>
      <c r="L295" s="4">
        <v>1</v>
      </c>
      <c r="M295" s="4"/>
      <c r="N295" s="4"/>
      <c r="O295" s="5">
        <f>SUM(Tabela32[[#This Row],[jan/23]:[dez/23]])</f>
        <v>2</v>
      </c>
    </row>
    <row r="296" spans="1:15" x14ac:dyDescent="0.25">
      <c r="A296" s="4" t="s">
        <v>655</v>
      </c>
      <c r="B296" s="4" t="s">
        <v>764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>
        <v>2</v>
      </c>
      <c r="O296" s="5">
        <f>SUM(Tabela32[[#This Row],[jan/23]:[dez/23]])</f>
        <v>2</v>
      </c>
    </row>
    <row r="297" spans="1:15" x14ac:dyDescent="0.25">
      <c r="A297" s="4" t="s">
        <v>657</v>
      </c>
      <c r="B297" s="4" t="s">
        <v>684</v>
      </c>
      <c r="C297" s="4"/>
      <c r="D297" s="4"/>
      <c r="E297" s="4">
        <v>1</v>
      </c>
      <c r="F297" s="4"/>
      <c r="G297" s="4"/>
      <c r="H297" s="4"/>
      <c r="I297" s="4"/>
      <c r="J297" s="4"/>
      <c r="K297" s="4"/>
      <c r="L297" s="4"/>
      <c r="M297" s="4"/>
      <c r="N297" s="4"/>
      <c r="O297" s="5">
        <f>SUM(Tabela32[[#This Row],[jan/23]:[dez/23]])</f>
        <v>1</v>
      </c>
    </row>
    <row r="298" spans="1:15" x14ac:dyDescent="0.25">
      <c r="A298" s="4" t="s">
        <v>658</v>
      </c>
      <c r="B298" s="4" t="s">
        <v>682</v>
      </c>
      <c r="C298" s="4"/>
      <c r="D298" s="4"/>
      <c r="E298" s="4"/>
      <c r="F298" s="4"/>
      <c r="G298" s="4"/>
      <c r="H298" s="4"/>
      <c r="I298" s="4"/>
      <c r="J298" s="4"/>
      <c r="K298" s="4">
        <v>1</v>
      </c>
      <c r="L298" s="4"/>
      <c r="M298" s="4"/>
      <c r="N298" s="4"/>
      <c r="O298" s="5">
        <f>SUM(Tabela32[[#This Row],[jan/23]:[dez/23]])</f>
        <v>1</v>
      </c>
    </row>
    <row r="299" spans="1:15" x14ac:dyDescent="0.25">
      <c r="A299" s="4" t="s">
        <v>660</v>
      </c>
      <c r="B299" s="4" t="s">
        <v>765</v>
      </c>
      <c r="C299" s="4"/>
      <c r="D299" s="4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>
        <f>SUM(Tabela32[[#This Row],[jan/23]:[dez/23]])</f>
        <v>1</v>
      </c>
    </row>
    <row r="300" spans="1:15" x14ac:dyDescent="0.25">
      <c r="A300" s="4" t="s">
        <v>693</v>
      </c>
      <c r="B300" s="4" t="s">
        <v>717</v>
      </c>
      <c r="C300" s="4">
        <v>1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>
        <f>SUM(Tabela32[[#This Row],[jan/23]:[dez/23]])</f>
        <v>1</v>
      </c>
    </row>
    <row r="301" spans="1:15" x14ac:dyDescent="0.25">
      <c r="A301" s="4" t="s">
        <v>720</v>
      </c>
      <c r="B301" s="4" t="s">
        <v>716</v>
      </c>
      <c r="C301" s="4"/>
      <c r="D301" s="4"/>
      <c r="E301" s="4"/>
      <c r="F301" s="4">
        <v>1</v>
      </c>
      <c r="G301" s="4"/>
      <c r="H301" s="4"/>
      <c r="I301" s="4"/>
      <c r="J301" s="4"/>
      <c r="K301" s="4"/>
      <c r="L301" s="4"/>
      <c r="M301" s="4"/>
      <c r="N301" s="4"/>
      <c r="O301" s="5">
        <f>SUM(Tabela32[[#This Row],[jan/23]:[dez/23]])</f>
        <v>1</v>
      </c>
    </row>
    <row r="302" spans="1:15" x14ac:dyDescent="0.25">
      <c r="A302" s="4" t="s">
        <v>722</v>
      </c>
      <c r="B302" s="4" t="s">
        <v>766</v>
      </c>
      <c r="C302" s="4"/>
      <c r="D302" s="4"/>
      <c r="E302" s="4"/>
      <c r="F302" s="4"/>
      <c r="G302" s="4"/>
      <c r="H302" s="4">
        <v>1</v>
      </c>
      <c r="I302" s="4"/>
      <c r="J302" s="4"/>
      <c r="K302" s="4"/>
      <c r="L302" s="4"/>
      <c r="M302" s="4"/>
      <c r="N302" s="4"/>
      <c r="O302" s="5">
        <f>SUM(Tabela32[[#This Row],[jan/23]:[dez/23]])</f>
        <v>1</v>
      </c>
    </row>
    <row r="303" spans="1:15" x14ac:dyDescent="0.25">
      <c r="A303" s="4" t="s">
        <v>723</v>
      </c>
      <c r="B303" s="4" t="s">
        <v>686</v>
      </c>
      <c r="C303" s="4"/>
      <c r="D303" s="4"/>
      <c r="E303" s="4"/>
      <c r="F303" s="4"/>
      <c r="G303" s="4"/>
      <c r="H303" s="4"/>
      <c r="I303" s="4">
        <v>1</v>
      </c>
      <c r="J303" s="4"/>
      <c r="K303" s="4"/>
      <c r="L303" s="4"/>
      <c r="M303" s="4"/>
      <c r="N303" s="4"/>
      <c r="O303" s="5">
        <f>SUM(Tabela32[[#This Row],[jan/23]:[dez/23]])</f>
        <v>1</v>
      </c>
    </row>
    <row r="304" spans="1:15" x14ac:dyDescent="0.25">
      <c r="A304" s="4" t="s">
        <v>725</v>
      </c>
      <c r="B304" s="4" t="s">
        <v>767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>
        <v>1</v>
      </c>
      <c r="N304" s="4"/>
      <c r="O304" s="5">
        <f>SUM(Tabela32[[#This Row],[jan/23]:[dez/23]])</f>
        <v>1</v>
      </c>
    </row>
    <row r="305" spans="1:15" x14ac:dyDescent="0.25">
      <c r="A305" s="4" t="s">
        <v>726</v>
      </c>
      <c r="B305" s="4" t="s">
        <v>676</v>
      </c>
      <c r="C305" s="4">
        <v>1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>
        <f>SUM(Tabela32[[#This Row],[jan/23]:[dez/23]])</f>
        <v>1</v>
      </c>
    </row>
    <row r="306" spans="1:15" x14ac:dyDescent="0.25">
      <c r="A306" s="4" t="s">
        <v>727</v>
      </c>
      <c r="B306" s="4" t="s">
        <v>712</v>
      </c>
      <c r="C306" s="4"/>
      <c r="D306" s="4"/>
      <c r="E306" s="4">
        <v>1</v>
      </c>
      <c r="F306" s="4"/>
      <c r="G306" s="4"/>
      <c r="H306" s="4"/>
      <c r="I306" s="4"/>
      <c r="J306" s="4"/>
      <c r="K306" s="4"/>
      <c r="L306" s="4"/>
      <c r="M306" s="4"/>
      <c r="N306" s="4"/>
      <c r="O306" s="5">
        <f>SUM(Tabela32[[#This Row],[jan/23]:[dez/23]])</f>
        <v>1</v>
      </c>
    </row>
    <row r="307" spans="1:15" x14ac:dyDescent="0.25">
      <c r="A307" s="4" t="s">
        <v>768</v>
      </c>
      <c r="B307" s="4" t="s">
        <v>687</v>
      </c>
      <c r="C307" s="4"/>
      <c r="D307" s="4"/>
      <c r="E307" s="4"/>
      <c r="F307" s="4"/>
      <c r="G307" s="4"/>
      <c r="H307" s="4"/>
      <c r="I307" s="4"/>
      <c r="J307" s="4"/>
      <c r="K307" s="4">
        <v>1</v>
      </c>
      <c r="L307" s="4"/>
      <c r="M307" s="4"/>
      <c r="N307" s="4"/>
      <c r="O307" s="5">
        <f>SUM(Tabela32[[#This Row],[jan/23]:[dez/23]])</f>
        <v>1</v>
      </c>
    </row>
    <row r="308" spans="1:15" x14ac:dyDescent="0.25">
      <c r="A308" s="4" t="s">
        <v>769</v>
      </c>
      <c r="B308" s="4" t="s">
        <v>770</v>
      </c>
      <c r="C308" s="4"/>
      <c r="D308" s="4"/>
      <c r="E308" s="4"/>
      <c r="F308" s="4">
        <v>1</v>
      </c>
      <c r="G308" s="4"/>
      <c r="H308" s="4"/>
      <c r="I308" s="4"/>
      <c r="J308" s="4"/>
      <c r="K308" s="4"/>
      <c r="L308" s="4"/>
      <c r="M308" s="4"/>
      <c r="N308" s="4"/>
      <c r="O308" s="5">
        <f>SUM(Tabela32[[#This Row],[jan/23]:[dez/23]])</f>
        <v>1</v>
      </c>
    </row>
    <row r="309" spans="1:15" x14ac:dyDescent="0.25">
      <c r="A309" s="4" t="s">
        <v>771</v>
      </c>
      <c r="B309" s="4" t="s">
        <v>772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>
        <v>1</v>
      </c>
      <c r="N309" s="4"/>
      <c r="O309" s="5">
        <f>SUM(Tabela32[[#This Row],[jan/23]:[dez/23]])</f>
        <v>1</v>
      </c>
    </row>
    <row r="310" spans="1:15" x14ac:dyDescent="0.25">
      <c r="A310" s="4" t="s">
        <v>773</v>
      </c>
      <c r="B310" s="4" t="s">
        <v>774</v>
      </c>
      <c r="C310" s="4"/>
      <c r="D310" s="4"/>
      <c r="E310" s="4"/>
      <c r="F310" s="4"/>
      <c r="G310" s="4"/>
      <c r="H310" s="4"/>
      <c r="I310" s="4"/>
      <c r="J310" s="4">
        <v>1</v>
      </c>
      <c r="K310" s="4"/>
      <c r="L310" s="4"/>
      <c r="M310" s="4"/>
      <c r="N310" s="4"/>
      <c r="O310" s="5">
        <f>SUM(Tabela32[[#This Row],[jan/23]:[dez/23]])</f>
        <v>1</v>
      </c>
    </row>
    <row r="311" spans="1:15" x14ac:dyDescent="0.25">
      <c r="A311" s="4" t="s">
        <v>775</v>
      </c>
      <c r="B311" s="4" t="s">
        <v>678</v>
      </c>
      <c r="C311" s="4"/>
      <c r="D311" s="4"/>
      <c r="E311" s="4"/>
      <c r="F311" s="4"/>
      <c r="G311" s="4">
        <v>1</v>
      </c>
      <c r="H311" s="4"/>
      <c r="I311" s="4"/>
      <c r="J311" s="4"/>
      <c r="K311" s="4"/>
      <c r="L311" s="4"/>
      <c r="M311" s="4"/>
      <c r="N311" s="4"/>
      <c r="O311" s="5">
        <f>SUM(Tabela32[[#This Row],[jan/23]:[dez/23]])</f>
        <v>1</v>
      </c>
    </row>
    <row r="312" spans="1:15" x14ac:dyDescent="0.25">
      <c r="A312" s="4" t="s">
        <v>776</v>
      </c>
      <c r="B312" s="4" t="s">
        <v>777</v>
      </c>
      <c r="C312" s="4"/>
      <c r="D312" s="4"/>
      <c r="E312" s="4"/>
      <c r="F312" s="4"/>
      <c r="G312" s="4"/>
      <c r="H312" s="4">
        <v>1</v>
      </c>
      <c r="I312" s="4"/>
      <c r="J312" s="4"/>
      <c r="K312" s="4"/>
      <c r="L312" s="4"/>
      <c r="M312" s="4"/>
      <c r="N312" s="4"/>
      <c r="O312" s="5">
        <f>SUM(Tabela32[[#This Row],[jan/23]:[dez/23]])</f>
        <v>1</v>
      </c>
    </row>
    <row r="313" spans="1:15" x14ac:dyDescent="0.25">
      <c r="A313" s="4" t="s">
        <v>778</v>
      </c>
      <c r="B313" s="4" t="s">
        <v>779</v>
      </c>
      <c r="C313" s="4"/>
      <c r="D313" s="4"/>
      <c r="E313" s="4"/>
      <c r="F313" s="4"/>
      <c r="G313" s="4">
        <v>1</v>
      </c>
      <c r="H313" s="4"/>
      <c r="I313" s="4"/>
      <c r="J313" s="4"/>
      <c r="K313" s="4"/>
      <c r="L313" s="4"/>
      <c r="M313" s="4"/>
      <c r="N313" s="4"/>
      <c r="O313" s="5">
        <f>SUM(Tabela32[[#This Row],[jan/23]:[dez/23]])</f>
        <v>1</v>
      </c>
    </row>
    <row r="314" spans="1:15" x14ac:dyDescent="0.25">
      <c r="A314" s="4" t="s">
        <v>780</v>
      </c>
      <c r="B314" s="4" t="s">
        <v>781</v>
      </c>
      <c r="C314" s="4"/>
      <c r="D314" s="4"/>
      <c r="E314" s="4"/>
      <c r="F314" s="4"/>
      <c r="G314" s="4"/>
      <c r="H314" s="4"/>
      <c r="I314" s="4"/>
      <c r="J314" s="4"/>
      <c r="K314" s="4">
        <v>1</v>
      </c>
      <c r="L314" s="4"/>
      <c r="M314" s="4"/>
      <c r="N314" s="4"/>
      <c r="O314" s="5">
        <f>SUM(Tabela32[[#This Row],[jan/23]:[dez/23]])</f>
        <v>1</v>
      </c>
    </row>
    <row r="315" spans="1:15" x14ac:dyDescent="0.25">
      <c r="A315" s="4" t="s">
        <v>782</v>
      </c>
      <c r="B315" s="4" t="s">
        <v>783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>
        <v>1</v>
      </c>
      <c r="O315" s="5">
        <f>SUM(Tabela32[[#This Row],[jan/23]:[dez/23]])</f>
        <v>1</v>
      </c>
    </row>
    <row r="316" spans="1:15" x14ac:dyDescent="0.25">
      <c r="A316" s="4" t="s">
        <v>784</v>
      </c>
      <c r="B316" s="4" t="s">
        <v>728</v>
      </c>
      <c r="C316" s="4">
        <v>1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>
        <f>SUM(Tabela32[[#This Row],[jan/23]:[dez/23]])</f>
        <v>1</v>
      </c>
    </row>
    <row r="317" spans="1:15" x14ac:dyDescent="0.25">
      <c r="A317" s="4" t="s">
        <v>785</v>
      </c>
      <c r="B317" s="4" t="s">
        <v>786</v>
      </c>
      <c r="C317" s="4"/>
      <c r="D317" s="4"/>
      <c r="E317" s="4"/>
      <c r="F317" s="4"/>
      <c r="G317" s="4"/>
      <c r="H317" s="4"/>
      <c r="I317" s="4"/>
      <c r="J317" s="4">
        <v>1</v>
      </c>
      <c r="K317" s="4"/>
      <c r="L317" s="4"/>
      <c r="M317" s="4"/>
      <c r="N317" s="4"/>
      <c r="O317" s="5">
        <f>SUM(Tabela32[[#This Row],[jan/23]:[dez/23]])</f>
        <v>1</v>
      </c>
    </row>
    <row r="318" spans="1:15" s="8" customForma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7"/>
    </row>
    <row r="319" spans="1:15" s="8" customForma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7"/>
    </row>
    <row r="320" spans="1:15" s="8" customForma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7"/>
    </row>
    <row r="321" spans="1:15" s="8" customForma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7"/>
    </row>
    <row r="322" spans="1:15" s="8" customFormat="1" x14ac:dyDescent="0.25"/>
    <row r="323" spans="1:15" s="8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3190-EDE7-4336-BDB4-0DC7749FBBBD}">
  <dimension ref="A1:O306"/>
  <sheetViews>
    <sheetView workbookViewId="0">
      <selection sqref="A1:XFD1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8.85546875" bestFit="1" customWidth="1"/>
    <col min="4" max="4" width="9" bestFit="1" customWidth="1"/>
    <col min="5" max="5" width="9.5703125" bestFit="1" customWidth="1"/>
    <col min="6" max="6" width="9" bestFit="1" customWidth="1"/>
    <col min="7" max="7" width="9.42578125" bestFit="1" customWidth="1"/>
    <col min="8" max="8" width="9" bestFit="1" customWidth="1"/>
    <col min="9" max="9" width="8.42578125" bestFit="1" customWidth="1"/>
    <col min="10" max="10" width="9.28515625" bestFit="1" customWidth="1"/>
    <col min="11" max="11" width="8.85546875" bestFit="1" customWidth="1"/>
    <col min="13" max="13" width="9.42578125" bestFit="1" customWidth="1"/>
    <col min="14" max="14" width="9.28515625" bestFit="1" customWidth="1"/>
    <col min="15" max="15" width="8.85546875" bestFit="1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3</v>
      </c>
      <c r="C2" s="5">
        <v>18842</v>
      </c>
      <c r="D2" s="5">
        <v>18392</v>
      </c>
      <c r="E2" s="5">
        <v>18279</v>
      </c>
      <c r="F2" s="5">
        <v>19619</v>
      </c>
      <c r="G2" s="5">
        <v>22279</v>
      </c>
      <c r="H2" s="5">
        <v>19500</v>
      </c>
      <c r="I2" s="5">
        <v>20071</v>
      </c>
      <c r="J2" s="5">
        <v>21377</v>
      </c>
      <c r="K2" s="5">
        <v>21044</v>
      </c>
      <c r="L2" s="5">
        <v>21198</v>
      </c>
      <c r="M2" s="5">
        <v>19186</v>
      </c>
      <c r="N2" s="5">
        <v>21442</v>
      </c>
      <c r="O2" s="5">
        <f>SUM(C2:N2)</f>
        <v>241229</v>
      </c>
    </row>
    <row r="3" spans="1:15" x14ac:dyDescent="0.25">
      <c r="A3" s="4" t="s">
        <v>2</v>
      </c>
      <c r="B3" s="4" t="s">
        <v>404</v>
      </c>
      <c r="C3" s="5">
        <v>8022</v>
      </c>
      <c r="D3" s="5">
        <v>7633</v>
      </c>
      <c r="E3" s="5">
        <v>8341</v>
      </c>
      <c r="F3" s="5">
        <v>8772</v>
      </c>
      <c r="G3" s="5">
        <v>9484</v>
      </c>
      <c r="H3" s="5">
        <v>8398</v>
      </c>
      <c r="I3" s="5">
        <v>9076</v>
      </c>
      <c r="J3" s="5">
        <v>9140</v>
      </c>
      <c r="K3" s="5">
        <v>7891</v>
      </c>
      <c r="L3" s="5">
        <v>9691</v>
      </c>
      <c r="M3" s="5">
        <v>8968</v>
      </c>
      <c r="N3" s="5">
        <v>8922</v>
      </c>
      <c r="O3" s="5">
        <f>SUM(C3:N3)</f>
        <v>104338</v>
      </c>
    </row>
    <row r="4" spans="1:15" x14ac:dyDescent="0.25">
      <c r="A4" s="4" t="s">
        <v>4</v>
      </c>
      <c r="B4" s="4" t="s">
        <v>7</v>
      </c>
      <c r="C4" s="5">
        <v>7249</v>
      </c>
      <c r="D4" s="5">
        <v>8055</v>
      </c>
      <c r="E4" s="5">
        <v>9051</v>
      </c>
      <c r="F4" s="5">
        <v>10386</v>
      </c>
      <c r="G4" s="5">
        <v>10111</v>
      </c>
      <c r="H4" s="5">
        <v>8147</v>
      </c>
      <c r="I4" s="5">
        <v>9205</v>
      </c>
      <c r="J4" s="5">
        <v>8187</v>
      </c>
      <c r="K4" s="5">
        <v>7145</v>
      </c>
      <c r="L4" s="5">
        <v>8332</v>
      </c>
      <c r="M4" s="5">
        <v>8050</v>
      </c>
      <c r="N4" s="5">
        <v>7679</v>
      </c>
      <c r="O4" s="5">
        <f t="shared" ref="O4:O67" si="0">SUM(C4:N4)</f>
        <v>101597</v>
      </c>
    </row>
    <row r="5" spans="1:15" x14ac:dyDescent="0.25">
      <c r="A5" s="4" t="s">
        <v>6</v>
      </c>
      <c r="B5" s="4" t="s">
        <v>26</v>
      </c>
      <c r="C5" s="5">
        <v>5336</v>
      </c>
      <c r="D5" s="5">
        <v>5473</v>
      </c>
      <c r="E5" s="5">
        <v>5853</v>
      </c>
      <c r="F5" s="5">
        <v>7319</v>
      </c>
      <c r="G5" s="5">
        <v>8661</v>
      </c>
      <c r="H5" s="5">
        <v>7882</v>
      </c>
      <c r="I5" s="5">
        <v>8069</v>
      </c>
      <c r="J5" s="5">
        <v>7455</v>
      </c>
      <c r="K5" s="5">
        <v>8826</v>
      </c>
      <c r="L5" s="5">
        <v>6066</v>
      </c>
      <c r="M5" s="5">
        <v>6009</v>
      </c>
      <c r="N5" s="5">
        <v>8174</v>
      </c>
      <c r="O5" s="5">
        <f t="shared" si="0"/>
        <v>85123</v>
      </c>
    </row>
    <row r="6" spans="1:15" x14ac:dyDescent="0.25">
      <c r="A6" s="4" t="s">
        <v>8</v>
      </c>
      <c r="B6" s="4" t="s">
        <v>92</v>
      </c>
      <c r="C6" s="5">
        <v>4966</v>
      </c>
      <c r="D6" s="5">
        <v>4565</v>
      </c>
      <c r="E6" s="5">
        <v>6620</v>
      </c>
      <c r="F6" s="5">
        <v>7180</v>
      </c>
      <c r="G6" s="5">
        <v>8317</v>
      </c>
      <c r="H6" s="5">
        <v>6656</v>
      </c>
      <c r="I6" s="5">
        <v>7275</v>
      </c>
      <c r="J6" s="5">
        <v>7848</v>
      </c>
      <c r="K6" s="5">
        <v>6850</v>
      </c>
      <c r="L6" s="5">
        <v>6570</v>
      </c>
      <c r="M6" s="5">
        <v>6573</v>
      </c>
      <c r="N6" s="5">
        <v>7870</v>
      </c>
      <c r="O6" s="5">
        <f t="shared" si="0"/>
        <v>81290</v>
      </c>
    </row>
    <row r="7" spans="1:15" x14ac:dyDescent="0.25">
      <c r="A7" s="4" t="s">
        <v>10</v>
      </c>
      <c r="B7" s="4" t="s">
        <v>17</v>
      </c>
      <c r="C7" s="5">
        <v>4920</v>
      </c>
      <c r="D7" s="5">
        <v>6674</v>
      </c>
      <c r="E7" s="5">
        <v>4643</v>
      </c>
      <c r="F7" s="5">
        <v>6839</v>
      </c>
      <c r="G7" s="5">
        <v>5599</v>
      </c>
      <c r="H7" s="5">
        <v>7539</v>
      </c>
      <c r="I7" s="5">
        <v>6610</v>
      </c>
      <c r="J7" s="5">
        <v>6560</v>
      </c>
      <c r="K7" s="5">
        <v>5730</v>
      </c>
      <c r="L7" s="5">
        <v>7586</v>
      </c>
      <c r="M7" s="5">
        <v>8270</v>
      </c>
      <c r="N7" s="5">
        <v>8036</v>
      </c>
      <c r="O7" s="5">
        <f t="shared" si="0"/>
        <v>79006</v>
      </c>
    </row>
    <row r="8" spans="1:15" x14ac:dyDescent="0.25">
      <c r="A8" s="4" t="s">
        <v>14</v>
      </c>
      <c r="B8" s="4" t="s">
        <v>1</v>
      </c>
      <c r="C8" s="5">
        <v>4790</v>
      </c>
      <c r="D8" s="5">
        <v>6553</v>
      </c>
      <c r="E8" s="5">
        <v>5286</v>
      </c>
      <c r="F8" s="5">
        <v>6128</v>
      </c>
      <c r="G8" s="5">
        <v>7136</v>
      </c>
      <c r="H8" s="5">
        <v>6417</v>
      </c>
      <c r="I8" s="5">
        <v>7025</v>
      </c>
      <c r="J8" s="5">
        <v>6725</v>
      </c>
      <c r="K8" s="5">
        <v>6573</v>
      </c>
      <c r="L8" s="5">
        <v>6958</v>
      </c>
      <c r="M8" s="5">
        <v>6412</v>
      </c>
      <c r="N8" s="5">
        <v>6276</v>
      </c>
      <c r="O8" s="5">
        <f t="shared" si="0"/>
        <v>76279</v>
      </c>
    </row>
    <row r="9" spans="1:15" x14ac:dyDescent="0.25">
      <c r="A9" s="4" t="s">
        <v>16</v>
      </c>
      <c r="B9" s="4" t="s">
        <v>593</v>
      </c>
      <c r="C9" s="5">
        <v>6924</v>
      </c>
      <c r="D9" s="5">
        <v>6499</v>
      </c>
      <c r="E9" s="5">
        <v>7122</v>
      </c>
      <c r="F9" s="5">
        <v>6726</v>
      </c>
      <c r="G9" s="5">
        <v>7509</v>
      </c>
      <c r="H9" s="5">
        <v>6069</v>
      </c>
      <c r="I9" s="5">
        <v>8377</v>
      </c>
      <c r="J9" s="5">
        <v>7251</v>
      </c>
      <c r="K9" s="5">
        <v>8946</v>
      </c>
      <c r="L9" s="5">
        <v>4259</v>
      </c>
      <c r="M9" s="5">
        <v>2744</v>
      </c>
      <c r="N9" s="5">
        <v>1304</v>
      </c>
      <c r="O9" s="5">
        <f t="shared" si="0"/>
        <v>73730</v>
      </c>
    </row>
    <row r="10" spans="1:15" x14ac:dyDescent="0.25">
      <c r="A10" s="4" t="s">
        <v>18</v>
      </c>
      <c r="B10" s="4" t="s">
        <v>5</v>
      </c>
      <c r="C10" s="5">
        <v>5433</v>
      </c>
      <c r="D10" s="5">
        <v>4813</v>
      </c>
      <c r="E10" s="5">
        <v>5082</v>
      </c>
      <c r="F10" s="5">
        <v>5073</v>
      </c>
      <c r="G10" s="5">
        <v>6199</v>
      </c>
      <c r="H10" s="5">
        <v>5428</v>
      </c>
      <c r="I10" s="5">
        <v>6199</v>
      </c>
      <c r="J10" s="5">
        <v>6815</v>
      </c>
      <c r="K10" s="5">
        <v>6282</v>
      </c>
      <c r="L10" s="5">
        <v>7245</v>
      </c>
      <c r="M10" s="5">
        <v>7168</v>
      </c>
      <c r="N10" s="5">
        <v>6331</v>
      </c>
      <c r="O10" s="5">
        <f t="shared" si="0"/>
        <v>72068</v>
      </c>
    </row>
    <row r="11" spans="1:15" x14ac:dyDescent="0.25">
      <c r="A11" s="4" t="s">
        <v>20</v>
      </c>
      <c r="B11" s="4" t="s">
        <v>30</v>
      </c>
      <c r="C11" s="5">
        <v>4783</v>
      </c>
      <c r="D11" s="5">
        <v>4706</v>
      </c>
      <c r="E11" s="5">
        <v>6184</v>
      </c>
      <c r="F11" s="5">
        <v>5714</v>
      </c>
      <c r="G11" s="5">
        <v>5754</v>
      </c>
      <c r="H11" s="5">
        <v>5911</v>
      </c>
      <c r="I11" s="5">
        <v>5790</v>
      </c>
      <c r="J11" s="5">
        <v>5188</v>
      </c>
      <c r="K11" s="5">
        <v>6089</v>
      </c>
      <c r="L11" s="5">
        <v>6680</v>
      </c>
      <c r="M11" s="5">
        <v>6233</v>
      </c>
      <c r="N11" s="5">
        <v>5705</v>
      </c>
      <c r="O11" s="5">
        <f t="shared" si="0"/>
        <v>68737</v>
      </c>
    </row>
    <row r="12" spans="1:15" x14ac:dyDescent="0.25">
      <c r="A12" s="4" t="s">
        <v>23</v>
      </c>
      <c r="B12" s="4" t="s">
        <v>28</v>
      </c>
      <c r="C12" s="5">
        <v>4033</v>
      </c>
      <c r="D12" s="5">
        <v>3361</v>
      </c>
      <c r="E12" s="5">
        <v>4955</v>
      </c>
      <c r="F12" s="5">
        <v>5478</v>
      </c>
      <c r="G12" s="5">
        <v>5853</v>
      </c>
      <c r="H12" s="5">
        <v>4923</v>
      </c>
      <c r="I12" s="5">
        <v>6212</v>
      </c>
      <c r="J12" s="5">
        <v>5382</v>
      </c>
      <c r="K12" s="5">
        <v>5697</v>
      </c>
      <c r="L12" s="5">
        <v>6914</v>
      </c>
      <c r="M12" s="5">
        <v>6280</v>
      </c>
      <c r="N12" s="5">
        <v>6493</v>
      </c>
      <c r="O12" s="5">
        <f t="shared" si="0"/>
        <v>65581</v>
      </c>
    </row>
    <row r="13" spans="1:15" x14ac:dyDescent="0.25">
      <c r="A13" s="4" t="s">
        <v>25</v>
      </c>
      <c r="B13" s="4" t="s">
        <v>24</v>
      </c>
      <c r="C13" s="5">
        <v>4109</v>
      </c>
      <c r="D13" s="5">
        <v>4371</v>
      </c>
      <c r="E13" s="5">
        <v>4476</v>
      </c>
      <c r="F13" s="5">
        <v>4930</v>
      </c>
      <c r="G13" s="5">
        <v>5071</v>
      </c>
      <c r="H13" s="5">
        <v>5080</v>
      </c>
      <c r="I13" s="5">
        <v>6171</v>
      </c>
      <c r="J13" s="5">
        <v>4843</v>
      </c>
      <c r="K13" s="5">
        <v>4554</v>
      </c>
      <c r="L13" s="5">
        <v>5727</v>
      </c>
      <c r="M13" s="5">
        <v>5200</v>
      </c>
      <c r="N13" s="5">
        <v>5839</v>
      </c>
      <c r="O13" s="5">
        <f t="shared" si="0"/>
        <v>60371</v>
      </c>
    </row>
    <row r="14" spans="1:15" x14ac:dyDescent="0.25">
      <c r="A14" s="4" t="s">
        <v>27</v>
      </c>
      <c r="B14" s="4" t="s">
        <v>21</v>
      </c>
      <c r="C14" s="5">
        <v>3236</v>
      </c>
      <c r="D14" s="5">
        <v>3984</v>
      </c>
      <c r="E14" s="5">
        <v>3792</v>
      </c>
      <c r="F14" s="5">
        <v>4387</v>
      </c>
      <c r="G14" s="5">
        <v>4212</v>
      </c>
      <c r="H14" s="5">
        <v>4638</v>
      </c>
      <c r="I14" s="5">
        <v>5307</v>
      </c>
      <c r="J14" s="5">
        <v>6643</v>
      </c>
      <c r="K14" s="5">
        <v>4713</v>
      </c>
      <c r="L14" s="5">
        <v>5324</v>
      </c>
      <c r="M14" s="5">
        <v>4610</v>
      </c>
      <c r="N14" s="5">
        <v>6625</v>
      </c>
      <c r="O14" s="5">
        <f t="shared" si="0"/>
        <v>57471</v>
      </c>
    </row>
    <row r="15" spans="1:15" x14ac:dyDescent="0.25">
      <c r="A15" s="4" t="s">
        <v>29</v>
      </c>
      <c r="B15" s="4" t="s">
        <v>48</v>
      </c>
      <c r="C15" s="5">
        <v>4075</v>
      </c>
      <c r="D15" s="5">
        <v>3358</v>
      </c>
      <c r="E15" s="5">
        <v>3890</v>
      </c>
      <c r="F15" s="5">
        <v>4667</v>
      </c>
      <c r="G15" s="5">
        <v>5182</v>
      </c>
      <c r="H15" s="5">
        <v>4915</v>
      </c>
      <c r="I15" s="5">
        <v>5936</v>
      </c>
      <c r="J15" s="5">
        <v>4621</v>
      </c>
      <c r="K15" s="5">
        <v>4077</v>
      </c>
      <c r="L15" s="5">
        <v>6211</v>
      </c>
      <c r="M15" s="5">
        <v>4560</v>
      </c>
      <c r="N15" s="5">
        <v>5220</v>
      </c>
      <c r="O15" s="5">
        <f t="shared" si="0"/>
        <v>56712</v>
      </c>
    </row>
    <row r="16" spans="1:15" x14ac:dyDescent="0.25">
      <c r="A16" s="4" t="s">
        <v>31</v>
      </c>
      <c r="B16" s="4" t="s">
        <v>36</v>
      </c>
      <c r="C16" s="5">
        <v>3486</v>
      </c>
      <c r="D16" s="5">
        <v>4137</v>
      </c>
      <c r="E16" s="5">
        <v>4864</v>
      </c>
      <c r="F16" s="5">
        <v>4121</v>
      </c>
      <c r="G16" s="5">
        <v>4520</v>
      </c>
      <c r="H16" s="5">
        <v>4703</v>
      </c>
      <c r="I16" s="5">
        <v>5299</v>
      </c>
      <c r="J16" s="5">
        <v>3887</v>
      </c>
      <c r="K16" s="5">
        <v>4497</v>
      </c>
      <c r="L16" s="5">
        <v>5550</v>
      </c>
      <c r="M16" s="5">
        <v>5035</v>
      </c>
      <c r="N16" s="5">
        <v>5971</v>
      </c>
      <c r="O16" s="5">
        <f t="shared" si="0"/>
        <v>56070</v>
      </c>
    </row>
    <row r="17" spans="1:15" x14ac:dyDescent="0.25">
      <c r="A17" s="4" t="s">
        <v>33</v>
      </c>
      <c r="B17" s="4" t="s">
        <v>15</v>
      </c>
      <c r="C17" s="5">
        <v>4413</v>
      </c>
      <c r="D17" s="5">
        <v>4885</v>
      </c>
      <c r="E17" s="5">
        <v>3099</v>
      </c>
      <c r="F17" s="5">
        <v>4179</v>
      </c>
      <c r="G17" s="5">
        <v>5160</v>
      </c>
      <c r="H17" s="5">
        <v>4639</v>
      </c>
      <c r="I17" s="5">
        <v>4702</v>
      </c>
      <c r="J17" s="5">
        <v>5418</v>
      </c>
      <c r="K17" s="5">
        <v>4377</v>
      </c>
      <c r="L17" s="5">
        <v>4569</v>
      </c>
      <c r="M17" s="5">
        <v>3775</v>
      </c>
      <c r="N17" s="5">
        <v>4228</v>
      </c>
      <c r="O17" s="5">
        <f t="shared" si="0"/>
        <v>53444</v>
      </c>
    </row>
    <row r="18" spans="1:15" x14ac:dyDescent="0.25">
      <c r="A18" s="4" t="s">
        <v>35</v>
      </c>
      <c r="B18" s="4" t="s">
        <v>452</v>
      </c>
      <c r="C18" s="5">
        <v>2685</v>
      </c>
      <c r="D18" s="5">
        <v>3018</v>
      </c>
      <c r="E18" s="5">
        <v>3319</v>
      </c>
      <c r="F18" s="5">
        <v>5610</v>
      </c>
      <c r="G18" s="5">
        <v>4200</v>
      </c>
      <c r="H18" s="5">
        <v>4055</v>
      </c>
      <c r="I18" s="5">
        <v>4572</v>
      </c>
      <c r="J18" s="5">
        <v>4593</v>
      </c>
      <c r="K18" s="5">
        <v>4450</v>
      </c>
      <c r="L18" s="5">
        <v>5083</v>
      </c>
      <c r="M18" s="5">
        <v>5159</v>
      </c>
      <c r="N18" s="5">
        <v>4518</v>
      </c>
      <c r="O18" s="5">
        <f t="shared" si="0"/>
        <v>51262</v>
      </c>
    </row>
    <row r="19" spans="1:15" x14ac:dyDescent="0.25">
      <c r="A19" s="4" t="s">
        <v>37</v>
      </c>
      <c r="B19" s="4" t="s">
        <v>100</v>
      </c>
      <c r="C19" s="5">
        <v>3650</v>
      </c>
      <c r="D19" s="5">
        <v>3604</v>
      </c>
      <c r="E19" s="5">
        <v>4334</v>
      </c>
      <c r="F19" s="5">
        <v>3917</v>
      </c>
      <c r="G19" s="5">
        <v>3834</v>
      </c>
      <c r="H19" s="5">
        <v>3007</v>
      </c>
      <c r="I19" s="5">
        <v>2954</v>
      </c>
      <c r="J19" s="5">
        <v>5347</v>
      </c>
      <c r="K19" s="5">
        <v>5355</v>
      </c>
      <c r="L19" s="5">
        <v>4288</v>
      </c>
      <c r="M19" s="5">
        <v>4388</v>
      </c>
      <c r="N19" s="5">
        <v>5608</v>
      </c>
      <c r="O19" s="5">
        <f t="shared" si="0"/>
        <v>50286</v>
      </c>
    </row>
    <row r="20" spans="1:15" x14ac:dyDescent="0.25">
      <c r="A20" s="4" t="s">
        <v>39</v>
      </c>
      <c r="B20" s="4" t="s">
        <v>34</v>
      </c>
      <c r="C20" s="5">
        <v>3667</v>
      </c>
      <c r="D20" s="5">
        <v>4256</v>
      </c>
      <c r="E20" s="5">
        <v>3796</v>
      </c>
      <c r="F20" s="5">
        <v>3927</v>
      </c>
      <c r="G20" s="5">
        <v>4155</v>
      </c>
      <c r="H20" s="5">
        <v>3897</v>
      </c>
      <c r="I20" s="5">
        <v>3856</v>
      </c>
      <c r="J20" s="5">
        <v>4054</v>
      </c>
      <c r="K20" s="5">
        <v>3839</v>
      </c>
      <c r="L20" s="5">
        <v>4137</v>
      </c>
      <c r="M20" s="5">
        <v>4762</v>
      </c>
      <c r="N20" s="5">
        <v>5145</v>
      </c>
      <c r="O20" s="5">
        <f t="shared" si="0"/>
        <v>49491</v>
      </c>
    </row>
    <row r="21" spans="1:15" x14ac:dyDescent="0.25">
      <c r="A21" s="4" t="s">
        <v>41</v>
      </c>
      <c r="B21" s="4" t="s">
        <v>62</v>
      </c>
      <c r="C21" s="5">
        <v>3591</v>
      </c>
      <c r="D21" s="5">
        <v>3106</v>
      </c>
      <c r="E21" s="5">
        <v>3083</v>
      </c>
      <c r="F21" s="5">
        <v>3466</v>
      </c>
      <c r="G21" s="5">
        <v>5015</v>
      </c>
      <c r="H21" s="5">
        <v>3704</v>
      </c>
      <c r="I21" s="5">
        <v>3811</v>
      </c>
      <c r="J21" s="5">
        <v>4334</v>
      </c>
      <c r="K21" s="5">
        <v>4043</v>
      </c>
      <c r="L21" s="5">
        <v>4457</v>
      </c>
      <c r="M21" s="5">
        <v>4204</v>
      </c>
      <c r="N21" s="5">
        <v>4069</v>
      </c>
      <c r="O21" s="5">
        <f t="shared" si="0"/>
        <v>46883</v>
      </c>
    </row>
    <row r="22" spans="1:15" x14ac:dyDescent="0.25">
      <c r="A22" s="4" t="s">
        <v>43</v>
      </c>
      <c r="B22" s="4" t="s">
        <v>44</v>
      </c>
      <c r="C22" s="5">
        <v>2849</v>
      </c>
      <c r="D22" s="5">
        <v>2928</v>
      </c>
      <c r="E22" s="5">
        <v>2927</v>
      </c>
      <c r="F22" s="5">
        <v>3341</v>
      </c>
      <c r="G22" s="5">
        <v>3687</v>
      </c>
      <c r="H22" s="5">
        <v>3257</v>
      </c>
      <c r="I22" s="5">
        <v>3500</v>
      </c>
      <c r="J22" s="5">
        <v>4235</v>
      </c>
      <c r="K22" s="5">
        <v>4247</v>
      </c>
      <c r="L22" s="5">
        <v>4503</v>
      </c>
      <c r="M22" s="5">
        <v>3440</v>
      </c>
      <c r="N22" s="5">
        <v>3358</v>
      </c>
      <c r="O22" s="5">
        <f t="shared" si="0"/>
        <v>42272</v>
      </c>
    </row>
    <row r="23" spans="1:15" x14ac:dyDescent="0.25">
      <c r="A23" s="4" t="s">
        <v>45</v>
      </c>
      <c r="B23" s="4" t="s">
        <v>38</v>
      </c>
      <c r="C23" s="5">
        <v>3257</v>
      </c>
      <c r="D23" s="5">
        <v>2882</v>
      </c>
      <c r="E23" s="5">
        <v>3093</v>
      </c>
      <c r="F23" s="5">
        <v>3846</v>
      </c>
      <c r="G23" s="5">
        <v>3675</v>
      </c>
      <c r="H23" s="5">
        <v>3043</v>
      </c>
      <c r="I23" s="5">
        <v>3855</v>
      </c>
      <c r="J23" s="5">
        <v>3300</v>
      </c>
      <c r="K23" s="5">
        <v>3187</v>
      </c>
      <c r="L23" s="5">
        <v>3395</v>
      </c>
      <c r="M23" s="5">
        <v>3225</v>
      </c>
      <c r="N23" s="5">
        <v>3650</v>
      </c>
      <c r="O23" s="5">
        <f t="shared" si="0"/>
        <v>40408</v>
      </c>
    </row>
    <row r="24" spans="1:15" x14ac:dyDescent="0.25">
      <c r="A24" s="4" t="s">
        <v>47</v>
      </c>
      <c r="B24" s="4" t="s">
        <v>432</v>
      </c>
      <c r="C24" s="5">
        <v>4085</v>
      </c>
      <c r="D24" s="5">
        <v>3795</v>
      </c>
      <c r="E24" s="5">
        <v>3450</v>
      </c>
      <c r="F24" s="5">
        <v>3501</v>
      </c>
      <c r="G24" s="5">
        <v>3330</v>
      </c>
      <c r="H24" s="5">
        <v>2645</v>
      </c>
      <c r="I24" s="5">
        <v>3312</v>
      </c>
      <c r="J24" s="5">
        <v>2979</v>
      </c>
      <c r="K24" s="5">
        <v>2552</v>
      </c>
      <c r="L24" s="5">
        <v>2762</v>
      </c>
      <c r="M24" s="5">
        <v>2650</v>
      </c>
      <c r="N24" s="5">
        <v>3425</v>
      </c>
      <c r="O24" s="5">
        <f t="shared" si="0"/>
        <v>38486</v>
      </c>
    </row>
    <row r="25" spans="1:15" x14ac:dyDescent="0.25">
      <c r="A25" s="4" t="s">
        <v>49</v>
      </c>
      <c r="B25" s="4" t="s">
        <v>64</v>
      </c>
      <c r="C25" s="5">
        <v>2890</v>
      </c>
      <c r="D25" s="5">
        <v>2828</v>
      </c>
      <c r="E25" s="5">
        <v>3067</v>
      </c>
      <c r="F25" s="5">
        <v>3162</v>
      </c>
      <c r="G25" s="5">
        <v>3222</v>
      </c>
      <c r="H25" s="5">
        <v>2877</v>
      </c>
      <c r="I25" s="5">
        <v>3488</v>
      </c>
      <c r="J25" s="5">
        <v>3008</v>
      </c>
      <c r="K25" s="5">
        <v>2711</v>
      </c>
      <c r="L25" s="5">
        <v>3192</v>
      </c>
      <c r="M25" s="5">
        <v>3347</v>
      </c>
      <c r="N25" s="5">
        <v>3898</v>
      </c>
      <c r="O25" s="5">
        <f t="shared" si="0"/>
        <v>37690</v>
      </c>
    </row>
    <row r="26" spans="1:15" x14ac:dyDescent="0.25">
      <c r="A26" s="4" t="s">
        <v>51</v>
      </c>
      <c r="B26" s="4" t="s">
        <v>11</v>
      </c>
      <c r="C26" s="4"/>
      <c r="D26" s="4">
        <v>38</v>
      </c>
      <c r="E26" s="4">
        <v>150</v>
      </c>
      <c r="F26" s="5">
        <v>1859</v>
      </c>
      <c r="G26" s="5">
        <v>3003</v>
      </c>
      <c r="H26" s="5">
        <v>2918</v>
      </c>
      <c r="I26" s="5">
        <v>3151</v>
      </c>
      <c r="J26" s="5">
        <v>4224</v>
      </c>
      <c r="K26" s="5">
        <v>3776</v>
      </c>
      <c r="L26" s="5">
        <v>5084</v>
      </c>
      <c r="M26" s="5">
        <v>6256</v>
      </c>
      <c r="N26" s="5">
        <v>6631</v>
      </c>
      <c r="O26" s="5">
        <f t="shared" si="0"/>
        <v>37090</v>
      </c>
    </row>
    <row r="27" spans="1:15" x14ac:dyDescent="0.25">
      <c r="A27" s="4" t="s">
        <v>53</v>
      </c>
      <c r="B27" s="4" t="s">
        <v>58</v>
      </c>
      <c r="C27" s="5">
        <v>2068</v>
      </c>
      <c r="D27" s="5">
        <v>2116</v>
      </c>
      <c r="E27" s="5">
        <v>2187</v>
      </c>
      <c r="F27" s="5">
        <v>3116</v>
      </c>
      <c r="G27" s="5">
        <v>3724</v>
      </c>
      <c r="H27" s="5">
        <v>2624</v>
      </c>
      <c r="I27" s="5">
        <v>3400</v>
      </c>
      <c r="J27" s="5">
        <v>3536</v>
      </c>
      <c r="K27" s="5">
        <v>3334</v>
      </c>
      <c r="L27" s="5">
        <v>2769</v>
      </c>
      <c r="M27" s="5">
        <v>2596</v>
      </c>
      <c r="N27" s="5">
        <v>3423</v>
      </c>
      <c r="O27" s="5">
        <f t="shared" si="0"/>
        <v>34893</v>
      </c>
    </row>
    <row r="28" spans="1:15" x14ac:dyDescent="0.25">
      <c r="A28" s="4" t="s">
        <v>55</v>
      </c>
      <c r="B28" s="4" t="s">
        <v>454</v>
      </c>
      <c r="C28" s="5">
        <v>2798</v>
      </c>
      <c r="D28" s="5">
        <v>2246</v>
      </c>
      <c r="E28" s="5">
        <v>2573</v>
      </c>
      <c r="F28" s="5">
        <v>2716</v>
      </c>
      <c r="G28" s="5">
        <v>2716</v>
      </c>
      <c r="H28" s="5">
        <v>2384</v>
      </c>
      <c r="I28" s="5">
        <v>2530</v>
      </c>
      <c r="J28" s="5">
        <v>3017</v>
      </c>
      <c r="K28" s="5">
        <v>3262</v>
      </c>
      <c r="L28" s="5">
        <v>3478</v>
      </c>
      <c r="M28" s="5">
        <v>3211</v>
      </c>
      <c r="N28" s="5">
        <v>3276</v>
      </c>
      <c r="O28" s="5">
        <f t="shared" si="0"/>
        <v>34207</v>
      </c>
    </row>
    <row r="29" spans="1:15" x14ac:dyDescent="0.25">
      <c r="A29" s="4" t="s">
        <v>57</v>
      </c>
      <c r="B29" s="4" t="s">
        <v>56</v>
      </c>
      <c r="C29" s="5">
        <v>2183</v>
      </c>
      <c r="D29" s="5">
        <v>1907</v>
      </c>
      <c r="E29" s="5">
        <v>1865</v>
      </c>
      <c r="F29" s="5">
        <v>2292</v>
      </c>
      <c r="G29" s="5">
        <v>2997</v>
      </c>
      <c r="H29" s="5">
        <v>2871</v>
      </c>
      <c r="I29" s="5">
        <v>3093</v>
      </c>
      <c r="J29" s="5">
        <v>3053</v>
      </c>
      <c r="K29" s="5">
        <v>2957</v>
      </c>
      <c r="L29" s="5">
        <v>2633</v>
      </c>
      <c r="M29" s="5">
        <v>2622</v>
      </c>
      <c r="N29" s="5">
        <v>3693</v>
      </c>
      <c r="O29" s="5">
        <f t="shared" si="0"/>
        <v>32166</v>
      </c>
    </row>
    <row r="30" spans="1:15" x14ac:dyDescent="0.25">
      <c r="A30" s="4" t="s">
        <v>59</v>
      </c>
      <c r="B30" s="4" t="s">
        <v>130</v>
      </c>
      <c r="C30" s="5">
        <v>2645</v>
      </c>
      <c r="D30" s="5">
        <v>1721</v>
      </c>
      <c r="E30" s="5">
        <v>2325</v>
      </c>
      <c r="F30" s="5">
        <v>2945</v>
      </c>
      <c r="G30" s="5">
        <v>3170</v>
      </c>
      <c r="H30" s="5">
        <v>2563</v>
      </c>
      <c r="I30" s="5">
        <v>3010</v>
      </c>
      <c r="J30" s="5">
        <v>2856</v>
      </c>
      <c r="K30" s="5">
        <v>2260</v>
      </c>
      <c r="L30" s="5">
        <v>2499</v>
      </c>
      <c r="M30" s="5">
        <v>2189</v>
      </c>
      <c r="N30" s="5">
        <v>3878</v>
      </c>
      <c r="O30" s="5">
        <f t="shared" si="0"/>
        <v>32061</v>
      </c>
    </row>
    <row r="31" spans="1:15" x14ac:dyDescent="0.25">
      <c r="A31" s="4" t="s">
        <v>61</v>
      </c>
      <c r="B31" s="4" t="s">
        <v>76</v>
      </c>
      <c r="C31" s="5">
        <v>2027</v>
      </c>
      <c r="D31" s="5">
        <v>1857</v>
      </c>
      <c r="E31" s="5">
        <v>3182</v>
      </c>
      <c r="F31" s="5">
        <v>3459</v>
      </c>
      <c r="G31" s="5">
        <v>2256</v>
      </c>
      <c r="H31" s="5">
        <v>1970</v>
      </c>
      <c r="I31" s="5">
        <v>2487</v>
      </c>
      <c r="J31" s="5">
        <v>2365</v>
      </c>
      <c r="K31" s="5">
        <v>2140</v>
      </c>
      <c r="L31" s="5">
        <v>2387</v>
      </c>
      <c r="M31" s="5">
        <v>2588</v>
      </c>
      <c r="N31" s="5">
        <v>3045</v>
      </c>
      <c r="O31" s="5">
        <f t="shared" si="0"/>
        <v>29763</v>
      </c>
    </row>
    <row r="32" spans="1:15" x14ac:dyDescent="0.25">
      <c r="A32" s="4" t="s">
        <v>63</v>
      </c>
      <c r="B32" s="4" t="s">
        <v>260</v>
      </c>
      <c r="C32" s="5">
        <v>2557</v>
      </c>
      <c r="D32" s="5">
        <v>1746</v>
      </c>
      <c r="E32" s="5">
        <v>1872</v>
      </c>
      <c r="F32" s="5">
        <v>1871</v>
      </c>
      <c r="G32" s="5">
        <v>1841</v>
      </c>
      <c r="H32" s="5">
        <v>3898</v>
      </c>
      <c r="I32" s="5">
        <v>2680</v>
      </c>
      <c r="J32" s="5">
        <v>2073</v>
      </c>
      <c r="K32" s="5">
        <v>2729</v>
      </c>
      <c r="L32" s="5">
        <v>2799</v>
      </c>
      <c r="M32" s="5">
        <v>2837</v>
      </c>
      <c r="N32" s="5">
        <v>1760</v>
      </c>
      <c r="O32" s="5">
        <f t="shared" si="0"/>
        <v>28663</v>
      </c>
    </row>
    <row r="33" spans="1:15" x14ac:dyDescent="0.25">
      <c r="A33" s="4" t="s">
        <v>65</v>
      </c>
      <c r="B33" s="4" t="s">
        <v>70</v>
      </c>
      <c r="C33" s="5">
        <v>1970</v>
      </c>
      <c r="D33" s="5">
        <v>1134</v>
      </c>
      <c r="E33" s="5">
        <v>2037</v>
      </c>
      <c r="F33" s="5">
        <v>2210</v>
      </c>
      <c r="G33" s="5">
        <v>2701</v>
      </c>
      <c r="H33" s="5">
        <v>2322</v>
      </c>
      <c r="I33" s="5">
        <v>3114</v>
      </c>
      <c r="J33" s="5">
        <v>2810</v>
      </c>
      <c r="K33" s="5">
        <v>2268</v>
      </c>
      <c r="L33" s="5">
        <v>2536</v>
      </c>
      <c r="M33" s="5">
        <v>2967</v>
      </c>
      <c r="N33" s="5">
        <v>2295</v>
      </c>
      <c r="O33" s="5">
        <f t="shared" si="0"/>
        <v>28364</v>
      </c>
    </row>
    <row r="34" spans="1:15" x14ac:dyDescent="0.25">
      <c r="A34" s="4" t="s">
        <v>67</v>
      </c>
      <c r="B34" s="4" t="s">
        <v>232</v>
      </c>
      <c r="C34" s="5">
        <v>1840</v>
      </c>
      <c r="D34" s="5">
        <v>2153</v>
      </c>
      <c r="E34" s="5">
        <v>2100</v>
      </c>
      <c r="F34" s="5">
        <v>2201</v>
      </c>
      <c r="G34" s="5">
        <v>2954</v>
      </c>
      <c r="H34" s="5">
        <v>2338</v>
      </c>
      <c r="I34" s="5">
        <v>2402</v>
      </c>
      <c r="J34" s="5">
        <v>1736</v>
      </c>
      <c r="K34" s="5">
        <v>2377</v>
      </c>
      <c r="L34" s="5">
        <v>2536</v>
      </c>
      <c r="M34" s="5">
        <v>2283</v>
      </c>
      <c r="N34" s="5">
        <v>2402</v>
      </c>
      <c r="O34" s="5">
        <f t="shared" si="0"/>
        <v>27322</v>
      </c>
    </row>
    <row r="35" spans="1:15" x14ac:dyDescent="0.25">
      <c r="A35" s="4" t="s">
        <v>69</v>
      </c>
      <c r="B35" s="4" t="s">
        <v>112</v>
      </c>
      <c r="C35" s="5">
        <v>1078</v>
      </c>
      <c r="D35" s="5">
        <v>1786</v>
      </c>
      <c r="E35" s="5">
        <v>3661</v>
      </c>
      <c r="F35" s="5">
        <v>2275</v>
      </c>
      <c r="G35" s="5">
        <v>2273</v>
      </c>
      <c r="H35" s="5">
        <v>1625</v>
      </c>
      <c r="I35" s="5">
        <v>1272</v>
      </c>
      <c r="J35" s="5">
        <v>2280</v>
      </c>
      <c r="K35" s="5">
        <v>2014</v>
      </c>
      <c r="L35" s="5">
        <v>2394</v>
      </c>
      <c r="M35" s="5">
        <v>3227</v>
      </c>
      <c r="N35" s="5">
        <v>3120</v>
      </c>
      <c r="O35" s="5">
        <f t="shared" si="0"/>
        <v>27005</v>
      </c>
    </row>
    <row r="36" spans="1:15" x14ac:dyDescent="0.25">
      <c r="A36" s="4" t="s">
        <v>71</v>
      </c>
      <c r="B36" s="4" t="s">
        <v>9</v>
      </c>
      <c r="C36" s="4"/>
      <c r="D36" s="4"/>
      <c r="E36" s="4"/>
      <c r="F36" s="4"/>
      <c r="G36" s="4"/>
      <c r="H36" s="4"/>
      <c r="I36" s="4"/>
      <c r="J36" s="5">
        <v>1018</v>
      </c>
      <c r="K36" s="4">
        <v>617</v>
      </c>
      <c r="L36" s="5">
        <v>7140</v>
      </c>
      <c r="M36" s="5">
        <v>8092</v>
      </c>
      <c r="N36" s="5">
        <v>9989</v>
      </c>
      <c r="O36" s="5">
        <f t="shared" si="0"/>
        <v>26856</v>
      </c>
    </row>
    <row r="37" spans="1:15" x14ac:dyDescent="0.25">
      <c r="A37" s="4" t="s">
        <v>73</v>
      </c>
      <c r="B37" s="4" t="s">
        <v>66</v>
      </c>
      <c r="C37" s="5">
        <v>1911</v>
      </c>
      <c r="D37" s="5">
        <v>1686</v>
      </c>
      <c r="E37" s="5">
        <v>1892</v>
      </c>
      <c r="F37" s="5">
        <v>2015</v>
      </c>
      <c r="G37" s="5">
        <v>2490</v>
      </c>
      <c r="H37" s="5">
        <v>3019</v>
      </c>
      <c r="I37" s="5">
        <v>1777</v>
      </c>
      <c r="J37" s="5">
        <v>1253</v>
      </c>
      <c r="K37" s="5">
        <v>2055</v>
      </c>
      <c r="L37" s="5">
        <v>2075</v>
      </c>
      <c r="M37" s="5">
        <v>2749</v>
      </c>
      <c r="N37" s="5">
        <v>3171</v>
      </c>
      <c r="O37" s="5">
        <f t="shared" si="0"/>
        <v>26093</v>
      </c>
    </row>
    <row r="38" spans="1:15" x14ac:dyDescent="0.25">
      <c r="A38" s="4" t="s">
        <v>75</v>
      </c>
      <c r="B38" s="4" t="s">
        <v>519</v>
      </c>
      <c r="C38" s="5">
        <v>2101</v>
      </c>
      <c r="D38" s="5">
        <v>2278</v>
      </c>
      <c r="E38" s="5">
        <v>2306</v>
      </c>
      <c r="F38" s="5">
        <v>2441</v>
      </c>
      <c r="G38" s="5">
        <v>2317</v>
      </c>
      <c r="H38" s="5">
        <v>1753</v>
      </c>
      <c r="I38" s="5">
        <v>2233</v>
      </c>
      <c r="J38" s="5">
        <v>2023</v>
      </c>
      <c r="K38" s="5">
        <v>1965</v>
      </c>
      <c r="L38" s="5">
        <v>1961</v>
      </c>
      <c r="M38" s="5">
        <v>1552</v>
      </c>
      <c r="N38" s="5">
        <v>1530</v>
      </c>
      <c r="O38" s="5">
        <f t="shared" si="0"/>
        <v>24460</v>
      </c>
    </row>
    <row r="39" spans="1:15" x14ac:dyDescent="0.25">
      <c r="A39" s="4" t="s">
        <v>77</v>
      </c>
      <c r="B39" s="4" t="s">
        <v>40</v>
      </c>
      <c r="C39" s="5">
        <v>2577</v>
      </c>
      <c r="D39" s="5">
        <v>1572</v>
      </c>
      <c r="E39" s="5">
        <v>1333</v>
      </c>
      <c r="F39" s="5">
        <v>1897</v>
      </c>
      <c r="G39" s="5">
        <v>2059</v>
      </c>
      <c r="H39" s="5">
        <v>1553</v>
      </c>
      <c r="I39" s="5">
        <v>1392</v>
      </c>
      <c r="J39" s="5">
        <v>1782</v>
      </c>
      <c r="K39" s="5">
        <v>2102</v>
      </c>
      <c r="L39" s="5">
        <v>2533</v>
      </c>
      <c r="M39" s="5">
        <v>2196</v>
      </c>
      <c r="N39" s="5">
        <v>3085</v>
      </c>
      <c r="O39" s="5">
        <f t="shared" si="0"/>
        <v>24081</v>
      </c>
    </row>
    <row r="40" spans="1:15" x14ac:dyDescent="0.25">
      <c r="A40" s="4" t="s">
        <v>79</v>
      </c>
      <c r="B40" s="4" t="s">
        <v>74</v>
      </c>
      <c r="C40" s="5">
        <v>1531</v>
      </c>
      <c r="D40" s="5">
        <v>1400</v>
      </c>
      <c r="E40" s="5">
        <v>1343</v>
      </c>
      <c r="F40" s="5">
        <v>1704</v>
      </c>
      <c r="G40" s="5">
        <v>1892</v>
      </c>
      <c r="H40" s="5">
        <v>1871</v>
      </c>
      <c r="I40" s="5">
        <v>1830</v>
      </c>
      <c r="J40" s="5">
        <v>2133</v>
      </c>
      <c r="K40" s="5">
        <v>2107</v>
      </c>
      <c r="L40" s="5">
        <v>2329</v>
      </c>
      <c r="M40" s="5">
        <v>1754</v>
      </c>
      <c r="N40" s="5">
        <v>2327</v>
      </c>
      <c r="O40" s="5">
        <f t="shared" si="0"/>
        <v>22221</v>
      </c>
    </row>
    <row r="41" spans="1:15" x14ac:dyDescent="0.25">
      <c r="A41" s="4" t="s">
        <v>81</v>
      </c>
      <c r="B41" s="4" t="s">
        <v>98</v>
      </c>
      <c r="C41" s="5">
        <v>1795</v>
      </c>
      <c r="D41" s="5">
        <v>1773</v>
      </c>
      <c r="E41" s="5">
        <v>2115</v>
      </c>
      <c r="F41" s="5">
        <v>1294</v>
      </c>
      <c r="G41" s="5">
        <v>1712</v>
      </c>
      <c r="H41" s="5">
        <v>1418</v>
      </c>
      <c r="I41" s="5">
        <v>1988</v>
      </c>
      <c r="J41" s="5">
        <v>1875</v>
      </c>
      <c r="K41" s="5">
        <v>1890</v>
      </c>
      <c r="L41" s="5">
        <v>1959</v>
      </c>
      <c r="M41" s="5">
        <v>1721</v>
      </c>
      <c r="N41" s="5">
        <v>2241</v>
      </c>
      <c r="O41" s="5">
        <f t="shared" si="0"/>
        <v>21781</v>
      </c>
    </row>
    <row r="42" spans="1:15" x14ac:dyDescent="0.25">
      <c r="A42" s="4" t="s">
        <v>83</v>
      </c>
      <c r="B42" s="4" t="s">
        <v>372</v>
      </c>
      <c r="C42" s="5">
        <v>1758</v>
      </c>
      <c r="D42" s="5">
        <v>2006</v>
      </c>
      <c r="E42" s="4">
        <v>914</v>
      </c>
      <c r="F42" s="5">
        <v>1435</v>
      </c>
      <c r="G42" s="5">
        <v>1666</v>
      </c>
      <c r="H42" s="5">
        <v>1804</v>
      </c>
      <c r="I42" s="5">
        <v>2202</v>
      </c>
      <c r="J42" s="5">
        <v>2300</v>
      </c>
      <c r="K42" s="5">
        <v>1583</v>
      </c>
      <c r="L42" s="5">
        <v>1531</v>
      </c>
      <c r="M42" s="5">
        <v>1552</v>
      </c>
      <c r="N42" s="5">
        <v>1283</v>
      </c>
      <c r="O42" s="5">
        <f t="shared" si="0"/>
        <v>20034</v>
      </c>
    </row>
    <row r="43" spans="1:15" x14ac:dyDescent="0.25">
      <c r="A43" s="4" t="s">
        <v>85</v>
      </c>
      <c r="B43" s="4" t="s">
        <v>578</v>
      </c>
      <c r="C43" s="5">
        <v>1313</v>
      </c>
      <c r="D43" s="5">
        <v>1298</v>
      </c>
      <c r="E43" s="5">
        <v>1353</v>
      </c>
      <c r="F43" s="5">
        <v>1797</v>
      </c>
      <c r="G43" s="5">
        <v>1762</v>
      </c>
      <c r="H43" s="5">
        <v>1436</v>
      </c>
      <c r="I43" s="5">
        <v>1866</v>
      </c>
      <c r="J43" s="5">
        <v>1359</v>
      </c>
      <c r="K43" s="5">
        <v>1345</v>
      </c>
      <c r="L43" s="5">
        <v>1686</v>
      </c>
      <c r="M43" s="5">
        <v>1566</v>
      </c>
      <c r="N43" s="5">
        <v>2182</v>
      </c>
      <c r="O43" s="5">
        <f t="shared" si="0"/>
        <v>18963</v>
      </c>
    </row>
    <row r="44" spans="1:15" x14ac:dyDescent="0.25">
      <c r="A44" s="4" t="s">
        <v>87</v>
      </c>
      <c r="B44" s="4" t="s">
        <v>104</v>
      </c>
      <c r="C44" s="5">
        <v>1431</v>
      </c>
      <c r="D44" s="5">
        <v>1343</v>
      </c>
      <c r="E44" s="5">
        <v>1551</v>
      </c>
      <c r="F44" s="5">
        <v>1848</v>
      </c>
      <c r="G44" s="5">
        <v>1750</v>
      </c>
      <c r="H44" s="5">
        <v>1511</v>
      </c>
      <c r="I44" s="5">
        <v>1668</v>
      </c>
      <c r="J44" s="5">
        <v>1638</v>
      </c>
      <c r="K44" s="5">
        <v>1787</v>
      </c>
      <c r="L44" s="5">
        <v>1172</v>
      </c>
      <c r="M44" s="5">
        <v>1525</v>
      </c>
      <c r="N44" s="5">
        <v>1694</v>
      </c>
      <c r="O44" s="5">
        <f t="shared" si="0"/>
        <v>18918</v>
      </c>
    </row>
    <row r="45" spans="1:15" x14ac:dyDescent="0.25">
      <c r="A45" s="4" t="s">
        <v>89</v>
      </c>
      <c r="B45" s="4" t="s">
        <v>178</v>
      </c>
      <c r="C45" s="5">
        <v>1611</v>
      </c>
      <c r="D45" s="5">
        <v>1463</v>
      </c>
      <c r="E45" s="5">
        <v>1567</v>
      </c>
      <c r="F45" s="5">
        <v>1705</v>
      </c>
      <c r="G45" s="5">
        <v>1470</v>
      </c>
      <c r="H45" s="5">
        <v>1164</v>
      </c>
      <c r="I45" s="5">
        <v>1526</v>
      </c>
      <c r="J45" s="5">
        <v>1488</v>
      </c>
      <c r="K45" s="4">
        <v>980</v>
      </c>
      <c r="L45" s="5">
        <v>1228</v>
      </c>
      <c r="M45" s="5">
        <v>1604</v>
      </c>
      <c r="N45" s="5">
        <v>2027</v>
      </c>
      <c r="O45" s="5">
        <f t="shared" si="0"/>
        <v>17833</v>
      </c>
    </row>
    <row r="46" spans="1:15" x14ac:dyDescent="0.25">
      <c r="A46" s="4" t="s">
        <v>91</v>
      </c>
      <c r="B46" s="4" t="s">
        <v>72</v>
      </c>
      <c r="C46" s="5">
        <v>1134</v>
      </c>
      <c r="D46" s="4">
        <v>995</v>
      </c>
      <c r="E46" s="5">
        <v>1827</v>
      </c>
      <c r="F46" s="4">
        <v>992</v>
      </c>
      <c r="G46" s="5">
        <v>1266</v>
      </c>
      <c r="H46" s="5">
        <v>1341</v>
      </c>
      <c r="I46" s="5">
        <v>2008</v>
      </c>
      <c r="J46" s="5">
        <v>1326</v>
      </c>
      <c r="K46" s="5">
        <v>1578</v>
      </c>
      <c r="L46" s="5">
        <v>1417</v>
      </c>
      <c r="M46" s="5">
        <v>1547</v>
      </c>
      <c r="N46" s="5">
        <v>1912</v>
      </c>
      <c r="O46" s="5">
        <f t="shared" si="0"/>
        <v>17343</v>
      </c>
    </row>
    <row r="47" spans="1:15" x14ac:dyDescent="0.25">
      <c r="A47" s="4" t="s">
        <v>93</v>
      </c>
      <c r="B47" s="4" t="s">
        <v>122</v>
      </c>
      <c r="C47" s="5">
        <v>1016</v>
      </c>
      <c r="D47" s="5">
        <v>1461</v>
      </c>
      <c r="E47" s="5">
        <v>1138</v>
      </c>
      <c r="F47" s="5">
        <v>1502</v>
      </c>
      <c r="G47" s="5">
        <v>1484</v>
      </c>
      <c r="H47" s="5">
        <v>1154</v>
      </c>
      <c r="I47" s="5">
        <v>1474</v>
      </c>
      <c r="J47" s="5">
        <v>1114</v>
      </c>
      <c r="K47" s="5">
        <v>1479</v>
      </c>
      <c r="L47" s="5">
        <v>1577</v>
      </c>
      <c r="M47" s="5">
        <v>1358</v>
      </c>
      <c r="N47" s="5">
        <v>1682</v>
      </c>
      <c r="O47" s="5">
        <f t="shared" si="0"/>
        <v>16439</v>
      </c>
    </row>
    <row r="48" spans="1:15" x14ac:dyDescent="0.25">
      <c r="A48" s="4" t="s">
        <v>95</v>
      </c>
      <c r="B48" s="4" t="s">
        <v>19</v>
      </c>
      <c r="C48" s="5">
        <v>1514</v>
      </c>
      <c r="D48" s="5">
        <v>1200</v>
      </c>
      <c r="E48" s="5">
        <v>1874</v>
      </c>
      <c r="F48" s="5">
        <v>1865</v>
      </c>
      <c r="G48" s="5">
        <v>1031</v>
      </c>
      <c r="H48" s="5">
        <v>1201</v>
      </c>
      <c r="I48" s="5">
        <v>1293</v>
      </c>
      <c r="J48" s="5">
        <v>1290</v>
      </c>
      <c r="K48" s="5">
        <v>1306</v>
      </c>
      <c r="L48" s="5">
        <v>1086</v>
      </c>
      <c r="M48" s="5">
        <v>1150</v>
      </c>
      <c r="N48" s="5">
        <v>1523</v>
      </c>
      <c r="O48" s="5">
        <f t="shared" si="0"/>
        <v>16333</v>
      </c>
    </row>
    <row r="49" spans="1:15" x14ac:dyDescent="0.25">
      <c r="A49" s="4" t="s">
        <v>97</v>
      </c>
      <c r="B49" s="4" t="s">
        <v>390</v>
      </c>
      <c r="C49" s="5">
        <v>1664</v>
      </c>
      <c r="D49" s="5">
        <v>1653</v>
      </c>
      <c r="E49" s="5">
        <v>1192</v>
      </c>
      <c r="F49" s="5">
        <v>1496</v>
      </c>
      <c r="G49" s="5">
        <v>1652</v>
      </c>
      <c r="H49" s="5">
        <v>1520</v>
      </c>
      <c r="I49" s="5">
        <v>1361</v>
      </c>
      <c r="J49" s="4">
        <v>862</v>
      </c>
      <c r="K49" s="5">
        <v>1039</v>
      </c>
      <c r="L49" s="5">
        <v>1490</v>
      </c>
      <c r="M49" s="5">
        <v>1056</v>
      </c>
      <c r="N49" s="5">
        <v>1203</v>
      </c>
      <c r="O49" s="5">
        <f t="shared" si="0"/>
        <v>16188</v>
      </c>
    </row>
    <row r="50" spans="1:15" x14ac:dyDescent="0.25">
      <c r="A50" s="4" t="s">
        <v>99</v>
      </c>
      <c r="B50" s="4" t="s">
        <v>82</v>
      </c>
      <c r="C50" s="5">
        <v>1229</v>
      </c>
      <c r="D50" s="5">
        <v>1440</v>
      </c>
      <c r="E50" s="5">
        <v>1286</v>
      </c>
      <c r="F50" s="5">
        <v>1456</v>
      </c>
      <c r="G50" s="5">
        <v>1360</v>
      </c>
      <c r="H50" s="5">
        <v>1066</v>
      </c>
      <c r="I50" s="5">
        <v>1241</v>
      </c>
      <c r="J50" s="5">
        <v>1159</v>
      </c>
      <c r="K50" s="5">
        <v>1465</v>
      </c>
      <c r="L50" s="4">
        <v>876</v>
      </c>
      <c r="M50" s="4">
        <v>914</v>
      </c>
      <c r="N50" s="5">
        <v>1087</v>
      </c>
      <c r="O50" s="5">
        <f t="shared" si="0"/>
        <v>14579</v>
      </c>
    </row>
    <row r="51" spans="1:15" x14ac:dyDescent="0.25">
      <c r="A51" s="4" t="s">
        <v>101</v>
      </c>
      <c r="B51" s="4" t="s">
        <v>78</v>
      </c>
      <c r="C51" s="5">
        <v>1187</v>
      </c>
      <c r="D51" s="5">
        <v>1028</v>
      </c>
      <c r="E51" s="5">
        <v>1021</v>
      </c>
      <c r="F51" s="5">
        <v>1211</v>
      </c>
      <c r="G51" s="5">
        <v>1266</v>
      </c>
      <c r="H51" s="4">
        <v>952</v>
      </c>
      <c r="I51" s="5">
        <v>1193</v>
      </c>
      <c r="J51" s="5">
        <v>1142</v>
      </c>
      <c r="K51" s="5">
        <v>1050</v>
      </c>
      <c r="L51" s="5">
        <v>1186</v>
      </c>
      <c r="M51" s="5">
        <v>1117</v>
      </c>
      <c r="N51" s="5">
        <v>1194</v>
      </c>
      <c r="O51" s="5">
        <f t="shared" si="0"/>
        <v>13547</v>
      </c>
    </row>
    <row r="52" spans="1:15" x14ac:dyDescent="0.25">
      <c r="A52" s="4" t="s">
        <v>103</v>
      </c>
      <c r="B52" s="4" t="s">
        <v>575</v>
      </c>
      <c r="C52" s="4">
        <v>984</v>
      </c>
      <c r="D52" s="4">
        <v>839</v>
      </c>
      <c r="E52" s="4">
        <v>899</v>
      </c>
      <c r="F52" s="5">
        <v>1089</v>
      </c>
      <c r="G52" s="5">
        <v>1139</v>
      </c>
      <c r="H52" s="5">
        <v>1246</v>
      </c>
      <c r="I52" s="5">
        <v>1178</v>
      </c>
      <c r="J52" s="5">
        <v>1247</v>
      </c>
      <c r="K52" s="5">
        <v>1162</v>
      </c>
      <c r="L52" s="5">
        <v>1229</v>
      </c>
      <c r="M52" s="5">
        <v>1254</v>
      </c>
      <c r="N52" s="5">
        <v>1197</v>
      </c>
      <c r="O52" s="5">
        <f t="shared" si="0"/>
        <v>13463</v>
      </c>
    </row>
    <row r="53" spans="1:15" x14ac:dyDescent="0.25">
      <c r="A53" s="4" t="s">
        <v>105</v>
      </c>
      <c r="B53" s="4" t="s">
        <v>84</v>
      </c>
      <c r="C53" s="5">
        <v>1028</v>
      </c>
      <c r="D53" s="4">
        <v>803</v>
      </c>
      <c r="E53" s="4">
        <v>774</v>
      </c>
      <c r="F53" s="5">
        <v>1022</v>
      </c>
      <c r="G53" s="5">
        <v>1084</v>
      </c>
      <c r="H53" s="5">
        <v>1323</v>
      </c>
      <c r="I53" s="5">
        <v>1105</v>
      </c>
      <c r="J53" s="4">
        <v>958</v>
      </c>
      <c r="K53" s="5">
        <v>1290</v>
      </c>
      <c r="L53" s="5">
        <v>1204</v>
      </c>
      <c r="M53" s="5">
        <v>1409</v>
      </c>
      <c r="N53" s="5">
        <v>1363</v>
      </c>
      <c r="O53" s="5">
        <f t="shared" si="0"/>
        <v>13363</v>
      </c>
    </row>
    <row r="54" spans="1:15" x14ac:dyDescent="0.25">
      <c r="A54" s="4" t="s">
        <v>107</v>
      </c>
      <c r="B54" s="4" t="s">
        <v>576</v>
      </c>
      <c r="C54" s="5">
        <v>1129</v>
      </c>
      <c r="D54" s="4">
        <v>647</v>
      </c>
      <c r="E54" s="4">
        <v>803</v>
      </c>
      <c r="F54" s="5">
        <v>1223</v>
      </c>
      <c r="G54" s="5">
        <v>1394</v>
      </c>
      <c r="H54" s="4">
        <v>975</v>
      </c>
      <c r="I54" s="5">
        <v>1138</v>
      </c>
      <c r="J54" s="4">
        <v>987</v>
      </c>
      <c r="K54" s="4">
        <v>883</v>
      </c>
      <c r="L54" s="5">
        <v>1229</v>
      </c>
      <c r="M54" s="5">
        <v>1480</v>
      </c>
      <c r="N54" s="5">
        <v>1417</v>
      </c>
      <c r="O54" s="5">
        <f t="shared" si="0"/>
        <v>13305</v>
      </c>
    </row>
    <row r="55" spans="1:15" x14ac:dyDescent="0.25">
      <c r="A55" s="4" t="s">
        <v>109</v>
      </c>
      <c r="B55" s="4" t="s">
        <v>604</v>
      </c>
      <c r="C55" s="4">
        <v>928</v>
      </c>
      <c r="D55" s="5">
        <v>1202</v>
      </c>
      <c r="E55" s="5">
        <v>1403</v>
      </c>
      <c r="F55" s="5">
        <v>1290</v>
      </c>
      <c r="G55" s="4">
        <v>895</v>
      </c>
      <c r="H55" s="4">
        <v>986</v>
      </c>
      <c r="I55" s="5">
        <v>1001</v>
      </c>
      <c r="J55" s="5">
        <v>1416</v>
      </c>
      <c r="K55" s="4">
        <v>831</v>
      </c>
      <c r="L55" s="5">
        <v>1467</v>
      </c>
      <c r="M55" s="4">
        <v>898</v>
      </c>
      <c r="N55" s="4">
        <v>786</v>
      </c>
      <c r="O55" s="5">
        <f t="shared" si="0"/>
        <v>13103</v>
      </c>
    </row>
    <row r="56" spans="1:15" x14ac:dyDescent="0.25">
      <c r="A56" s="4" t="s">
        <v>111</v>
      </c>
      <c r="B56" s="4" t="s">
        <v>430</v>
      </c>
      <c r="C56" s="4">
        <v>523</v>
      </c>
      <c r="D56" s="4">
        <v>582</v>
      </c>
      <c r="E56" s="4">
        <v>867</v>
      </c>
      <c r="F56" s="5">
        <v>1324</v>
      </c>
      <c r="G56" s="5">
        <v>1269</v>
      </c>
      <c r="H56" s="5">
        <v>1026</v>
      </c>
      <c r="I56" s="5">
        <v>1244</v>
      </c>
      <c r="J56" s="5">
        <v>1356</v>
      </c>
      <c r="K56" s="5">
        <v>1228</v>
      </c>
      <c r="L56" s="5">
        <v>1088</v>
      </c>
      <c r="M56" s="5">
        <v>1045</v>
      </c>
      <c r="N56" s="5">
        <v>1525</v>
      </c>
      <c r="O56" s="5">
        <f t="shared" si="0"/>
        <v>13077</v>
      </c>
    </row>
    <row r="57" spans="1:15" x14ac:dyDescent="0.25">
      <c r="A57" s="4" t="s">
        <v>113</v>
      </c>
      <c r="B57" s="4" t="s">
        <v>52</v>
      </c>
      <c r="C57" s="4">
        <v>897</v>
      </c>
      <c r="D57" s="4">
        <v>911</v>
      </c>
      <c r="E57" s="5">
        <v>1144</v>
      </c>
      <c r="F57" s="5">
        <v>1122</v>
      </c>
      <c r="G57" s="5">
        <v>1270</v>
      </c>
      <c r="H57" s="5">
        <v>1064</v>
      </c>
      <c r="I57" s="5">
        <v>1072</v>
      </c>
      <c r="J57" s="5">
        <v>1275</v>
      </c>
      <c r="K57" s="5">
        <v>1153</v>
      </c>
      <c r="L57" s="4">
        <v>973</v>
      </c>
      <c r="M57" s="5">
        <v>1085</v>
      </c>
      <c r="N57" s="4">
        <v>560</v>
      </c>
      <c r="O57" s="5">
        <f t="shared" si="0"/>
        <v>12526</v>
      </c>
    </row>
    <row r="58" spans="1:15" x14ac:dyDescent="0.25">
      <c r="A58" s="4" t="s">
        <v>115</v>
      </c>
      <c r="B58" s="4" t="s">
        <v>512</v>
      </c>
      <c r="C58" s="4">
        <v>941</v>
      </c>
      <c r="D58" s="4">
        <v>981</v>
      </c>
      <c r="E58" s="4">
        <v>923</v>
      </c>
      <c r="F58" s="4">
        <v>948</v>
      </c>
      <c r="G58" s="5">
        <v>1092</v>
      </c>
      <c r="H58" s="4">
        <v>888</v>
      </c>
      <c r="I58" s="5">
        <v>1155</v>
      </c>
      <c r="J58" s="4">
        <v>898</v>
      </c>
      <c r="K58" s="4">
        <v>916</v>
      </c>
      <c r="L58" s="5">
        <v>1112</v>
      </c>
      <c r="M58" s="5">
        <v>1210</v>
      </c>
      <c r="N58" s="5">
        <v>1098</v>
      </c>
      <c r="O58" s="5">
        <f t="shared" si="0"/>
        <v>12162</v>
      </c>
    </row>
    <row r="59" spans="1:15" x14ac:dyDescent="0.25">
      <c r="A59" s="4" t="s">
        <v>117</v>
      </c>
      <c r="B59" s="4" t="s">
        <v>154</v>
      </c>
      <c r="C59" s="4">
        <v>504</v>
      </c>
      <c r="D59" s="5">
        <v>1248</v>
      </c>
      <c r="E59" s="5">
        <v>1274</v>
      </c>
      <c r="F59" s="4">
        <v>830</v>
      </c>
      <c r="G59" s="4">
        <v>829</v>
      </c>
      <c r="H59" s="5">
        <v>1148</v>
      </c>
      <c r="I59" s="5">
        <v>1107</v>
      </c>
      <c r="J59" s="5">
        <v>1231</v>
      </c>
      <c r="K59" s="5">
        <v>1107</v>
      </c>
      <c r="L59" s="4">
        <v>685</v>
      </c>
      <c r="M59" s="4">
        <v>565</v>
      </c>
      <c r="N59" s="4">
        <v>724</v>
      </c>
      <c r="O59" s="5">
        <f t="shared" si="0"/>
        <v>11252</v>
      </c>
    </row>
    <row r="60" spans="1:15" x14ac:dyDescent="0.25">
      <c r="A60" s="4" t="s">
        <v>119</v>
      </c>
      <c r="B60" s="4" t="s">
        <v>88</v>
      </c>
      <c r="C60" s="4">
        <v>805</v>
      </c>
      <c r="D60" s="4">
        <v>773</v>
      </c>
      <c r="E60" s="4">
        <v>828</v>
      </c>
      <c r="F60" s="4">
        <v>832</v>
      </c>
      <c r="G60" s="4">
        <v>718</v>
      </c>
      <c r="H60" s="4">
        <v>911</v>
      </c>
      <c r="I60" s="5">
        <v>1032</v>
      </c>
      <c r="J60" s="4">
        <v>806</v>
      </c>
      <c r="K60" s="4">
        <v>737</v>
      </c>
      <c r="L60" s="4">
        <v>853</v>
      </c>
      <c r="M60" s="5">
        <v>1004</v>
      </c>
      <c r="N60" s="4">
        <v>927</v>
      </c>
      <c r="O60" s="5">
        <f t="shared" si="0"/>
        <v>10226</v>
      </c>
    </row>
    <row r="61" spans="1:15" x14ac:dyDescent="0.25">
      <c r="A61" s="4" t="s">
        <v>121</v>
      </c>
      <c r="B61" s="4" t="s">
        <v>150</v>
      </c>
      <c r="C61" s="4">
        <v>706</v>
      </c>
      <c r="D61" s="4">
        <v>565</v>
      </c>
      <c r="E61" s="4">
        <v>571</v>
      </c>
      <c r="F61" s="4">
        <v>814</v>
      </c>
      <c r="G61" s="4">
        <v>660</v>
      </c>
      <c r="H61" s="4">
        <v>626</v>
      </c>
      <c r="I61" s="4">
        <v>787</v>
      </c>
      <c r="J61" s="4">
        <v>798</v>
      </c>
      <c r="K61" s="4">
        <v>761</v>
      </c>
      <c r="L61" s="4">
        <v>821</v>
      </c>
      <c r="M61" s="4">
        <v>813</v>
      </c>
      <c r="N61" s="4">
        <v>771</v>
      </c>
      <c r="O61" s="5">
        <f t="shared" si="0"/>
        <v>8693</v>
      </c>
    </row>
    <row r="62" spans="1:15" x14ac:dyDescent="0.25">
      <c r="A62" s="4" t="s">
        <v>123</v>
      </c>
      <c r="B62" s="4" t="s">
        <v>90</v>
      </c>
      <c r="C62" s="4">
        <v>740</v>
      </c>
      <c r="D62" s="4">
        <v>769</v>
      </c>
      <c r="E62" s="4">
        <v>658</v>
      </c>
      <c r="F62" s="4">
        <v>753</v>
      </c>
      <c r="G62" s="4">
        <v>775</v>
      </c>
      <c r="H62" s="4">
        <v>620</v>
      </c>
      <c r="I62" s="4">
        <v>780</v>
      </c>
      <c r="J62" s="4">
        <v>699</v>
      </c>
      <c r="K62" s="4">
        <v>672</v>
      </c>
      <c r="L62" s="4">
        <v>733</v>
      </c>
      <c r="M62" s="4">
        <v>644</v>
      </c>
      <c r="N62" s="4">
        <v>636</v>
      </c>
      <c r="O62" s="5">
        <f t="shared" si="0"/>
        <v>8479</v>
      </c>
    </row>
    <row r="63" spans="1:15" x14ac:dyDescent="0.25">
      <c r="A63" s="4" t="s">
        <v>125</v>
      </c>
      <c r="B63" s="4" t="s">
        <v>102</v>
      </c>
      <c r="C63" s="4">
        <v>403</v>
      </c>
      <c r="D63" s="4">
        <v>736</v>
      </c>
      <c r="E63" s="4">
        <v>802</v>
      </c>
      <c r="F63" s="4">
        <v>630</v>
      </c>
      <c r="G63" s="4">
        <v>586</v>
      </c>
      <c r="H63" s="4">
        <v>681</v>
      </c>
      <c r="I63" s="4">
        <v>659</v>
      </c>
      <c r="J63" s="4">
        <v>655</v>
      </c>
      <c r="K63" s="4">
        <v>841</v>
      </c>
      <c r="L63" s="4">
        <v>745</v>
      </c>
      <c r="M63" s="4">
        <v>650</v>
      </c>
      <c r="N63" s="4">
        <v>703</v>
      </c>
      <c r="O63" s="5">
        <f t="shared" si="0"/>
        <v>8091</v>
      </c>
    </row>
    <row r="64" spans="1:15" x14ac:dyDescent="0.25">
      <c r="A64" s="4" t="s">
        <v>127</v>
      </c>
      <c r="B64" s="4" t="s">
        <v>94</v>
      </c>
      <c r="C64" s="4"/>
      <c r="D64" s="4">
        <v>387</v>
      </c>
      <c r="E64" s="4">
        <v>531</v>
      </c>
      <c r="F64" s="4">
        <v>539</v>
      </c>
      <c r="G64" s="4">
        <v>698</v>
      </c>
      <c r="H64" s="4">
        <v>655</v>
      </c>
      <c r="I64" s="4">
        <v>644</v>
      </c>
      <c r="J64" s="4">
        <v>680</v>
      </c>
      <c r="K64" s="4">
        <v>739</v>
      </c>
      <c r="L64" s="5">
        <v>1082</v>
      </c>
      <c r="M64" s="4">
        <v>967</v>
      </c>
      <c r="N64" s="5">
        <v>1051</v>
      </c>
      <c r="O64" s="5">
        <f t="shared" si="0"/>
        <v>7973</v>
      </c>
    </row>
    <row r="65" spans="1:15" x14ac:dyDescent="0.25">
      <c r="A65" s="4" t="s">
        <v>129</v>
      </c>
      <c r="B65" s="4" t="s">
        <v>584</v>
      </c>
      <c r="C65" s="4">
        <v>565</v>
      </c>
      <c r="D65" s="4">
        <v>346</v>
      </c>
      <c r="E65" s="4">
        <v>505</v>
      </c>
      <c r="F65" s="4">
        <v>360</v>
      </c>
      <c r="G65" s="4">
        <v>406</v>
      </c>
      <c r="H65" s="4">
        <v>565</v>
      </c>
      <c r="I65" s="4">
        <v>706</v>
      </c>
      <c r="J65" s="4">
        <v>682</v>
      </c>
      <c r="K65" s="4">
        <v>918</v>
      </c>
      <c r="L65" s="4">
        <v>685</v>
      </c>
      <c r="M65" s="4">
        <v>538</v>
      </c>
      <c r="N65" s="4">
        <v>621</v>
      </c>
      <c r="O65" s="5">
        <f t="shared" si="0"/>
        <v>6897</v>
      </c>
    </row>
    <row r="66" spans="1:15" x14ac:dyDescent="0.25">
      <c r="A66" s="4" t="s">
        <v>131</v>
      </c>
      <c r="B66" s="4" t="s">
        <v>494</v>
      </c>
      <c r="C66" s="4">
        <v>631</v>
      </c>
      <c r="D66" s="4">
        <v>476</v>
      </c>
      <c r="E66" s="4">
        <v>446</v>
      </c>
      <c r="F66" s="4">
        <v>493</v>
      </c>
      <c r="G66" s="4">
        <v>514</v>
      </c>
      <c r="H66" s="4">
        <v>475</v>
      </c>
      <c r="I66" s="4">
        <v>490</v>
      </c>
      <c r="J66" s="4">
        <v>534</v>
      </c>
      <c r="K66" s="4">
        <v>521</v>
      </c>
      <c r="L66" s="4">
        <v>557</v>
      </c>
      <c r="M66" s="4">
        <v>493</v>
      </c>
      <c r="N66" s="4">
        <v>620</v>
      </c>
      <c r="O66" s="5">
        <f t="shared" si="0"/>
        <v>6250</v>
      </c>
    </row>
    <row r="67" spans="1:15" x14ac:dyDescent="0.25">
      <c r="A67" s="4" t="s">
        <v>133</v>
      </c>
      <c r="B67" s="4" t="s">
        <v>398</v>
      </c>
      <c r="C67" s="4">
        <v>537</v>
      </c>
      <c r="D67" s="4">
        <v>214</v>
      </c>
      <c r="E67" s="4">
        <v>147</v>
      </c>
      <c r="F67" s="4">
        <v>473</v>
      </c>
      <c r="G67" s="4">
        <v>492</v>
      </c>
      <c r="H67" s="4">
        <v>416</v>
      </c>
      <c r="I67" s="4">
        <v>586</v>
      </c>
      <c r="J67" s="4">
        <v>577</v>
      </c>
      <c r="K67" s="4">
        <v>657</v>
      </c>
      <c r="L67" s="4">
        <v>595</v>
      </c>
      <c r="M67" s="4">
        <v>506</v>
      </c>
      <c r="N67" s="4">
        <v>586</v>
      </c>
      <c r="O67" s="5">
        <f t="shared" si="0"/>
        <v>5786</v>
      </c>
    </row>
    <row r="68" spans="1:15" x14ac:dyDescent="0.25">
      <c r="A68" s="4" t="s">
        <v>135</v>
      </c>
      <c r="B68" s="4" t="s">
        <v>54</v>
      </c>
      <c r="C68" s="4">
        <v>411</v>
      </c>
      <c r="D68" s="4">
        <v>697</v>
      </c>
      <c r="E68" s="4">
        <v>431</v>
      </c>
      <c r="F68" s="4">
        <v>518</v>
      </c>
      <c r="G68" s="4">
        <v>520</v>
      </c>
      <c r="H68" s="4">
        <v>571</v>
      </c>
      <c r="I68" s="4">
        <v>580</v>
      </c>
      <c r="J68" s="4">
        <v>437</v>
      </c>
      <c r="K68" s="4">
        <v>240</v>
      </c>
      <c r="L68" s="4">
        <v>390</v>
      </c>
      <c r="M68" s="4">
        <v>532</v>
      </c>
      <c r="N68" s="4">
        <v>281</v>
      </c>
      <c r="O68" s="5">
        <f t="shared" ref="O68:O131" si="1">SUM(C68:N68)</f>
        <v>5608</v>
      </c>
    </row>
    <row r="69" spans="1:15" x14ac:dyDescent="0.25">
      <c r="A69" s="4" t="s">
        <v>137</v>
      </c>
      <c r="B69" s="4" t="s">
        <v>446</v>
      </c>
      <c r="C69" s="4">
        <v>319</v>
      </c>
      <c r="D69" s="4">
        <v>298</v>
      </c>
      <c r="E69" s="4">
        <v>220</v>
      </c>
      <c r="F69" s="4">
        <v>558</v>
      </c>
      <c r="G69" s="4">
        <v>486</v>
      </c>
      <c r="H69" s="4">
        <v>514</v>
      </c>
      <c r="I69" s="4">
        <v>389</v>
      </c>
      <c r="J69" s="4">
        <v>381</v>
      </c>
      <c r="K69" s="4">
        <v>393</v>
      </c>
      <c r="L69" s="4">
        <v>452</v>
      </c>
      <c r="M69" s="4">
        <v>946</v>
      </c>
      <c r="N69" s="4">
        <v>575</v>
      </c>
      <c r="O69" s="5">
        <f t="shared" si="1"/>
        <v>5531</v>
      </c>
    </row>
    <row r="70" spans="1:15" x14ac:dyDescent="0.25">
      <c r="A70" s="4" t="s">
        <v>139</v>
      </c>
      <c r="B70" s="4" t="s">
        <v>250</v>
      </c>
      <c r="C70" s="4">
        <v>357</v>
      </c>
      <c r="D70" s="4">
        <v>419</v>
      </c>
      <c r="E70" s="4">
        <v>312</v>
      </c>
      <c r="F70" s="4">
        <v>358</v>
      </c>
      <c r="G70" s="4">
        <v>447</v>
      </c>
      <c r="H70" s="4">
        <v>428</v>
      </c>
      <c r="I70" s="4">
        <v>414</v>
      </c>
      <c r="J70" s="4">
        <v>486</v>
      </c>
      <c r="K70" s="4">
        <v>522</v>
      </c>
      <c r="L70" s="4">
        <v>455</v>
      </c>
      <c r="M70" s="4">
        <v>539</v>
      </c>
      <c r="N70" s="4">
        <v>756</v>
      </c>
      <c r="O70" s="5">
        <f t="shared" si="1"/>
        <v>5493</v>
      </c>
    </row>
    <row r="71" spans="1:15" x14ac:dyDescent="0.25">
      <c r="A71" s="4" t="s">
        <v>141</v>
      </c>
      <c r="B71" s="4" t="s">
        <v>256</v>
      </c>
      <c r="C71" s="4">
        <v>652</v>
      </c>
      <c r="D71" s="4">
        <v>477</v>
      </c>
      <c r="E71" s="4">
        <v>324</v>
      </c>
      <c r="F71" s="4">
        <v>446</v>
      </c>
      <c r="G71" s="4">
        <v>363</v>
      </c>
      <c r="H71" s="4">
        <v>455</v>
      </c>
      <c r="I71" s="4">
        <v>330</v>
      </c>
      <c r="J71" s="4">
        <v>368</v>
      </c>
      <c r="K71" s="4">
        <v>241</v>
      </c>
      <c r="L71" s="4">
        <v>302</v>
      </c>
      <c r="M71" s="4">
        <v>386</v>
      </c>
      <c r="N71" s="4">
        <v>977</v>
      </c>
      <c r="O71" s="5">
        <f t="shared" si="1"/>
        <v>5321</v>
      </c>
    </row>
    <row r="72" spans="1:15" x14ac:dyDescent="0.25">
      <c r="A72" s="4" t="s">
        <v>143</v>
      </c>
      <c r="B72" s="4" t="s">
        <v>118</v>
      </c>
      <c r="C72" s="4">
        <v>414</v>
      </c>
      <c r="D72" s="4">
        <v>437</v>
      </c>
      <c r="E72" s="4">
        <v>452</v>
      </c>
      <c r="F72" s="4">
        <v>432</v>
      </c>
      <c r="G72" s="4">
        <v>396</v>
      </c>
      <c r="H72" s="4">
        <v>461</v>
      </c>
      <c r="I72" s="4">
        <v>329</v>
      </c>
      <c r="J72" s="4">
        <v>412</v>
      </c>
      <c r="K72" s="4">
        <v>266</v>
      </c>
      <c r="L72" s="4">
        <v>260</v>
      </c>
      <c r="M72" s="4">
        <v>359</v>
      </c>
      <c r="N72" s="4">
        <v>413</v>
      </c>
      <c r="O72" s="5">
        <f t="shared" si="1"/>
        <v>4631</v>
      </c>
    </row>
    <row r="73" spans="1:15" x14ac:dyDescent="0.25">
      <c r="A73" s="4" t="s">
        <v>145</v>
      </c>
      <c r="B73" s="4" t="s">
        <v>124</v>
      </c>
      <c r="C73" s="4">
        <v>205</v>
      </c>
      <c r="D73" s="4">
        <v>270</v>
      </c>
      <c r="E73" s="4">
        <v>311</v>
      </c>
      <c r="F73" s="4">
        <v>329</v>
      </c>
      <c r="G73" s="4">
        <v>418</v>
      </c>
      <c r="H73" s="4">
        <v>485</v>
      </c>
      <c r="I73" s="4">
        <v>339</v>
      </c>
      <c r="J73" s="4">
        <v>353</v>
      </c>
      <c r="K73" s="4">
        <v>394</v>
      </c>
      <c r="L73" s="4">
        <v>365</v>
      </c>
      <c r="M73" s="4">
        <v>342</v>
      </c>
      <c r="N73" s="4">
        <v>443</v>
      </c>
      <c r="O73" s="5">
        <f t="shared" si="1"/>
        <v>4254</v>
      </c>
    </row>
    <row r="74" spans="1:15" x14ac:dyDescent="0.25">
      <c r="A74" s="4" t="s">
        <v>147</v>
      </c>
      <c r="B74" s="4" t="s">
        <v>202</v>
      </c>
      <c r="C74" s="4">
        <v>330</v>
      </c>
      <c r="D74" s="4">
        <v>187</v>
      </c>
      <c r="E74" s="4">
        <v>163</v>
      </c>
      <c r="F74" s="4">
        <v>138</v>
      </c>
      <c r="G74" s="4">
        <v>144</v>
      </c>
      <c r="H74" s="4">
        <v>370</v>
      </c>
      <c r="I74" s="4">
        <v>583</v>
      </c>
      <c r="J74" s="4">
        <v>486</v>
      </c>
      <c r="K74" s="4">
        <v>301</v>
      </c>
      <c r="L74" s="4">
        <v>473</v>
      </c>
      <c r="M74" s="4">
        <v>403</v>
      </c>
      <c r="N74" s="4">
        <v>664</v>
      </c>
      <c r="O74" s="5">
        <f t="shared" si="1"/>
        <v>4242</v>
      </c>
    </row>
    <row r="75" spans="1:15" x14ac:dyDescent="0.25">
      <c r="A75" s="4" t="s">
        <v>149</v>
      </c>
      <c r="B75" s="4" t="s">
        <v>196</v>
      </c>
      <c r="C75" s="4">
        <v>417</v>
      </c>
      <c r="D75" s="4">
        <v>351</v>
      </c>
      <c r="E75" s="4">
        <v>237</v>
      </c>
      <c r="F75" s="4">
        <v>419</v>
      </c>
      <c r="G75" s="4">
        <v>363</v>
      </c>
      <c r="H75" s="4">
        <v>275</v>
      </c>
      <c r="I75" s="4">
        <v>387</v>
      </c>
      <c r="J75" s="4">
        <v>294</v>
      </c>
      <c r="K75" s="4">
        <v>277</v>
      </c>
      <c r="L75" s="4">
        <v>472</v>
      </c>
      <c r="M75" s="4">
        <v>311</v>
      </c>
      <c r="N75" s="4">
        <v>280</v>
      </c>
      <c r="O75" s="5">
        <f t="shared" si="1"/>
        <v>4083</v>
      </c>
    </row>
    <row r="76" spans="1:15" x14ac:dyDescent="0.25">
      <c r="A76" s="4" t="s">
        <v>151</v>
      </c>
      <c r="B76" s="4" t="s">
        <v>322</v>
      </c>
      <c r="C76" s="4">
        <v>28</v>
      </c>
      <c r="D76" s="4">
        <v>51</v>
      </c>
      <c r="E76" s="4">
        <v>194</v>
      </c>
      <c r="F76" s="4">
        <v>166</v>
      </c>
      <c r="G76" s="4">
        <v>315</v>
      </c>
      <c r="H76" s="4">
        <v>508</v>
      </c>
      <c r="I76" s="4">
        <v>513</v>
      </c>
      <c r="J76" s="4">
        <v>431</v>
      </c>
      <c r="K76" s="4">
        <v>435</v>
      </c>
      <c r="L76" s="4">
        <v>528</v>
      </c>
      <c r="M76" s="4">
        <v>418</v>
      </c>
      <c r="N76" s="4">
        <v>409</v>
      </c>
      <c r="O76" s="5">
        <f t="shared" si="1"/>
        <v>3996</v>
      </c>
    </row>
    <row r="77" spans="1:15" x14ac:dyDescent="0.25">
      <c r="A77" s="4" t="s">
        <v>153</v>
      </c>
      <c r="B77" s="4" t="s">
        <v>536</v>
      </c>
      <c r="C77" s="4">
        <v>275</v>
      </c>
      <c r="D77" s="4">
        <v>251</v>
      </c>
      <c r="E77" s="4">
        <v>258</v>
      </c>
      <c r="F77" s="4">
        <v>301</v>
      </c>
      <c r="G77" s="4">
        <v>295</v>
      </c>
      <c r="H77" s="4">
        <v>280</v>
      </c>
      <c r="I77" s="4">
        <v>388</v>
      </c>
      <c r="J77" s="4">
        <v>463</v>
      </c>
      <c r="K77" s="4">
        <v>337</v>
      </c>
      <c r="L77" s="4">
        <v>323</v>
      </c>
      <c r="M77" s="4">
        <v>283</v>
      </c>
      <c r="N77" s="4">
        <v>311</v>
      </c>
      <c r="O77" s="5">
        <f t="shared" si="1"/>
        <v>3765</v>
      </c>
    </row>
    <row r="78" spans="1:15" x14ac:dyDescent="0.25">
      <c r="A78" s="4" t="s">
        <v>155</v>
      </c>
      <c r="B78" s="4" t="s">
        <v>110</v>
      </c>
      <c r="C78" s="4">
        <v>258</v>
      </c>
      <c r="D78" s="4">
        <v>224</v>
      </c>
      <c r="E78" s="4">
        <v>204</v>
      </c>
      <c r="F78" s="4">
        <v>304</v>
      </c>
      <c r="G78" s="4">
        <v>190</v>
      </c>
      <c r="H78" s="4">
        <v>144</v>
      </c>
      <c r="I78" s="4">
        <v>84</v>
      </c>
      <c r="J78" s="4">
        <v>224</v>
      </c>
      <c r="K78" s="4">
        <v>397</v>
      </c>
      <c r="L78" s="4">
        <v>660</v>
      </c>
      <c r="M78" s="4">
        <v>494</v>
      </c>
      <c r="N78" s="4">
        <v>517</v>
      </c>
      <c r="O78" s="5">
        <f t="shared" si="1"/>
        <v>3700</v>
      </c>
    </row>
    <row r="79" spans="1:15" x14ac:dyDescent="0.25">
      <c r="A79" s="4" t="s">
        <v>157</v>
      </c>
      <c r="B79" s="4" t="s">
        <v>214</v>
      </c>
      <c r="C79" s="4">
        <v>314</v>
      </c>
      <c r="D79" s="4">
        <v>255</v>
      </c>
      <c r="E79" s="4">
        <v>347</v>
      </c>
      <c r="F79" s="4">
        <v>246</v>
      </c>
      <c r="G79" s="4">
        <v>302</v>
      </c>
      <c r="H79" s="4">
        <v>272</v>
      </c>
      <c r="I79" s="4">
        <v>251</v>
      </c>
      <c r="J79" s="4">
        <v>309</v>
      </c>
      <c r="K79" s="4">
        <v>332</v>
      </c>
      <c r="L79" s="4">
        <v>350</v>
      </c>
      <c r="M79" s="4">
        <v>274</v>
      </c>
      <c r="N79" s="4">
        <v>356</v>
      </c>
      <c r="O79" s="5">
        <f t="shared" si="1"/>
        <v>3608</v>
      </c>
    </row>
    <row r="80" spans="1:15" x14ac:dyDescent="0.25">
      <c r="A80" s="4" t="s">
        <v>159</v>
      </c>
      <c r="B80" s="4" t="s">
        <v>298</v>
      </c>
      <c r="C80" s="4">
        <v>395</v>
      </c>
      <c r="D80" s="4">
        <v>607</v>
      </c>
      <c r="E80" s="4">
        <v>534</v>
      </c>
      <c r="F80" s="4">
        <v>470</v>
      </c>
      <c r="G80" s="4">
        <v>364</v>
      </c>
      <c r="H80" s="4">
        <v>297</v>
      </c>
      <c r="I80" s="4">
        <v>215</v>
      </c>
      <c r="J80" s="4">
        <v>141</v>
      </c>
      <c r="K80" s="4">
        <v>71</v>
      </c>
      <c r="L80" s="4">
        <v>76</v>
      </c>
      <c r="M80" s="4">
        <v>150</v>
      </c>
      <c r="N80" s="4">
        <v>244</v>
      </c>
      <c r="O80" s="5">
        <f t="shared" si="1"/>
        <v>3564</v>
      </c>
    </row>
    <row r="81" spans="1:15" x14ac:dyDescent="0.25">
      <c r="A81" s="4" t="s">
        <v>163</v>
      </c>
      <c r="B81" s="4" t="s">
        <v>148</v>
      </c>
      <c r="C81" s="4">
        <v>163</v>
      </c>
      <c r="D81" s="4">
        <v>254</v>
      </c>
      <c r="E81" s="4">
        <v>272</v>
      </c>
      <c r="F81" s="4">
        <v>279</v>
      </c>
      <c r="G81" s="4">
        <v>329</v>
      </c>
      <c r="H81" s="4">
        <v>254</v>
      </c>
      <c r="I81" s="4">
        <v>295</v>
      </c>
      <c r="J81" s="4">
        <v>321</v>
      </c>
      <c r="K81" s="4">
        <v>311</v>
      </c>
      <c r="L81" s="4">
        <v>380</v>
      </c>
      <c r="M81" s="4">
        <v>344</v>
      </c>
      <c r="N81" s="4">
        <v>295</v>
      </c>
      <c r="O81" s="5">
        <f t="shared" si="1"/>
        <v>3497</v>
      </c>
    </row>
    <row r="82" spans="1:15" x14ac:dyDescent="0.25">
      <c r="A82" s="4" t="s">
        <v>161</v>
      </c>
      <c r="B82" s="4" t="s">
        <v>114</v>
      </c>
      <c r="C82" s="4">
        <v>176</v>
      </c>
      <c r="D82" s="4">
        <v>252</v>
      </c>
      <c r="E82" s="4">
        <v>296</v>
      </c>
      <c r="F82" s="4">
        <v>228</v>
      </c>
      <c r="G82" s="4">
        <v>267</v>
      </c>
      <c r="H82" s="4">
        <v>328</v>
      </c>
      <c r="I82" s="4">
        <v>295</v>
      </c>
      <c r="J82" s="4">
        <v>294</v>
      </c>
      <c r="K82" s="4">
        <v>312</v>
      </c>
      <c r="L82" s="4">
        <v>304</v>
      </c>
      <c r="M82" s="4">
        <v>277</v>
      </c>
      <c r="N82" s="4">
        <v>413</v>
      </c>
      <c r="O82" s="5">
        <f t="shared" si="1"/>
        <v>3442</v>
      </c>
    </row>
    <row r="83" spans="1:15" x14ac:dyDescent="0.25">
      <c r="A83" s="4" t="s">
        <v>165</v>
      </c>
      <c r="B83" s="4" t="s">
        <v>160</v>
      </c>
      <c r="C83" s="4">
        <v>259</v>
      </c>
      <c r="D83" s="4">
        <v>224</v>
      </c>
      <c r="E83" s="4">
        <v>235</v>
      </c>
      <c r="F83" s="4">
        <v>258</v>
      </c>
      <c r="G83" s="4">
        <v>202</v>
      </c>
      <c r="H83" s="4">
        <v>398</v>
      </c>
      <c r="I83" s="4">
        <v>296</v>
      </c>
      <c r="J83" s="4">
        <v>588</v>
      </c>
      <c r="K83" s="4">
        <v>202</v>
      </c>
      <c r="L83" s="4">
        <v>185</v>
      </c>
      <c r="M83" s="4">
        <v>244</v>
      </c>
      <c r="N83" s="4">
        <v>272</v>
      </c>
      <c r="O83" s="5">
        <f t="shared" si="1"/>
        <v>3363</v>
      </c>
    </row>
    <row r="84" spans="1:15" x14ac:dyDescent="0.25">
      <c r="A84" s="4" t="s">
        <v>167</v>
      </c>
      <c r="B84" s="4" t="s">
        <v>538</v>
      </c>
      <c r="C84" s="4">
        <v>646</v>
      </c>
      <c r="D84" s="4">
        <v>675</v>
      </c>
      <c r="E84" s="4">
        <v>300</v>
      </c>
      <c r="F84" s="4">
        <v>262</v>
      </c>
      <c r="G84" s="4">
        <v>284</v>
      </c>
      <c r="H84" s="4">
        <v>289</v>
      </c>
      <c r="I84" s="4">
        <v>288</v>
      </c>
      <c r="J84" s="4">
        <v>155</v>
      </c>
      <c r="K84" s="4">
        <v>185</v>
      </c>
      <c r="L84" s="4">
        <v>150</v>
      </c>
      <c r="M84" s="4">
        <v>72</v>
      </c>
      <c r="N84" s="4">
        <v>25</v>
      </c>
      <c r="O84" s="5">
        <f t="shared" si="1"/>
        <v>3331</v>
      </c>
    </row>
    <row r="85" spans="1:15" x14ac:dyDescent="0.25">
      <c r="A85" s="4" t="s">
        <v>169</v>
      </c>
      <c r="B85" s="4" t="s">
        <v>600</v>
      </c>
      <c r="C85" s="4">
        <v>195</v>
      </c>
      <c r="D85" s="4">
        <v>303</v>
      </c>
      <c r="E85" s="4">
        <v>155</v>
      </c>
      <c r="F85" s="4">
        <v>818</v>
      </c>
      <c r="G85" s="4">
        <v>146</v>
      </c>
      <c r="H85" s="4">
        <v>262</v>
      </c>
      <c r="I85" s="4">
        <v>144</v>
      </c>
      <c r="J85" s="4">
        <v>101</v>
      </c>
      <c r="K85" s="4">
        <v>433</v>
      </c>
      <c r="L85" s="4">
        <v>513</v>
      </c>
      <c r="M85" s="4">
        <v>81</v>
      </c>
      <c r="N85" s="4">
        <v>40</v>
      </c>
      <c r="O85" s="5">
        <f t="shared" si="1"/>
        <v>3191</v>
      </c>
    </row>
    <row r="86" spans="1:15" x14ac:dyDescent="0.25">
      <c r="A86" s="4" t="s">
        <v>171</v>
      </c>
      <c r="B86" s="4" t="s">
        <v>116</v>
      </c>
      <c r="C86" s="4">
        <v>257</v>
      </c>
      <c r="D86" s="4">
        <v>167</v>
      </c>
      <c r="E86" s="4">
        <v>345</v>
      </c>
      <c r="F86" s="4">
        <v>232</v>
      </c>
      <c r="G86" s="4">
        <v>244</v>
      </c>
      <c r="H86" s="4">
        <v>212</v>
      </c>
      <c r="I86" s="4">
        <v>276</v>
      </c>
      <c r="J86" s="4">
        <v>242</v>
      </c>
      <c r="K86" s="4">
        <v>298</v>
      </c>
      <c r="L86" s="4">
        <v>436</v>
      </c>
      <c r="M86" s="4">
        <v>274</v>
      </c>
      <c r="N86" s="4">
        <v>207</v>
      </c>
      <c r="O86" s="5">
        <f t="shared" si="1"/>
        <v>3190</v>
      </c>
    </row>
    <row r="87" spans="1:15" x14ac:dyDescent="0.25">
      <c r="A87" s="4" t="s">
        <v>173</v>
      </c>
      <c r="B87" s="4" t="s">
        <v>140</v>
      </c>
      <c r="C87" s="4">
        <v>197</v>
      </c>
      <c r="D87" s="4">
        <v>223</v>
      </c>
      <c r="E87" s="4">
        <v>208</v>
      </c>
      <c r="F87" s="4">
        <v>270</v>
      </c>
      <c r="G87" s="4">
        <v>324</v>
      </c>
      <c r="H87" s="4">
        <v>235</v>
      </c>
      <c r="I87" s="4">
        <v>256</v>
      </c>
      <c r="J87" s="4">
        <v>262</v>
      </c>
      <c r="K87" s="4">
        <v>231</v>
      </c>
      <c r="L87" s="4">
        <v>220</v>
      </c>
      <c r="M87" s="4">
        <v>259</v>
      </c>
      <c r="N87" s="4">
        <v>255</v>
      </c>
      <c r="O87" s="5">
        <f t="shared" si="1"/>
        <v>2940</v>
      </c>
    </row>
    <row r="88" spans="1:15" x14ac:dyDescent="0.25">
      <c r="A88" s="4" t="s">
        <v>175</v>
      </c>
      <c r="B88" s="4" t="s">
        <v>60</v>
      </c>
      <c r="C88" s="4">
        <v>424</v>
      </c>
      <c r="D88" s="4">
        <v>367</v>
      </c>
      <c r="E88" s="4">
        <v>301</v>
      </c>
      <c r="F88" s="4">
        <v>300</v>
      </c>
      <c r="G88" s="4">
        <v>320</v>
      </c>
      <c r="H88" s="4">
        <v>232</v>
      </c>
      <c r="I88" s="4">
        <v>211</v>
      </c>
      <c r="J88" s="4">
        <v>192</v>
      </c>
      <c r="K88" s="4">
        <v>153</v>
      </c>
      <c r="L88" s="4">
        <v>142</v>
      </c>
      <c r="M88" s="4">
        <v>109</v>
      </c>
      <c r="N88" s="4">
        <v>107</v>
      </c>
      <c r="O88" s="5">
        <f t="shared" si="1"/>
        <v>2858</v>
      </c>
    </row>
    <row r="89" spans="1:15" x14ac:dyDescent="0.25">
      <c r="A89" s="4" t="s">
        <v>177</v>
      </c>
      <c r="B89" s="4" t="s">
        <v>587</v>
      </c>
      <c r="C89" s="4">
        <v>243</v>
      </c>
      <c r="D89" s="4">
        <v>355</v>
      </c>
      <c r="E89" s="4">
        <v>273</v>
      </c>
      <c r="F89" s="4">
        <v>380</v>
      </c>
      <c r="G89" s="4">
        <v>287</v>
      </c>
      <c r="H89" s="4">
        <v>190</v>
      </c>
      <c r="I89" s="4">
        <v>229</v>
      </c>
      <c r="J89" s="4">
        <v>203</v>
      </c>
      <c r="K89" s="4">
        <v>117</v>
      </c>
      <c r="L89" s="4">
        <v>113</v>
      </c>
      <c r="M89" s="4">
        <v>212</v>
      </c>
      <c r="N89" s="4">
        <v>204</v>
      </c>
      <c r="O89" s="5">
        <f t="shared" si="1"/>
        <v>2806</v>
      </c>
    </row>
    <row r="90" spans="1:15" x14ac:dyDescent="0.25">
      <c r="A90" s="4" t="s">
        <v>179</v>
      </c>
      <c r="B90" s="4" t="s">
        <v>136</v>
      </c>
      <c r="C90" s="4">
        <v>361</v>
      </c>
      <c r="D90" s="4">
        <v>284</v>
      </c>
      <c r="E90" s="4">
        <v>241</v>
      </c>
      <c r="F90" s="4">
        <v>309</v>
      </c>
      <c r="G90" s="4">
        <v>275</v>
      </c>
      <c r="H90" s="4">
        <v>177</v>
      </c>
      <c r="I90" s="4">
        <v>100</v>
      </c>
      <c r="J90" s="4">
        <v>146</v>
      </c>
      <c r="K90" s="4">
        <v>156</v>
      </c>
      <c r="L90" s="4">
        <v>126</v>
      </c>
      <c r="M90" s="4">
        <v>139</v>
      </c>
      <c r="N90" s="4">
        <v>482</v>
      </c>
      <c r="O90" s="5">
        <f t="shared" si="1"/>
        <v>2796</v>
      </c>
    </row>
    <row r="91" spans="1:15" x14ac:dyDescent="0.25">
      <c r="A91" s="4" t="s">
        <v>181</v>
      </c>
      <c r="B91" s="4" t="s">
        <v>230</v>
      </c>
      <c r="C91" s="4">
        <v>226</v>
      </c>
      <c r="D91" s="4">
        <v>197</v>
      </c>
      <c r="E91" s="4">
        <v>256</v>
      </c>
      <c r="F91" s="4">
        <v>187</v>
      </c>
      <c r="G91" s="4">
        <v>234</v>
      </c>
      <c r="H91" s="4">
        <v>231</v>
      </c>
      <c r="I91" s="4">
        <v>229</v>
      </c>
      <c r="J91" s="4">
        <v>197</v>
      </c>
      <c r="K91" s="4">
        <v>283</v>
      </c>
      <c r="L91" s="4">
        <v>266</v>
      </c>
      <c r="M91" s="4">
        <v>228</v>
      </c>
      <c r="N91" s="4">
        <v>228</v>
      </c>
      <c r="O91" s="5">
        <f t="shared" si="1"/>
        <v>2762</v>
      </c>
    </row>
    <row r="92" spans="1:15" x14ac:dyDescent="0.25">
      <c r="A92" s="4" t="s">
        <v>183</v>
      </c>
      <c r="B92" s="4" t="s">
        <v>226</v>
      </c>
      <c r="C92" s="4">
        <v>281</v>
      </c>
      <c r="D92" s="4">
        <v>232</v>
      </c>
      <c r="E92" s="4">
        <v>193</v>
      </c>
      <c r="F92" s="4">
        <v>227</v>
      </c>
      <c r="G92" s="4">
        <v>258</v>
      </c>
      <c r="H92" s="4">
        <v>186</v>
      </c>
      <c r="I92" s="4">
        <v>236</v>
      </c>
      <c r="J92" s="4">
        <v>220</v>
      </c>
      <c r="K92" s="4">
        <v>201</v>
      </c>
      <c r="L92" s="4">
        <v>222</v>
      </c>
      <c r="M92" s="4">
        <v>245</v>
      </c>
      <c r="N92" s="4">
        <v>200</v>
      </c>
      <c r="O92" s="5">
        <f t="shared" si="1"/>
        <v>2701</v>
      </c>
    </row>
    <row r="93" spans="1:15" x14ac:dyDescent="0.25">
      <c r="A93" s="4" t="s">
        <v>185</v>
      </c>
      <c r="B93" s="4" t="s">
        <v>152</v>
      </c>
      <c r="C93" s="4">
        <v>177</v>
      </c>
      <c r="D93" s="4">
        <v>128</v>
      </c>
      <c r="E93" s="4">
        <v>237</v>
      </c>
      <c r="F93" s="4">
        <v>174</v>
      </c>
      <c r="G93" s="4">
        <v>290</v>
      </c>
      <c r="H93" s="4">
        <v>202</v>
      </c>
      <c r="I93" s="4">
        <v>208</v>
      </c>
      <c r="J93" s="4">
        <v>150</v>
      </c>
      <c r="K93" s="4">
        <v>201</v>
      </c>
      <c r="L93" s="4">
        <v>266</v>
      </c>
      <c r="M93" s="4">
        <v>176</v>
      </c>
      <c r="N93" s="4">
        <v>222</v>
      </c>
      <c r="O93" s="5">
        <f t="shared" si="1"/>
        <v>2431</v>
      </c>
    </row>
    <row r="94" spans="1:15" x14ac:dyDescent="0.25">
      <c r="A94" s="4" t="s">
        <v>187</v>
      </c>
      <c r="B94" s="4" t="s">
        <v>168</v>
      </c>
      <c r="C94" s="4">
        <v>218</v>
      </c>
      <c r="D94" s="4">
        <v>190</v>
      </c>
      <c r="E94" s="4">
        <v>161</v>
      </c>
      <c r="F94" s="4">
        <v>194</v>
      </c>
      <c r="G94" s="4">
        <v>266</v>
      </c>
      <c r="H94" s="4">
        <v>155</v>
      </c>
      <c r="I94" s="4">
        <v>175</v>
      </c>
      <c r="J94" s="4">
        <v>183</v>
      </c>
      <c r="K94" s="4">
        <v>155</v>
      </c>
      <c r="L94" s="4">
        <v>230</v>
      </c>
      <c r="M94" s="4">
        <v>215</v>
      </c>
      <c r="N94" s="4">
        <v>287</v>
      </c>
      <c r="O94" s="5">
        <f t="shared" si="1"/>
        <v>2429</v>
      </c>
    </row>
    <row r="95" spans="1:15" x14ac:dyDescent="0.25">
      <c r="A95" s="4" t="s">
        <v>189</v>
      </c>
      <c r="B95" s="4" t="s">
        <v>242</v>
      </c>
      <c r="C95" s="4">
        <v>190</v>
      </c>
      <c r="D95" s="4">
        <v>150</v>
      </c>
      <c r="E95" s="4">
        <v>158</v>
      </c>
      <c r="F95" s="4">
        <v>231</v>
      </c>
      <c r="G95" s="4">
        <v>216</v>
      </c>
      <c r="H95" s="4">
        <v>189</v>
      </c>
      <c r="I95" s="4">
        <v>220</v>
      </c>
      <c r="J95" s="4">
        <v>214</v>
      </c>
      <c r="K95" s="4">
        <v>231</v>
      </c>
      <c r="L95" s="4">
        <v>213</v>
      </c>
      <c r="M95" s="4">
        <v>182</v>
      </c>
      <c r="N95" s="4">
        <v>174</v>
      </c>
      <c r="O95" s="5">
        <f t="shared" si="1"/>
        <v>2368</v>
      </c>
    </row>
    <row r="96" spans="1:15" x14ac:dyDescent="0.25">
      <c r="A96" s="4" t="s">
        <v>191</v>
      </c>
      <c r="B96" s="4" t="s">
        <v>190</v>
      </c>
      <c r="C96" s="4">
        <v>149</v>
      </c>
      <c r="D96" s="4">
        <v>163</v>
      </c>
      <c r="E96" s="4">
        <v>175</v>
      </c>
      <c r="F96" s="4">
        <v>266</v>
      </c>
      <c r="G96" s="4">
        <v>156</v>
      </c>
      <c r="H96" s="4">
        <v>157</v>
      </c>
      <c r="I96" s="4">
        <v>151</v>
      </c>
      <c r="J96" s="4">
        <v>177</v>
      </c>
      <c r="K96" s="4">
        <v>228</v>
      </c>
      <c r="L96" s="4">
        <v>290</v>
      </c>
      <c r="M96" s="4">
        <v>171</v>
      </c>
      <c r="N96" s="4">
        <v>275</v>
      </c>
      <c r="O96" s="5">
        <f t="shared" si="1"/>
        <v>2358</v>
      </c>
    </row>
    <row r="97" spans="1:15" x14ac:dyDescent="0.25">
      <c r="A97" s="4" t="s">
        <v>193</v>
      </c>
      <c r="B97" s="4" t="s">
        <v>132</v>
      </c>
      <c r="C97" s="4">
        <v>185</v>
      </c>
      <c r="D97" s="4">
        <v>204</v>
      </c>
      <c r="E97" s="4">
        <v>190</v>
      </c>
      <c r="F97" s="4">
        <v>203</v>
      </c>
      <c r="G97" s="4">
        <v>223</v>
      </c>
      <c r="H97" s="4">
        <v>205</v>
      </c>
      <c r="I97" s="4">
        <v>216</v>
      </c>
      <c r="J97" s="4">
        <v>175</v>
      </c>
      <c r="K97" s="4">
        <v>188</v>
      </c>
      <c r="L97" s="4">
        <v>156</v>
      </c>
      <c r="M97" s="4">
        <v>212</v>
      </c>
      <c r="N97" s="4">
        <v>199</v>
      </c>
      <c r="O97" s="5">
        <f t="shared" si="1"/>
        <v>2356</v>
      </c>
    </row>
    <row r="98" spans="1:15" x14ac:dyDescent="0.25">
      <c r="A98" s="4" t="s">
        <v>195</v>
      </c>
      <c r="B98" s="4" t="s">
        <v>158</v>
      </c>
      <c r="C98" s="4">
        <v>107</v>
      </c>
      <c r="D98" s="4">
        <v>122</v>
      </c>
      <c r="E98" s="4">
        <v>156</v>
      </c>
      <c r="F98" s="4">
        <v>183</v>
      </c>
      <c r="G98" s="4">
        <v>247</v>
      </c>
      <c r="H98" s="4">
        <v>139</v>
      </c>
      <c r="I98" s="4">
        <v>233</v>
      </c>
      <c r="J98" s="4">
        <v>249</v>
      </c>
      <c r="K98" s="4">
        <v>204</v>
      </c>
      <c r="L98" s="4">
        <v>219</v>
      </c>
      <c r="M98" s="4">
        <v>241</v>
      </c>
      <c r="N98" s="4">
        <v>207</v>
      </c>
      <c r="O98" s="5">
        <f t="shared" si="1"/>
        <v>2307</v>
      </c>
    </row>
    <row r="99" spans="1:15" x14ac:dyDescent="0.25">
      <c r="A99" s="4" t="s">
        <v>197</v>
      </c>
      <c r="B99" s="4" t="s">
        <v>440</v>
      </c>
      <c r="C99" s="4">
        <v>107</v>
      </c>
      <c r="D99" s="4">
        <v>178</v>
      </c>
      <c r="E99" s="4">
        <v>167</v>
      </c>
      <c r="F99" s="4">
        <v>164</v>
      </c>
      <c r="G99" s="4">
        <v>245</v>
      </c>
      <c r="H99" s="4">
        <v>195</v>
      </c>
      <c r="I99" s="4">
        <v>245</v>
      </c>
      <c r="J99" s="4">
        <v>201</v>
      </c>
      <c r="K99" s="4">
        <v>191</v>
      </c>
      <c r="L99" s="4">
        <v>210</v>
      </c>
      <c r="M99" s="4">
        <v>202</v>
      </c>
      <c r="N99" s="4">
        <v>189</v>
      </c>
      <c r="O99" s="5">
        <f t="shared" si="1"/>
        <v>2294</v>
      </c>
    </row>
    <row r="100" spans="1:15" x14ac:dyDescent="0.25">
      <c r="A100" s="4" t="s">
        <v>199</v>
      </c>
      <c r="B100" s="4" t="s">
        <v>108</v>
      </c>
      <c r="C100" s="4"/>
      <c r="D100" s="4">
        <v>38</v>
      </c>
      <c r="E100" s="4">
        <v>83</v>
      </c>
      <c r="F100" s="4">
        <v>98</v>
      </c>
      <c r="G100" s="4">
        <v>150</v>
      </c>
      <c r="H100" s="4">
        <v>146</v>
      </c>
      <c r="I100" s="4">
        <v>317</v>
      </c>
      <c r="J100" s="4">
        <v>237</v>
      </c>
      <c r="K100" s="4">
        <v>255</v>
      </c>
      <c r="L100" s="4">
        <v>314</v>
      </c>
      <c r="M100" s="4">
        <v>228</v>
      </c>
      <c r="N100" s="4">
        <v>320</v>
      </c>
      <c r="O100" s="5">
        <f t="shared" si="1"/>
        <v>2186</v>
      </c>
    </row>
    <row r="101" spans="1:15" x14ac:dyDescent="0.25">
      <c r="A101" s="4" t="s">
        <v>201</v>
      </c>
      <c r="B101" s="4" t="s">
        <v>146</v>
      </c>
      <c r="C101" s="4">
        <v>118</v>
      </c>
      <c r="D101" s="4">
        <v>139</v>
      </c>
      <c r="E101" s="4">
        <v>124</v>
      </c>
      <c r="F101" s="4">
        <v>189</v>
      </c>
      <c r="G101" s="4">
        <v>195</v>
      </c>
      <c r="H101" s="4">
        <v>139</v>
      </c>
      <c r="I101" s="4">
        <v>155</v>
      </c>
      <c r="J101" s="4">
        <v>217</v>
      </c>
      <c r="K101" s="4">
        <v>173</v>
      </c>
      <c r="L101" s="4">
        <v>189</v>
      </c>
      <c r="M101" s="4">
        <v>160</v>
      </c>
      <c r="N101" s="4">
        <v>186</v>
      </c>
      <c r="O101" s="5">
        <f t="shared" si="1"/>
        <v>1984</v>
      </c>
    </row>
    <row r="102" spans="1:15" x14ac:dyDescent="0.25">
      <c r="A102" s="4" t="s">
        <v>203</v>
      </c>
      <c r="B102" s="4" t="s">
        <v>408</v>
      </c>
      <c r="C102" s="4">
        <v>145</v>
      </c>
      <c r="D102" s="4">
        <v>161</v>
      </c>
      <c r="E102" s="4">
        <v>194</v>
      </c>
      <c r="F102" s="4">
        <v>192</v>
      </c>
      <c r="G102" s="4">
        <v>185</v>
      </c>
      <c r="H102" s="4">
        <v>135</v>
      </c>
      <c r="I102" s="4">
        <v>133</v>
      </c>
      <c r="J102" s="4">
        <v>157</v>
      </c>
      <c r="K102" s="4">
        <v>164</v>
      </c>
      <c r="L102" s="4">
        <v>169</v>
      </c>
      <c r="M102" s="4">
        <v>148</v>
      </c>
      <c r="N102" s="4">
        <v>200</v>
      </c>
      <c r="O102" s="5">
        <f t="shared" si="1"/>
        <v>1983</v>
      </c>
    </row>
    <row r="103" spans="1:15" x14ac:dyDescent="0.25">
      <c r="A103" s="4" t="s">
        <v>205</v>
      </c>
      <c r="B103" s="4" t="s">
        <v>156</v>
      </c>
      <c r="C103" s="4">
        <v>86</v>
      </c>
      <c r="D103" s="4">
        <v>74</v>
      </c>
      <c r="E103" s="4">
        <v>88</v>
      </c>
      <c r="F103" s="4">
        <v>139</v>
      </c>
      <c r="G103" s="4">
        <v>175</v>
      </c>
      <c r="H103" s="4">
        <v>170</v>
      </c>
      <c r="I103" s="4">
        <v>123</v>
      </c>
      <c r="J103" s="4">
        <v>163</v>
      </c>
      <c r="K103" s="4">
        <v>287</v>
      </c>
      <c r="L103" s="4">
        <v>213</v>
      </c>
      <c r="M103" s="4">
        <v>243</v>
      </c>
      <c r="N103" s="4">
        <v>211</v>
      </c>
      <c r="O103" s="5">
        <f t="shared" si="1"/>
        <v>1972</v>
      </c>
    </row>
    <row r="104" spans="1:15" x14ac:dyDescent="0.25">
      <c r="A104" s="4" t="s">
        <v>207</v>
      </c>
      <c r="B104" s="4" t="s">
        <v>310</v>
      </c>
      <c r="C104" s="4">
        <v>150</v>
      </c>
      <c r="D104" s="4">
        <v>168</v>
      </c>
      <c r="E104" s="4">
        <v>153</v>
      </c>
      <c r="F104" s="4">
        <v>180</v>
      </c>
      <c r="G104" s="4">
        <v>147</v>
      </c>
      <c r="H104" s="4">
        <v>153</v>
      </c>
      <c r="I104" s="4">
        <v>190</v>
      </c>
      <c r="J104" s="4">
        <v>161</v>
      </c>
      <c r="K104" s="4">
        <v>148</v>
      </c>
      <c r="L104" s="4">
        <v>154</v>
      </c>
      <c r="M104" s="4">
        <v>223</v>
      </c>
      <c r="N104" s="4">
        <v>128</v>
      </c>
      <c r="O104" s="5">
        <f t="shared" si="1"/>
        <v>1955</v>
      </c>
    </row>
    <row r="105" spans="1:15" x14ac:dyDescent="0.25">
      <c r="A105" s="4" t="s">
        <v>209</v>
      </c>
      <c r="B105" s="4" t="s">
        <v>392</v>
      </c>
      <c r="C105" s="4">
        <v>234</v>
      </c>
      <c r="D105" s="4">
        <v>160</v>
      </c>
      <c r="E105" s="4">
        <v>153</v>
      </c>
      <c r="F105" s="4">
        <v>180</v>
      </c>
      <c r="G105" s="4">
        <v>151</v>
      </c>
      <c r="H105" s="4">
        <v>79</v>
      </c>
      <c r="I105" s="4">
        <v>162</v>
      </c>
      <c r="J105" s="4">
        <v>309</v>
      </c>
      <c r="K105" s="4">
        <v>99</v>
      </c>
      <c r="L105" s="4">
        <v>121</v>
      </c>
      <c r="M105" s="4">
        <v>96</v>
      </c>
      <c r="N105" s="4">
        <v>104</v>
      </c>
      <c r="O105" s="5">
        <f t="shared" si="1"/>
        <v>1848</v>
      </c>
    </row>
    <row r="106" spans="1:15" x14ac:dyDescent="0.25">
      <c r="A106" s="4" t="s">
        <v>211</v>
      </c>
      <c r="B106" s="4" t="s">
        <v>517</v>
      </c>
      <c r="C106" s="4">
        <v>257</v>
      </c>
      <c r="D106" s="4">
        <v>212</v>
      </c>
      <c r="E106" s="4">
        <v>133</v>
      </c>
      <c r="F106" s="4">
        <v>158</v>
      </c>
      <c r="G106" s="4">
        <v>130</v>
      </c>
      <c r="H106" s="4">
        <v>93</v>
      </c>
      <c r="I106" s="4">
        <v>173</v>
      </c>
      <c r="J106" s="4">
        <v>157</v>
      </c>
      <c r="K106" s="4">
        <v>113</v>
      </c>
      <c r="L106" s="4">
        <v>149</v>
      </c>
      <c r="M106" s="4">
        <v>133</v>
      </c>
      <c r="N106" s="4">
        <v>90</v>
      </c>
      <c r="O106" s="5">
        <f t="shared" si="1"/>
        <v>1798</v>
      </c>
    </row>
    <row r="107" spans="1:15" x14ac:dyDescent="0.25">
      <c r="A107" s="4" t="s">
        <v>213</v>
      </c>
      <c r="B107" s="4" t="s">
        <v>607</v>
      </c>
      <c r="C107" s="4">
        <v>365</v>
      </c>
      <c r="D107" s="4">
        <v>221</v>
      </c>
      <c r="E107" s="4">
        <v>291</v>
      </c>
      <c r="F107" s="4">
        <v>149</v>
      </c>
      <c r="G107" s="4">
        <v>347</v>
      </c>
      <c r="H107" s="4">
        <v>263</v>
      </c>
      <c r="I107" s="4">
        <v>76</v>
      </c>
      <c r="J107" s="4">
        <v>22</v>
      </c>
      <c r="K107" s="4">
        <v>3</v>
      </c>
      <c r="L107" s="4">
        <v>9</v>
      </c>
      <c r="M107" s="4"/>
      <c r="N107" s="4">
        <v>4</v>
      </c>
      <c r="O107" s="5">
        <f t="shared" si="1"/>
        <v>1750</v>
      </c>
    </row>
    <row r="108" spans="1:15" x14ac:dyDescent="0.25">
      <c r="A108" s="4" t="s">
        <v>215</v>
      </c>
      <c r="B108" s="4" t="s">
        <v>174</v>
      </c>
      <c r="C108" s="4">
        <v>225</v>
      </c>
      <c r="D108" s="4">
        <v>145</v>
      </c>
      <c r="E108" s="4">
        <v>160</v>
      </c>
      <c r="F108" s="4">
        <v>150</v>
      </c>
      <c r="G108" s="4">
        <v>131</v>
      </c>
      <c r="H108" s="4">
        <v>96</v>
      </c>
      <c r="I108" s="4">
        <v>159</v>
      </c>
      <c r="J108" s="4">
        <v>162</v>
      </c>
      <c r="K108" s="4">
        <v>135</v>
      </c>
      <c r="L108" s="4">
        <v>155</v>
      </c>
      <c r="M108" s="4">
        <v>106</v>
      </c>
      <c r="N108" s="4">
        <v>78</v>
      </c>
      <c r="O108" s="5">
        <f t="shared" si="1"/>
        <v>1702</v>
      </c>
    </row>
    <row r="109" spans="1:15" x14ac:dyDescent="0.25">
      <c r="A109" s="4" t="s">
        <v>217</v>
      </c>
      <c r="B109" s="4" t="s">
        <v>579</v>
      </c>
      <c r="C109" s="4">
        <v>234</v>
      </c>
      <c r="D109" s="4">
        <v>125</v>
      </c>
      <c r="E109" s="4">
        <v>94</v>
      </c>
      <c r="F109" s="4">
        <v>89</v>
      </c>
      <c r="G109" s="4">
        <v>174</v>
      </c>
      <c r="H109" s="4">
        <v>57</v>
      </c>
      <c r="I109" s="4">
        <v>187</v>
      </c>
      <c r="J109" s="4">
        <v>365</v>
      </c>
      <c r="K109" s="4">
        <v>62</v>
      </c>
      <c r="L109" s="4">
        <v>71</v>
      </c>
      <c r="M109" s="4">
        <v>46</v>
      </c>
      <c r="N109" s="4">
        <v>84</v>
      </c>
      <c r="O109" s="5">
        <f t="shared" si="1"/>
        <v>1588</v>
      </c>
    </row>
    <row r="110" spans="1:15" x14ac:dyDescent="0.25">
      <c r="A110" s="4" t="s">
        <v>219</v>
      </c>
      <c r="B110" s="4" t="s">
        <v>142</v>
      </c>
      <c r="C110" s="4"/>
      <c r="D110" s="4"/>
      <c r="E110" s="4">
        <v>5</v>
      </c>
      <c r="F110" s="4">
        <v>60</v>
      </c>
      <c r="G110" s="4">
        <v>200</v>
      </c>
      <c r="H110" s="4">
        <v>205</v>
      </c>
      <c r="I110" s="4">
        <v>250</v>
      </c>
      <c r="J110" s="4">
        <v>145</v>
      </c>
      <c r="K110" s="4">
        <v>200</v>
      </c>
      <c r="L110" s="4">
        <v>190</v>
      </c>
      <c r="M110" s="4">
        <v>100</v>
      </c>
      <c r="N110" s="4">
        <v>150</v>
      </c>
      <c r="O110" s="5">
        <f t="shared" si="1"/>
        <v>1505</v>
      </c>
    </row>
    <row r="111" spans="1:15" x14ac:dyDescent="0.25">
      <c r="A111" s="4" t="s">
        <v>221</v>
      </c>
      <c r="B111" s="4" t="s">
        <v>645</v>
      </c>
      <c r="C111" s="4">
        <v>259</v>
      </c>
      <c r="D111" s="4">
        <v>233</v>
      </c>
      <c r="E111" s="4">
        <v>187</v>
      </c>
      <c r="F111" s="4">
        <v>155</v>
      </c>
      <c r="G111" s="4">
        <v>143</v>
      </c>
      <c r="H111" s="4">
        <v>137</v>
      </c>
      <c r="I111" s="4">
        <v>103</v>
      </c>
      <c r="J111" s="4">
        <v>79</v>
      </c>
      <c r="K111" s="4">
        <v>33</v>
      </c>
      <c r="L111" s="4">
        <v>31</v>
      </c>
      <c r="M111" s="4">
        <v>12</v>
      </c>
      <c r="N111" s="4">
        <v>10</v>
      </c>
      <c r="O111" s="5">
        <f t="shared" si="1"/>
        <v>1382</v>
      </c>
    </row>
    <row r="112" spans="1:15" x14ac:dyDescent="0.25">
      <c r="A112" s="4" t="s">
        <v>223</v>
      </c>
      <c r="B112" s="4" t="s">
        <v>613</v>
      </c>
      <c r="C112" s="4">
        <v>147</v>
      </c>
      <c r="D112" s="4">
        <v>432</v>
      </c>
      <c r="E112" s="4">
        <v>175</v>
      </c>
      <c r="F112" s="4">
        <v>146</v>
      </c>
      <c r="G112" s="4">
        <v>136</v>
      </c>
      <c r="H112" s="4">
        <v>97</v>
      </c>
      <c r="I112" s="4">
        <v>75</v>
      </c>
      <c r="J112" s="4">
        <v>49</v>
      </c>
      <c r="K112" s="4">
        <v>32</v>
      </c>
      <c r="L112" s="4">
        <v>31</v>
      </c>
      <c r="M112" s="4">
        <v>18</v>
      </c>
      <c r="N112" s="4">
        <v>16</v>
      </c>
      <c r="O112" s="5">
        <f t="shared" si="1"/>
        <v>1354</v>
      </c>
    </row>
    <row r="113" spans="1:15" x14ac:dyDescent="0.25">
      <c r="A113" s="4" t="s">
        <v>225</v>
      </c>
      <c r="B113" s="4" t="s">
        <v>346</v>
      </c>
      <c r="C113" s="4">
        <v>112</v>
      </c>
      <c r="D113" s="4">
        <v>91</v>
      </c>
      <c r="E113" s="4">
        <v>66</v>
      </c>
      <c r="F113" s="4">
        <v>48</v>
      </c>
      <c r="G113" s="4">
        <v>24</v>
      </c>
      <c r="H113" s="4">
        <v>9</v>
      </c>
      <c r="I113" s="4">
        <v>66</v>
      </c>
      <c r="J113" s="4">
        <v>100</v>
      </c>
      <c r="K113" s="4">
        <v>355</v>
      </c>
      <c r="L113" s="4">
        <v>169</v>
      </c>
      <c r="M113" s="4">
        <v>76</v>
      </c>
      <c r="N113" s="4">
        <v>213</v>
      </c>
      <c r="O113" s="5">
        <f t="shared" si="1"/>
        <v>1329</v>
      </c>
    </row>
    <row r="114" spans="1:15" x14ac:dyDescent="0.25">
      <c r="A114" s="4" t="s">
        <v>229</v>
      </c>
      <c r="B114" s="4" t="s">
        <v>580</v>
      </c>
      <c r="C114" s="4">
        <v>131</v>
      </c>
      <c r="D114" s="4">
        <v>125</v>
      </c>
      <c r="E114" s="4">
        <v>112</v>
      </c>
      <c r="F114" s="4">
        <v>135</v>
      </c>
      <c r="G114" s="4">
        <v>124</v>
      </c>
      <c r="H114" s="4">
        <v>79</v>
      </c>
      <c r="I114" s="4">
        <v>113</v>
      </c>
      <c r="J114" s="4">
        <v>60</v>
      </c>
      <c r="K114" s="4">
        <v>73</v>
      </c>
      <c r="L114" s="4">
        <v>98</v>
      </c>
      <c r="M114" s="4">
        <v>95</v>
      </c>
      <c r="N114" s="4">
        <v>94</v>
      </c>
      <c r="O114" s="5">
        <f t="shared" si="1"/>
        <v>1239</v>
      </c>
    </row>
    <row r="115" spans="1:15" x14ac:dyDescent="0.25">
      <c r="A115" s="4" t="s">
        <v>227</v>
      </c>
      <c r="B115" s="4" t="s">
        <v>577</v>
      </c>
      <c r="C115" s="4">
        <v>101</v>
      </c>
      <c r="D115" s="4">
        <v>91</v>
      </c>
      <c r="E115" s="4">
        <v>80</v>
      </c>
      <c r="F115" s="4">
        <v>113</v>
      </c>
      <c r="G115" s="4">
        <v>131</v>
      </c>
      <c r="H115" s="4">
        <v>120</v>
      </c>
      <c r="I115" s="4">
        <v>97</v>
      </c>
      <c r="J115" s="4">
        <v>151</v>
      </c>
      <c r="K115" s="4">
        <v>71</v>
      </c>
      <c r="L115" s="4">
        <v>91</v>
      </c>
      <c r="M115" s="4">
        <v>79</v>
      </c>
      <c r="N115" s="4">
        <v>109</v>
      </c>
      <c r="O115" s="5">
        <f t="shared" si="1"/>
        <v>1234</v>
      </c>
    </row>
    <row r="116" spans="1:15" x14ac:dyDescent="0.25">
      <c r="A116" s="4" t="s">
        <v>231</v>
      </c>
      <c r="B116" s="4" t="s">
        <v>528</v>
      </c>
      <c r="C116" s="4">
        <v>44</v>
      </c>
      <c r="D116" s="4">
        <v>80</v>
      </c>
      <c r="E116" s="4">
        <v>128</v>
      </c>
      <c r="F116" s="4">
        <v>122</v>
      </c>
      <c r="G116" s="4">
        <v>149</v>
      </c>
      <c r="H116" s="4">
        <v>117</v>
      </c>
      <c r="I116" s="4">
        <v>97</v>
      </c>
      <c r="J116" s="4">
        <v>114</v>
      </c>
      <c r="K116" s="4">
        <v>118</v>
      </c>
      <c r="L116" s="4">
        <v>98</v>
      </c>
      <c r="M116" s="4">
        <v>63</v>
      </c>
      <c r="N116" s="4">
        <v>80</v>
      </c>
      <c r="O116" s="5">
        <f t="shared" si="1"/>
        <v>1210</v>
      </c>
    </row>
    <row r="117" spans="1:15" x14ac:dyDescent="0.25">
      <c r="A117" s="4" t="s">
        <v>233</v>
      </c>
      <c r="B117" s="4" t="s">
        <v>228</v>
      </c>
      <c r="C117" s="4">
        <v>101</v>
      </c>
      <c r="D117" s="4">
        <v>88</v>
      </c>
      <c r="E117" s="4">
        <v>108</v>
      </c>
      <c r="F117" s="4">
        <v>80</v>
      </c>
      <c r="G117" s="4">
        <v>46</v>
      </c>
      <c r="H117" s="4">
        <v>27</v>
      </c>
      <c r="I117" s="4">
        <v>93</v>
      </c>
      <c r="J117" s="4">
        <v>217</v>
      </c>
      <c r="K117" s="4">
        <v>85</v>
      </c>
      <c r="L117" s="4">
        <v>48</v>
      </c>
      <c r="M117" s="4">
        <v>86</v>
      </c>
      <c r="N117" s="4">
        <v>180</v>
      </c>
      <c r="O117" s="5">
        <f t="shared" si="1"/>
        <v>1159</v>
      </c>
    </row>
    <row r="118" spans="1:15" x14ac:dyDescent="0.25">
      <c r="A118" s="4" t="s">
        <v>235</v>
      </c>
      <c r="B118" s="4" t="s">
        <v>647</v>
      </c>
      <c r="C118" s="4">
        <v>189</v>
      </c>
      <c r="D118" s="4">
        <v>246</v>
      </c>
      <c r="E118" s="4">
        <v>152</v>
      </c>
      <c r="F118" s="4">
        <v>170</v>
      </c>
      <c r="G118" s="4">
        <v>111</v>
      </c>
      <c r="H118" s="4">
        <v>87</v>
      </c>
      <c r="I118" s="4">
        <v>74</v>
      </c>
      <c r="J118" s="4">
        <v>62</v>
      </c>
      <c r="K118" s="4">
        <v>23</v>
      </c>
      <c r="L118" s="4">
        <v>10</v>
      </c>
      <c r="M118" s="4">
        <v>13</v>
      </c>
      <c r="N118" s="4">
        <v>14</v>
      </c>
      <c r="O118" s="5">
        <f t="shared" si="1"/>
        <v>1151</v>
      </c>
    </row>
    <row r="119" spans="1:15" x14ac:dyDescent="0.25">
      <c r="A119" s="4" t="s">
        <v>237</v>
      </c>
      <c r="B119" s="4" t="s">
        <v>224</v>
      </c>
      <c r="C119" s="4">
        <v>87</v>
      </c>
      <c r="D119" s="4">
        <v>103</v>
      </c>
      <c r="E119" s="4">
        <v>105</v>
      </c>
      <c r="F119" s="4">
        <v>129</v>
      </c>
      <c r="G119" s="4">
        <v>92</v>
      </c>
      <c r="H119" s="4">
        <v>74</v>
      </c>
      <c r="I119" s="4">
        <v>81</v>
      </c>
      <c r="J119" s="4">
        <v>102</v>
      </c>
      <c r="K119" s="4">
        <v>85</v>
      </c>
      <c r="L119" s="4">
        <v>66</v>
      </c>
      <c r="M119" s="4">
        <v>82</v>
      </c>
      <c r="N119" s="4">
        <v>129</v>
      </c>
      <c r="O119" s="5">
        <f t="shared" si="1"/>
        <v>1135</v>
      </c>
    </row>
    <row r="120" spans="1:15" x14ac:dyDescent="0.25">
      <c r="A120" s="4" t="s">
        <v>239</v>
      </c>
      <c r="B120" s="4" t="s">
        <v>601</v>
      </c>
      <c r="C120" s="4">
        <v>276</v>
      </c>
      <c r="D120" s="4">
        <v>251</v>
      </c>
      <c r="E120" s="4">
        <v>170</v>
      </c>
      <c r="F120" s="4">
        <v>130</v>
      </c>
      <c r="G120" s="4">
        <v>98</v>
      </c>
      <c r="H120" s="4">
        <v>55</v>
      </c>
      <c r="I120" s="4">
        <v>64</v>
      </c>
      <c r="J120" s="4">
        <v>32</v>
      </c>
      <c r="K120" s="4">
        <v>20</v>
      </c>
      <c r="L120" s="4">
        <v>19</v>
      </c>
      <c r="M120" s="4">
        <v>9</v>
      </c>
      <c r="N120" s="4">
        <v>7</v>
      </c>
      <c r="O120" s="5">
        <f t="shared" si="1"/>
        <v>1131</v>
      </c>
    </row>
    <row r="121" spans="1:15" x14ac:dyDescent="0.25">
      <c r="A121" s="4" t="s">
        <v>243</v>
      </c>
      <c r="B121" s="4" t="s">
        <v>396</v>
      </c>
      <c r="C121" s="4">
        <v>75</v>
      </c>
      <c r="D121" s="4">
        <v>117</v>
      </c>
      <c r="E121" s="4">
        <v>91</v>
      </c>
      <c r="F121" s="4">
        <v>103</v>
      </c>
      <c r="G121" s="4">
        <v>97</v>
      </c>
      <c r="H121" s="4">
        <v>63</v>
      </c>
      <c r="I121" s="4">
        <v>96</v>
      </c>
      <c r="J121" s="4">
        <v>112</v>
      </c>
      <c r="K121" s="4">
        <v>99</v>
      </c>
      <c r="L121" s="4">
        <v>107</v>
      </c>
      <c r="M121" s="4">
        <v>62</v>
      </c>
      <c r="N121" s="4">
        <v>75</v>
      </c>
      <c r="O121" s="5">
        <f t="shared" si="1"/>
        <v>1097</v>
      </c>
    </row>
    <row r="122" spans="1:15" x14ac:dyDescent="0.25">
      <c r="A122" s="4" t="s">
        <v>241</v>
      </c>
      <c r="B122" s="4" t="s">
        <v>270</v>
      </c>
      <c r="C122" s="4">
        <v>127</v>
      </c>
      <c r="D122" s="4">
        <v>117</v>
      </c>
      <c r="E122" s="4">
        <v>111</v>
      </c>
      <c r="F122" s="4">
        <v>105</v>
      </c>
      <c r="G122" s="4">
        <v>108</v>
      </c>
      <c r="H122" s="4">
        <v>58</v>
      </c>
      <c r="I122" s="4">
        <v>61</v>
      </c>
      <c r="J122" s="4">
        <v>79</v>
      </c>
      <c r="K122" s="4">
        <v>49</v>
      </c>
      <c r="L122" s="4">
        <v>35</v>
      </c>
      <c r="M122" s="4">
        <v>53</v>
      </c>
      <c r="N122" s="4">
        <v>185</v>
      </c>
      <c r="O122" s="5">
        <f t="shared" si="1"/>
        <v>1088</v>
      </c>
    </row>
    <row r="123" spans="1:15" x14ac:dyDescent="0.25">
      <c r="A123" s="4" t="s">
        <v>245</v>
      </c>
      <c r="B123" s="4" t="s">
        <v>176</v>
      </c>
      <c r="C123" s="4">
        <v>52</v>
      </c>
      <c r="D123" s="4">
        <v>72</v>
      </c>
      <c r="E123" s="4">
        <v>109</v>
      </c>
      <c r="F123" s="4">
        <v>94</v>
      </c>
      <c r="G123" s="4">
        <v>99</v>
      </c>
      <c r="H123" s="4">
        <v>85</v>
      </c>
      <c r="I123" s="4">
        <v>93</v>
      </c>
      <c r="J123" s="4">
        <v>99</v>
      </c>
      <c r="K123" s="4">
        <v>82</v>
      </c>
      <c r="L123" s="4">
        <v>92</v>
      </c>
      <c r="M123" s="4">
        <v>85</v>
      </c>
      <c r="N123" s="4">
        <v>107</v>
      </c>
      <c r="O123" s="5">
        <f t="shared" si="1"/>
        <v>1069</v>
      </c>
    </row>
    <row r="124" spans="1:15" x14ac:dyDescent="0.25">
      <c r="A124" s="4" t="s">
        <v>247</v>
      </c>
      <c r="B124" s="4" t="s">
        <v>384</v>
      </c>
      <c r="C124" s="4">
        <v>62</v>
      </c>
      <c r="D124" s="4">
        <v>97</v>
      </c>
      <c r="E124" s="4">
        <v>83</v>
      </c>
      <c r="F124" s="4">
        <v>149</v>
      </c>
      <c r="G124" s="4">
        <v>93</v>
      </c>
      <c r="H124" s="4">
        <v>55</v>
      </c>
      <c r="I124" s="4">
        <v>79</v>
      </c>
      <c r="J124" s="4">
        <v>88</v>
      </c>
      <c r="K124" s="4">
        <v>94</v>
      </c>
      <c r="L124" s="4">
        <v>80</v>
      </c>
      <c r="M124" s="4">
        <v>90</v>
      </c>
      <c r="N124" s="4">
        <v>86</v>
      </c>
      <c r="O124" s="5">
        <f t="shared" si="1"/>
        <v>1056</v>
      </c>
    </row>
    <row r="125" spans="1:15" x14ac:dyDescent="0.25">
      <c r="A125" s="4" t="s">
        <v>249</v>
      </c>
      <c r="B125" s="4" t="s">
        <v>652</v>
      </c>
      <c r="C125" s="4">
        <v>187</v>
      </c>
      <c r="D125" s="4">
        <v>98</v>
      </c>
      <c r="E125" s="4">
        <v>93</v>
      </c>
      <c r="F125" s="4">
        <v>103</v>
      </c>
      <c r="G125" s="4">
        <v>99</v>
      </c>
      <c r="H125" s="4">
        <v>88</v>
      </c>
      <c r="I125" s="4">
        <v>104</v>
      </c>
      <c r="J125" s="4">
        <v>80</v>
      </c>
      <c r="K125" s="4">
        <v>62</v>
      </c>
      <c r="L125" s="4">
        <v>37</v>
      </c>
      <c r="M125" s="4">
        <v>42</v>
      </c>
      <c r="N125" s="4">
        <v>56</v>
      </c>
      <c r="O125" s="5">
        <f t="shared" si="1"/>
        <v>1049</v>
      </c>
    </row>
    <row r="126" spans="1:15" x14ac:dyDescent="0.25">
      <c r="A126" s="4" t="s">
        <v>253</v>
      </c>
      <c r="B126" s="4" t="s">
        <v>448</v>
      </c>
      <c r="C126" s="4">
        <v>85</v>
      </c>
      <c r="D126" s="4">
        <v>94</v>
      </c>
      <c r="E126" s="4">
        <v>83</v>
      </c>
      <c r="F126" s="4">
        <v>99</v>
      </c>
      <c r="G126" s="4">
        <v>68</v>
      </c>
      <c r="H126" s="4">
        <v>54</v>
      </c>
      <c r="I126" s="4">
        <v>72</v>
      </c>
      <c r="J126" s="4">
        <v>86</v>
      </c>
      <c r="K126" s="4">
        <v>64</v>
      </c>
      <c r="L126" s="4">
        <v>77</v>
      </c>
      <c r="M126" s="4">
        <v>64</v>
      </c>
      <c r="N126" s="4">
        <v>84</v>
      </c>
      <c r="O126" s="5">
        <f t="shared" si="1"/>
        <v>930</v>
      </c>
    </row>
    <row r="127" spans="1:15" x14ac:dyDescent="0.25">
      <c r="A127" s="4" t="s">
        <v>251</v>
      </c>
      <c r="B127" s="4" t="s">
        <v>610</v>
      </c>
      <c r="C127" s="4">
        <v>172</v>
      </c>
      <c r="D127" s="4">
        <v>109</v>
      </c>
      <c r="E127" s="4">
        <v>80</v>
      </c>
      <c r="F127" s="4">
        <v>69</v>
      </c>
      <c r="G127" s="4">
        <v>63</v>
      </c>
      <c r="H127" s="4">
        <v>62</v>
      </c>
      <c r="I127" s="4">
        <v>41</v>
      </c>
      <c r="J127" s="4">
        <v>51</v>
      </c>
      <c r="K127" s="4">
        <v>71</v>
      </c>
      <c r="L127" s="4">
        <v>74</v>
      </c>
      <c r="M127" s="4">
        <v>22</v>
      </c>
      <c r="N127" s="4">
        <v>39</v>
      </c>
      <c r="O127" s="5">
        <f t="shared" si="1"/>
        <v>853</v>
      </c>
    </row>
    <row r="128" spans="1:15" x14ac:dyDescent="0.25">
      <c r="A128" s="4" t="s">
        <v>255</v>
      </c>
      <c r="B128" s="4" t="s">
        <v>246</v>
      </c>
      <c r="C128" s="4">
        <v>70</v>
      </c>
      <c r="D128" s="4">
        <v>83</v>
      </c>
      <c r="E128" s="4">
        <v>90</v>
      </c>
      <c r="F128" s="4">
        <v>107</v>
      </c>
      <c r="G128" s="4">
        <v>91</v>
      </c>
      <c r="H128" s="4">
        <v>77</v>
      </c>
      <c r="I128" s="4">
        <v>61</v>
      </c>
      <c r="J128" s="4">
        <v>67</v>
      </c>
      <c r="K128" s="4">
        <v>59</v>
      </c>
      <c r="L128" s="4">
        <v>71</v>
      </c>
      <c r="M128" s="4">
        <v>44</v>
      </c>
      <c r="N128" s="4">
        <v>29</v>
      </c>
      <c r="O128" s="5">
        <f t="shared" si="1"/>
        <v>849</v>
      </c>
    </row>
    <row r="129" spans="1:15" x14ac:dyDescent="0.25">
      <c r="A129" s="4" t="s">
        <v>257</v>
      </c>
      <c r="B129" s="4" t="s">
        <v>216</v>
      </c>
      <c r="C129" s="4">
        <v>78</v>
      </c>
      <c r="D129" s="4">
        <v>67</v>
      </c>
      <c r="E129" s="4">
        <v>64</v>
      </c>
      <c r="F129" s="4">
        <v>45</v>
      </c>
      <c r="G129" s="4">
        <v>58</v>
      </c>
      <c r="H129" s="4">
        <v>66</v>
      </c>
      <c r="I129" s="4">
        <v>48</v>
      </c>
      <c r="J129" s="4">
        <v>76</v>
      </c>
      <c r="K129" s="4">
        <v>77</v>
      </c>
      <c r="L129" s="4">
        <v>87</v>
      </c>
      <c r="M129" s="4">
        <v>85</v>
      </c>
      <c r="N129" s="4">
        <v>92</v>
      </c>
      <c r="O129" s="5">
        <f t="shared" si="1"/>
        <v>843</v>
      </c>
    </row>
    <row r="130" spans="1:15" x14ac:dyDescent="0.25">
      <c r="A130" s="4" t="s">
        <v>259</v>
      </c>
      <c r="B130" s="4" t="s">
        <v>570</v>
      </c>
      <c r="C130" s="4">
        <v>216</v>
      </c>
      <c r="D130" s="4">
        <v>111</v>
      </c>
      <c r="E130" s="4">
        <v>113</v>
      </c>
      <c r="F130" s="4">
        <v>118</v>
      </c>
      <c r="G130" s="4">
        <v>71</v>
      </c>
      <c r="H130" s="4">
        <v>51</v>
      </c>
      <c r="I130" s="4">
        <v>40</v>
      </c>
      <c r="J130" s="4">
        <v>41</v>
      </c>
      <c r="K130" s="4">
        <v>20</v>
      </c>
      <c r="L130" s="4">
        <v>27</v>
      </c>
      <c r="M130" s="4">
        <v>12</v>
      </c>
      <c r="N130" s="4">
        <v>12</v>
      </c>
      <c r="O130" s="5">
        <f t="shared" si="1"/>
        <v>832</v>
      </c>
    </row>
    <row r="131" spans="1:15" x14ac:dyDescent="0.25">
      <c r="A131" s="4" t="s">
        <v>261</v>
      </c>
      <c r="B131" s="4" t="s">
        <v>186</v>
      </c>
      <c r="C131" s="4">
        <v>52</v>
      </c>
      <c r="D131" s="4">
        <v>42</v>
      </c>
      <c r="E131" s="4">
        <v>67</v>
      </c>
      <c r="F131" s="4">
        <v>69</v>
      </c>
      <c r="G131" s="4">
        <v>79</v>
      </c>
      <c r="H131" s="4">
        <v>88</v>
      </c>
      <c r="I131" s="4">
        <v>75</v>
      </c>
      <c r="J131" s="4">
        <v>64</v>
      </c>
      <c r="K131" s="4">
        <v>72</v>
      </c>
      <c r="L131" s="4">
        <v>64</v>
      </c>
      <c r="M131" s="4">
        <v>59</v>
      </c>
      <c r="N131" s="4">
        <v>80</v>
      </c>
      <c r="O131" s="5">
        <f t="shared" si="1"/>
        <v>811</v>
      </c>
    </row>
    <row r="132" spans="1:15" x14ac:dyDescent="0.25">
      <c r="A132" s="4" t="s">
        <v>265</v>
      </c>
      <c r="B132" s="4" t="s">
        <v>518</v>
      </c>
      <c r="C132" s="4">
        <v>56</v>
      </c>
      <c r="D132" s="4">
        <v>58</v>
      </c>
      <c r="E132" s="4">
        <v>59</v>
      </c>
      <c r="F132" s="4">
        <v>54</v>
      </c>
      <c r="G132" s="4">
        <v>53</v>
      </c>
      <c r="H132" s="4">
        <v>89</v>
      </c>
      <c r="I132" s="4">
        <v>87</v>
      </c>
      <c r="J132" s="4">
        <v>68</v>
      </c>
      <c r="K132" s="4">
        <v>40</v>
      </c>
      <c r="L132" s="4">
        <v>46</v>
      </c>
      <c r="M132" s="4">
        <v>45</v>
      </c>
      <c r="N132" s="4">
        <v>67</v>
      </c>
      <c r="O132" s="5">
        <f t="shared" ref="O132:O195" si="2">SUM(C132:N132)</f>
        <v>722</v>
      </c>
    </row>
    <row r="133" spans="1:15" x14ac:dyDescent="0.25">
      <c r="A133" s="4" t="s">
        <v>263</v>
      </c>
      <c r="B133" s="4" t="s">
        <v>212</v>
      </c>
      <c r="C133" s="4">
        <v>4</v>
      </c>
      <c r="D133" s="4">
        <v>4</v>
      </c>
      <c r="E133" s="4">
        <v>73</v>
      </c>
      <c r="F133" s="4">
        <v>87</v>
      </c>
      <c r="G133" s="4">
        <v>71</v>
      </c>
      <c r="H133" s="4">
        <v>57</v>
      </c>
      <c r="I133" s="4">
        <v>49</v>
      </c>
      <c r="J133" s="4">
        <v>71</v>
      </c>
      <c r="K133" s="4">
        <v>58</v>
      </c>
      <c r="L133" s="4">
        <v>83</v>
      </c>
      <c r="M133" s="4">
        <v>61</v>
      </c>
      <c r="N133" s="4">
        <v>91</v>
      </c>
      <c r="O133" s="5">
        <f t="shared" si="2"/>
        <v>709</v>
      </c>
    </row>
    <row r="134" spans="1:15" x14ac:dyDescent="0.25">
      <c r="A134" s="4" t="s">
        <v>267</v>
      </c>
      <c r="B134" s="4" t="s">
        <v>238</v>
      </c>
      <c r="C134" s="4">
        <v>60</v>
      </c>
      <c r="D134" s="4">
        <v>41</v>
      </c>
      <c r="E134" s="4">
        <v>31</v>
      </c>
      <c r="F134" s="4">
        <v>26</v>
      </c>
      <c r="G134" s="4">
        <v>38</v>
      </c>
      <c r="H134" s="4">
        <v>45</v>
      </c>
      <c r="I134" s="4">
        <v>80</v>
      </c>
      <c r="J134" s="4">
        <v>74</v>
      </c>
      <c r="K134" s="4">
        <v>60</v>
      </c>
      <c r="L134" s="4">
        <v>70</v>
      </c>
      <c r="M134" s="4">
        <v>70</v>
      </c>
      <c r="N134" s="4">
        <v>89</v>
      </c>
      <c r="O134" s="5">
        <f t="shared" si="2"/>
        <v>684</v>
      </c>
    </row>
    <row r="135" spans="1:15" x14ac:dyDescent="0.25">
      <c r="A135" s="4" t="s">
        <v>269</v>
      </c>
      <c r="B135" s="4" t="s">
        <v>170</v>
      </c>
      <c r="C135" s="4">
        <v>71</v>
      </c>
      <c r="D135" s="4">
        <v>65</v>
      </c>
      <c r="E135" s="4">
        <v>58</v>
      </c>
      <c r="F135" s="4">
        <v>59</v>
      </c>
      <c r="G135" s="4">
        <v>57</v>
      </c>
      <c r="H135" s="4">
        <v>23</v>
      </c>
      <c r="I135" s="4">
        <v>11</v>
      </c>
      <c r="J135" s="4">
        <v>1</v>
      </c>
      <c r="K135" s="4"/>
      <c r="L135" s="4">
        <v>1</v>
      </c>
      <c r="M135" s="4">
        <v>8</v>
      </c>
      <c r="N135" s="4">
        <v>298</v>
      </c>
      <c r="O135" s="5">
        <f t="shared" si="2"/>
        <v>652</v>
      </c>
    </row>
    <row r="136" spans="1:15" x14ac:dyDescent="0.25">
      <c r="A136" s="4" t="s">
        <v>271</v>
      </c>
      <c r="B136" s="4" t="s">
        <v>581</v>
      </c>
      <c r="C136" s="4">
        <v>20</v>
      </c>
      <c r="D136" s="4">
        <v>74</v>
      </c>
      <c r="E136" s="4">
        <v>67</v>
      </c>
      <c r="F136" s="4">
        <v>77</v>
      </c>
      <c r="G136" s="4">
        <v>55</v>
      </c>
      <c r="H136" s="4">
        <v>100</v>
      </c>
      <c r="I136" s="4">
        <v>36</v>
      </c>
      <c r="J136" s="4">
        <v>50</v>
      </c>
      <c r="K136" s="4">
        <v>21</v>
      </c>
      <c r="L136" s="4">
        <v>27</v>
      </c>
      <c r="M136" s="4">
        <v>66</v>
      </c>
      <c r="N136" s="4">
        <v>43</v>
      </c>
      <c r="O136" s="5">
        <f t="shared" si="2"/>
        <v>636</v>
      </c>
    </row>
    <row r="137" spans="1:15" x14ac:dyDescent="0.25">
      <c r="A137" s="4" t="s">
        <v>273</v>
      </c>
      <c r="B137" s="4" t="s">
        <v>606</v>
      </c>
      <c r="C137" s="4">
        <v>21</v>
      </c>
      <c r="D137" s="4">
        <v>39</v>
      </c>
      <c r="E137" s="4">
        <v>41</v>
      </c>
      <c r="F137" s="4">
        <v>37</v>
      </c>
      <c r="G137" s="4">
        <v>51</v>
      </c>
      <c r="H137" s="4">
        <v>27</v>
      </c>
      <c r="I137" s="4">
        <v>65</v>
      </c>
      <c r="J137" s="4">
        <v>86</v>
      </c>
      <c r="K137" s="4">
        <v>68</v>
      </c>
      <c r="L137" s="4">
        <v>141</v>
      </c>
      <c r="M137" s="4">
        <v>38</v>
      </c>
      <c r="N137" s="4">
        <v>12</v>
      </c>
      <c r="O137" s="5">
        <f t="shared" si="2"/>
        <v>626</v>
      </c>
    </row>
    <row r="138" spans="1:15" x14ac:dyDescent="0.25">
      <c r="A138" s="4" t="s">
        <v>275</v>
      </c>
      <c r="B138" s="4" t="s">
        <v>662</v>
      </c>
      <c r="C138" s="4">
        <v>26</v>
      </c>
      <c r="D138" s="4"/>
      <c r="E138" s="4">
        <v>43</v>
      </c>
      <c r="F138" s="4"/>
      <c r="G138" s="4">
        <v>70</v>
      </c>
      <c r="H138" s="4">
        <v>38</v>
      </c>
      <c r="I138" s="4">
        <v>72</v>
      </c>
      <c r="J138" s="4">
        <v>56</v>
      </c>
      <c r="K138" s="4">
        <v>63</v>
      </c>
      <c r="L138" s="4">
        <v>61</v>
      </c>
      <c r="M138" s="4">
        <v>53</v>
      </c>
      <c r="N138" s="4">
        <v>113</v>
      </c>
      <c r="O138" s="5">
        <f t="shared" si="2"/>
        <v>595</v>
      </c>
    </row>
    <row r="139" spans="1:15" x14ac:dyDescent="0.25">
      <c r="A139" s="4" t="s">
        <v>277</v>
      </c>
      <c r="B139" s="4" t="s">
        <v>480</v>
      </c>
      <c r="C139" s="4">
        <v>38</v>
      </c>
      <c r="D139" s="4">
        <v>67</v>
      </c>
      <c r="E139" s="4">
        <v>8</v>
      </c>
      <c r="F139" s="4">
        <v>5</v>
      </c>
      <c r="G139" s="4">
        <v>59</v>
      </c>
      <c r="H139" s="4">
        <v>89</v>
      </c>
      <c r="I139" s="4">
        <v>52</v>
      </c>
      <c r="J139" s="4">
        <v>54</v>
      </c>
      <c r="K139" s="4">
        <v>67</v>
      </c>
      <c r="L139" s="4">
        <v>57</v>
      </c>
      <c r="M139" s="4">
        <v>36</v>
      </c>
      <c r="N139" s="4">
        <v>47</v>
      </c>
      <c r="O139" s="5">
        <f t="shared" si="2"/>
        <v>579</v>
      </c>
    </row>
    <row r="140" spans="1:15" x14ac:dyDescent="0.25">
      <c r="A140" s="4" t="s">
        <v>279</v>
      </c>
      <c r="B140" s="4" t="s">
        <v>144</v>
      </c>
      <c r="C140" s="4">
        <v>47</v>
      </c>
      <c r="D140" s="4">
        <v>56</v>
      </c>
      <c r="E140" s="4">
        <v>37</v>
      </c>
      <c r="F140" s="4">
        <v>47</v>
      </c>
      <c r="G140" s="4">
        <v>37</v>
      </c>
      <c r="H140" s="4">
        <v>42</v>
      </c>
      <c r="I140" s="4">
        <v>32</v>
      </c>
      <c r="J140" s="4">
        <v>39</v>
      </c>
      <c r="K140" s="4">
        <v>31</v>
      </c>
      <c r="L140" s="4">
        <v>56</v>
      </c>
      <c r="M140" s="4">
        <v>73</v>
      </c>
      <c r="N140" s="4">
        <v>65</v>
      </c>
      <c r="O140" s="5">
        <f t="shared" si="2"/>
        <v>562</v>
      </c>
    </row>
    <row r="141" spans="1:15" x14ac:dyDescent="0.25">
      <c r="A141" s="4" t="s">
        <v>281</v>
      </c>
      <c r="B141" s="4" t="s">
        <v>264</v>
      </c>
      <c r="C141" s="4">
        <v>90</v>
      </c>
      <c r="D141" s="4">
        <v>38</v>
      </c>
      <c r="E141" s="4">
        <v>35</v>
      </c>
      <c r="F141" s="4">
        <v>75</v>
      </c>
      <c r="G141" s="4">
        <v>68</v>
      </c>
      <c r="H141" s="4">
        <v>45</v>
      </c>
      <c r="I141" s="4">
        <v>22</v>
      </c>
      <c r="J141" s="4">
        <v>31</v>
      </c>
      <c r="K141" s="4">
        <v>24</v>
      </c>
      <c r="L141" s="4">
        <v>22</v>
      </c>
      <c r="M141" s="4">
        <v>49</v>
      </c>
      <c r="N141" s="4">
        <v>53</v>
      </c>
      <c r="O141" s="5">
        <f t="shared" si="2"/>
        <v>552</v>
      </c>
    </row>
    <row r="142" spans="1:15" x14ac:dyDescent="0.25">
      <c r="A142" s="4" t="s">
        <v>285</v>
      </c>
      <c r="B142" s="4" t="s">
        <v>290</v>
      </c>
      <c r="C142" s="4">
        <v>54</v>
      </c>
      <c r="D142" s="4">
        <v>47</v>
      </c>
      <c r="E142" s="4">
        <v>49</v>
      </c>
      <c r="F142" s="4">
        <v>42</v>
      </c>
      <c r="G142" s="4">
        <v>51</v>
      </c>
      <c r="H142" s="4">
        <v>34</v>
      </c>
      <c r="I142" s="4">
        <v>36</v>
      </c>
      <c r="J142" s="4">
        <v>51</v>
      </c>
      <c r="K142" s="4">
        <v>57</v>
      </c>
      <c r="L142" s="4">
        <v>34</v>
      </c>
      <c r="M142" s="4">
        <v>44</v>
      </c>
      <c r="N142" s="4">
        <v>32</v>
      </c>
      <c r="O142" s="5">
        <f t="shared" si="2"/>
        <v>531</v>
      </c>
    </row>
    <row r="143" spans="1:15" x14ac:dyDescent="0.25">
      <c r="A143" s="4" t="s">
        <v>283</v>
      </c>
      <c r="B143" s="4" t="s">
        <v>535</v>
      </c>
      <c r="C143" s="4">
        <v>107</v>
      </c>
      <c r="D143" s="4">
        <v>123</v>
      </c>
      <c r="E143" s="4">
        <v>77</v>
      </c>
      <c r="F143" s="4">
        <v>66</v>
      </c>
      <c r="G143" s="4">
        <v>53</v>
      </c>
      <c r="H143" s="4">
        <v>33</v>
      </c>
      <c r="I143" s="4">
        <v>33</v>
      </c>
      <c r="J143" s="4">
        <v>12</v>
      </c>
      <c r="K143" s="4">
        <v>8</v>
      </c>
      <c r="L143" s="4">
        <v>7</v>
      </c>
      <c r="M143" s="4">
        <v>1</v>
      </c>
      <c r="N143" s="4">
        <v>6</v>
      </c>
      <c r="O143" s="5">
        <f t="shared" si="2"/>
        <v>526</v>
      </c>
    </row>
    <row r="144" spans="1:15" x14ac:dyDescent="0.25">
      <c r="A144" s="4" t="s">
        <v>287</v>
      </c>
      <c r="B144" s="4" t="s">
        <v>252</v>
      </c>
      <c r="C144" s="4">
        <v>12</v>
      </c>
      <c r="D144" s="4">
        <v>52</v>
      </c>
      <c r="E144" s="4">
        <v>51</v>
      </c>
      <c r="F144" s="4">
        <v>85</v>
      </c>
      <c r="G144" s="4">
        <v>111</v>
      </c>
      <c r="H144" s="4">
        <v>58</v>
      </c>
      <c r="I144" s="4">
        <v>33</v>
      </c>
      <c r="J144" s="4">
        <v>7</v>
      </c>
      <c r="K144" s="4">
        <v>3</v>
      </c>
      <c r="L144" s="4">
        <v>48</v>
      </c>
      <c r="M144" s="4">
        <v>38</v>
      </c>
      <c r="N144" s="4">
        <v>15</v>
      </c>
      <c r="O144" s="5">
        <f t="shared" si="2"/>
        <v>513</v>
      </c>
    </row>
    <row r="145" spans="1:15" x14ac:dyDescent="0.25">
      <c r="A145" s="4" t="s">
        <v>289</v>
      </c>
      <c r="B145" s="4" t="s">
        <v>172</v>
      </c>
      <c r="C145" s="4">
        <v>2</v>
      </c>
      <c r="D145" s="4"/>
      <c r="E145" s="4"/>
      <c r="F145" s="4">
        <v>1</v>
      </c>
      <c r="G145" s="4">
        <v>2</v>
      </c>
      <c r="H145" s="4">
        <v>84</v>
      </c>
      <c r="I145" s="4">
        <v>147</v>
      </c>
      <c r="J145" s="4">
        <v>67</v>
      </c>
      <c r="K145" s="4">
        <v>66</v>
      </c>
      <c r="L145" s="4">
        <v>71</v>
      </c>
      <c r="M145" s="4">
        <v>32</v>
      </c>
      <c r="N145" s="4">
        <v>26</v>
      </c>
      <c r="O145" s="5">
        <f t="shared" si="2"/>
        <v>498</v>
      </c>
    </row>
    <row r="146" spans="1:15" x14ac:dyDescent="0.25">
      <c r="A146" s="4" t="s">
        <v>291</v>
      </c>
      <c r="B146" s="4" t="s">
        <v>292</v>
      </c>
      <c r="C146" s="4"/>
      <c r="D146" s="4"/>
      <c r="E146" s="4"/>
      <c r="F146" s="4"/>
      <c r="G146" s="4">
        <v>29</v>
      </c>
      <c r="H146" s="4">
        <v>53</v>
      </c>
      <c r="I146" s="4">
        <v>74</v>
      </c>
      <c r="J146" s="4">
        <v>58</v>
      </c>
      <c r="K146" s="4">
        <v>55</v>
      </c>
      <c r="L146" s="4">
        <v>77</v>
      </c>
      <c r="M146" s="4">
        <v>64</v>
      </c>
      <c r="N146" s="4">
        <v>80</v>
      </c>
      <c r="O146" s="5">
        <f t="shared" si="2"/>
        <v>490</v>
      </c>
    </row>
    <row r="147" spans="1:15" x14ac:dyDescent="0.25">
      <c r="A147" s="4" t="s">
        <v>293</v>
      </c>
      <c r="B147" s="4" t="s">
        <v>234</v>
      </c>
      <c r="C147" s="4">
        <v>51</v>
      </c>
      <c r="D147" s="4">
        <v>64</v>
      </c>
      <c r="E147" s="4">
        <v>27</v>
      </c>
      <c r="F147" s="4">
        <v>49</v>
      </c>
      <c r="G147" s="4">
        <v>46</v>
      </c>
      <c r="H147" s="4">
        <v>41</v>
      </c>
      <c r="I147" s="4">
        <v>40</v>
      </c>
      <c r="J147" s="4">
        <v>32</v>
      </c>
      <c r="K147" s="4">
        <v>29</v>
      </c>
      <c r="L147" s="4">
        <v>34</v>
      </c>
      <c r="M147" s="4">
        <v>29</v>
      </c>
      <c r="N147" s="4">
        <v>41</v>
      </c>
      <c r="O147" s="5">
        <f t="shared" si="2"/>
        <v>483</v>
      </c>
    </row>
    <row r="148" spans="1:15" x14ac:dyDescent="0.25">
      <c r="A148" s="4" t="s">
        <v>295</v>
      </c>
      <c r="B148" s="4" t="s">
        <v>666</v>
      </c>
      <c r="C148" s="4">
        <v>19</v>
      </c>
      <c r="D148" s="4">
        <v>25</v>
      </c>
      <c r="E148" s="4">
        <v>13</v>
      </c>
      <c r="F148" s="4">
        <v>24</v>
      </c>
      <c r="G148" s="4">
        <v>23</v>
      </c>
      <c r="H148" s="4">
        <v>18</v>
      </c>
      <c r="I148" s="4">
        <v>21</v>
      </c>
      <c r="J148" s="4">
        <v>122</v>
      </c>
      <c r="K148" s="4">
        <v>11</v>
      </c>
      <c r="L148" s="4">
        <v>93</v>
      </c>
      <c r="M148" s="4">
        <v>21</v>
      </c>
      <c r="N148" s="4">
        <v>52</v>
      </c>
      <c r="O148" s="5">
        <f t="shared" si="2"/>
        <v>442</v>
      </c>
    </row>
    <row r="149" spans="1:15" x14ac:dyDescent="0.25">
      <c r="A149" s="4" t="s">
        <v>297</v>
      </c>
      <c r="B149" s="4" t="s">
        <v>622</v>
      </c>
      <c r="C149" s="4">
        <v>43</v>
      </c>
      <c r="D149" s="4">
        <v>48</v>
      </c>
      <c r="E149" s="4">
        <v>31</v>
      </c>
      <c r="F149" s="4">
        <v>50</v>
      </c>
      <c r="G149" s="4">
        <v>34</v>
      </c>
      <c r="H149" s="4">
        <v>41</v>
      </c>
      <c r="I149" s="4">
        <v>42</v>
      </c>
      <c r="J149" s="4">
        <v>33</v>
      </c>
      <c r="K149" s="4">
        <v>30</v>
      </c>
      <c r="L149" s="4">
        <v>30</v>
      </c>
      <c r="M149" s="4">
        <v>21</v>
      </c>
      <c r="N149" s="4">
        <v>37</v>
      </c>
      <c r="O149" s="5">
        <f t="shared" si="2"/>
        <v>440</v>
      </c>
    </row>
    <row r="150" spans="1:15" x14ac:dyDescent="0.25">
      <c r="A150" s="4" t="s">
        <v>299</v>
      </c>
      <c r="B150" s="4" t="s">
        <v>280</v>
      </c>
      <c r="C150" s="4">
        <v>46</v>
      </c>
      <c r="D150" s="4">
        <v>39</v>
      </c>
      <c r="E150" s="4">
        <v>27</v>
      </c>
      <c r="F150" s="4">
        <v>37</v>
      </c>
      <c r="G150" s="4">
        <v>48</v>
      </c>
      <c r="H150" s="4">
        <v>69</v>
      </c>
      <c r="I150" s="4">
        <v>61</v>
      </c>
      <c r="J150" s="4">
        <v>34</v>
      </c>
      <c r="K150" s="4">
        <v>16</v>
      </c>
      <c r="L150" s="4">
        <v>26</v>
      </c>
      <c r="M150" s="4">
        <v>13</v>
      </c>
      <c r="N150" s="4">
        <v>20</v>
      </c>
      <c r="O150" s="5">
        <f t="shared" si="2"/>
        <v>436</v>
      </c>
    </row>
    <row r="151" spans="1:15" x14ac:dyDescent="0.25">
      <c r="A151" s="4" t="s">
        <v>301</v>
      </c>
      <c r="B151" s="4" t="s">
        <v>673</v>
      </c>
      <c r="C151" s="4">
        <v>30</v>
      </c>
      <c r="D151" s="4">
        <v>46</v>
      </c>
      <c r="E151" s="4">
        <v>34</v>
      </c>
      <c r="F151" s="4">
        <v>42</v>
      </c>
      <c r="G151" s="4">
        <v>50</v>
      </c>
      <c r="H151" s="4">
        <v>39</v>
      </c>
      <c r="I151" s="4">
        <v>43</v>
      </c>
      <c r="J151" s="4">
        <v>32</v>
      </c>
      <c r="K151" s="4">
        <v>15</v>
      </c>
      <c r="L151" s="4">
        <v>32</v>
      </c>
      <c r="M151" s="4">
        <v>53</v>
      </c>
      <c r="N151" s="4">
        <v>9</v>
      </c>
      <c r="O151" s="5">
        <f t="shared" si="2"/>
        <v>425</v>
      </c>
    </row>
    <row r="152" spans="1:15" x14ac:dyDescent="0.25">
      <c r="A152" s="4" t="s">
        <v>303</v>
      </c>
      <c r="B152" s="4" t="s">
        <v>258</v>
      </c>
      <c r="C152" s="4">
        <v>22</v>
      </c>
      <c r="D152" s="4">
        <v>44</v>
      </c>
      <c r="E152" s="4">
        <v>31</v>
      </c>
      <c r="F152" s="4">
        <v>43</v>
      </c>
      <c r="G152" s="4">
        <v>40</v>
      </c>
      <c r="H152" s="4">
        <v>33</v>
      </c>
      <c r="I152" s="4">
        <v>29</v>
      </c>
      <c r="J152" s="4">
        <v>33</v>
      </c>
      <c r="K152" s="4">
        <v>39</v>
      </c>
      <c r="L152" s="4">
        <v>26</v>
      </c>
      <c r="M152" s="4">
        <v>28</v>
      </c>
      <c r="N152" s="4">
        <v>17</v>
      </c>
      <c r="O152" s="5">
        <f t="shared" si="2"/>
        <v>385</v>
      </c>
    </row>
    <row r="153" spans="1:15" x14ac:dyDescent="0.25">
      <c r="A153" s="4" t="s">
        <v>305</v>
      </c>
      <c r="B153" s="4" t="s">
        <v>585</v>
      </c>
      <c r="C153" s="4">
        <v>37</v>
      </c>
      <c r="D153" s="4">
        <v>38</v>
      </c>
      <c r="E153" s="4">
        <v>67</v>
      </c>
      <c r="F153" s="4">
        <v>44</v>
      </c>
      <c r="G153" s="4">
        <v>23</v>
      </c>
      <c r="H153" s="4">
        <v>21</v>
      </c>
      <c r="I153" s="4">
        <v>25</v>
      </c>
      <c r="J153" s="4">
        <v>37</v>
      </c>
      <c r="K153" s="4">
        <v>20</v>
      </c>
      <c r="L153" s="4">
        <v>30</v>
      </c>
      <c r="M153" s="4">
        <v>23</v>
      </c>
      <c r="N153" s="4">
        <v>15</v>
      </c>
      <c r="O153" s="5">
        <f t="shared" si="2"/>
        <v>380</v>
      </c>
    </row>
    <row r="154" spans="1:15" x14ac:dyDescent="0.25">
      <c r="A154" s="4" t="s">
        <v>307</v>
      </c>
      <c r="B154" s="4" t="s">
        <v>540</v>
      </c>
      <c r="C154" s="4"/>
      <c r="D154" s="4"/>
      <c r="E154" s="4"/>
      <c r="F154" s="4"/>
      <c r="G154" s="4"/>
      <c r="H154" s="4"/>
      <c r="I154" s="4">
        <v>10</v>
      </c>
      <c r="J154" s="4">
        <v>47</v>
      </c>
      <c r="K154" s="4">
        <v>10</v>
      </c>
      <c r="L154" s="4">
        <v>48</v>
      </c>
      <c r="M154" s="4">
        <v>114</v>
      </c>
      <c r="N154" s="4">
        <v>144</v>
      </c>
      <c r="O154" s="5">
        <f t="shared" si="2"/>
        <v>373</v>
      </c>
    </row>
    <row r="155" spans="1:15" x14ac:dyDescent="0.25">
      <c r="A155" s="4" t="s">
        <v>311</v>
      </c>
      <c r="B155" s="4" t="s">
        <v>640</v>
      </c>
      <c r="C155" s="4">
        <v>21</v>
      </c>
      <c r="D155" s="4">
        <v>27</v>
      </c>
      <c r="E155" s="4">
        <v>20</v>
      </c>
      <c r="F155" s="4">
        <v>25</v>
      </c>
      <c r="G155" s="4">
        <v>29</v>
      </c>
      <c r="H155" s="4">
        <v>8</v>
      </c>
      <c r="I155" s="4">
        <v>20</v>
      </c>
      <c r="J155" s="4">
        <v>16</v>
      </c>
      <c r="K155" s="4">
        <v>52</v>
      </c>
      <c r="L155" s="4">
        <v>79</v>
      </c>
      <c r="M155" s="4">
        <v>33</v>
      </c>
      <c r="N155" s="4">
        <v>29</v>
      </c>
      <c r="O155" s="5">
        <f t="shared" si="2"/>
        <v>359</v>
      </c>
    </row>
    <row r="156" spans="1:15" x14ac:dyDescent="0.25">
      <c r="A156" s="4" t="s">
        <v>309</v>
      </c>
      <c r="B156" s="4" t="s">
        <v>436</v>
      </c>
      <c r="C156" s="4">
        <v>24</v>
      </c>
      <c r="D156" s="4">
        <v>32</v>
      </c>
      <c r="E156" s="4">
        <v>39</v>
      </c>
      <c r="F156" s="4">
        <v>39</v>
      </c>
      <c r="G156" s="4">
        <v>29</v>
      </c>
      <c r="H156" s="4">
        <v>21</v>
      </c>
      <c r="I156" s="4">
        <v>18</v>
      </c>
      <c r="J156" s="4">
        <v>40</v>
      </c>
      <c r="K156" s="4">
        <v>13</v>
      </c>
      <c r="L156" s="4">
        <v>33</v>
      </c>
      <c r="M156" s="4">
        <v>19</v>
      </c>
      <c r="N156" s="4">
        <v>21</v>
      </c>
      <c r="O156" s="5">
        <f t="shared" si="2"/>
        <v>328</v>
      </c>
    </row>
    <row r="157" spans="1:15" x14ac:dyDescent="0.25">
      <c r="A157" s="4" t="s">
        <v>313</v>
      </c>
      <c r="B157" s="4" t="s">
        <v>268</v>
      </c>
      <c r="C157" s="4">
        <v>19</v>
      </c>
      <c r="D157" s="4">
        <v>14</v>
      </c>
      <c r="E157" s="4">
        <v>24</v>
      </c>
      <c r="F157" s="4">
        <v>26</v>
      </c>
      <c r="G157" s="4">
        <v>24</v>
      </c>
      <c r="H157" s="4">
        <v>19</v>
      </c>
      <c r="I157" s="4">
        <v>44</v>
      </c>
      <c r="J157" s="4">
        <v>43</v>
      </c>
      <c r="K157" s="4">
        <v>37</v>
      </c>
      <c r="L157" s="4">
        <v>32</v>
      </c>
      <c r="M157" s="4">
        <v>24</v>
      </c>
      <c r="N157" s="4">
        <v>20</v>
      </c>
      <c r="O157" s="5">
        <f t="shared" si="2"/>
        <v>326</v>
      </c>
    </row>
    <row r="158" spans="1:15" x14ac:dyDescent="0.25">
      <c r="A158" s="4" t="s">
        <v>317</v>
      </c>
      <c r="B158" s="4" t="s">
        <v>294</v>
      </c>
      <c r="C158" s="4">
        <v>22</v>
      </c>
      <c r="D158" s="4">
        <v>48</v>
      </c>
      <c r="E158" s="4">
        <v>30</v>
      </c>
      <c r="F158" s="4">
        <v>38</v>
      </c>
      <c r="G158" s="4">
        <v>38</v>
      </c>
      <c r="H158" s="4">
        <v>19</v>
      </c>
      <c r="I158" s="4">
        <v>27</v>
      </c>
      <c r="J158" s="4">
        <v>19</v>
      </c>
      <c r="K158" s="4">
        <v>19</v>
      </c>
      <c r="L158" s="4">
        <v>16</v>
      </c>
      <c r="M158" s="4">
        <v>8</v>
      </c>
      <c r="N158" s="4">
        <v>10</v>
      </c>
      <c r="O158" s="5">
        <f t="shared" si="2"/>
        <v>294</v>
      </c>
    </row>
    <row r="159" spans="1:15" x14ac:dyDescent="0.25">
      <c r="A159" s="4" t="s">
        <v>315</v>
      </c>
      <c r="B159" s="4" t="s">
        <v>332</v>
      </c>
      <c r="C159" s="4">
        <v>6</v>
      </c>
      <c r="D159" s="4">
        <v>26</v>
      </c>
      <c r="E159" s="4">
        <v>20</v>
      </c>
      <c r="F159" s="4">
        <v>23</v>
      </c>
      <c r="G159" s="4">
        <v>36</v>
      </c>
      <c r="H159" s="4">
        <v>43</v>
      </c>
      <c r="I159" s="4">
        <v>15</v>
      </c>
      <c r="J159" s="4">
        <v>24</v>
      </c>
      <c r="K159" s="4">
        <v>21</v>
      </c>
      <c r="L159" s="4">
        <v>25</v>
      </c>
      <c r="M159" s="4">
        <v>19</v>
      </c>
      <c r="N159" s="4">
        <v>24</v>
      </c>
      <c r="O159" s="5">
        <f t="shared" si="2"/>
        <v>282</v>
      </c>
    </row>
    <row r="160" spans="1:15" x14ac:dyDescent="0.25">
      <c r="A160" s="4" t="s">
        <v>319</v>
      </c>
      <c r="B160" s="4" t="s">
        <v>586</v>
      </c>
      <c r="C160" s="4">
        <v>20</v>
      </c>
      <c r="D160" s="4">
        <v>24</v>
      </c>
      <c r="E160" s="4">
        <v>14</v>
      </c>
      <c r="F160" s="4">
        <v>20</v>
      </c>
      <c r="G160" s="4">
        <v>20</v>
      </c>
      <c r="H160" s="4">
        <v>28</v>
      </c>
      <c r="I160" s="4">
        <v>15</v>
      </c>
      <c r="J160" s="4">
        <v>28</v>
      </c>
      <c r="K160" s="4">
        <v>28</v>
      </c>
      <c r="L160" s="4">
        <v>19</v>
      </c>
      <c r="M160" s="4">
        <v>24</v>
      </c>
      <c r="N160" s="4">
        <v>27</v>
      </c>
      <c r="O160" s="5">
        <f t="shared" si="2"/>
        <v>267</v>
      </c>
    </row>
    <row r="161" spans="1:15" x14ac:dyDescent="0.25">
      <c r="A161" s="4" t="s">
        <v>321</v>
      </c>
      <c r="B161" s="4" t="s">
        <v>665</v>
      </c>
      <c r="C161" s="4">
        <v>2</v>
      </c>
      <c r="D161" s="4"/>
      <c r="E161" s="4">
        <v>1</v>
      </c>
      <c r="F161" s="4"/>
      <c r="G161" s="4"/>
      <c r="H161" s="4"/>
      <c r="I161" s="4"/>
      <c r="J161" s="4">
        <v>45</v>
      </c>
      <c r="K161" s="4">
        <v>20</v>
      </c>
      <c r="L161" s="4">
        <v>35</v>
      </c>
      <c r="M161" s="4">
        <v>57</v>
      </c>
      <c r="N161" s="4">
        <v>92</v>
      </c>
      <c r="O161" s="5">
        <f t="shared" si="2"/>
        <v>252</v>
      </c>
    </row>
    <row r="162" spans="1:15" x14ac:dyDescent="0.25">
      <c r="A162" s="4" t="s">
        <v>323</v>
      </c>
      <c r="B162" s="4" t="s">
        <v>326</v>
      </c>
      <c r="C162" s="4">
        <v>24</v>
      </c>
      <c r="D162" s="4">
        <v>9</v>
      </c>
      <c r="E162" s="4">
        <v>17</v>
      </c>
      <c r="F162" s="4">
        <v>24</v>
      </c>
      <c r="G162" s="4">
        <v>24</v>
      </c>
      <c r="H162" s="4">
        <v>24</v>
      </c>
      <c r="I162" s="4">
        <v>33</v>
      </c>
      <c r="J162" s="4">
        <v>19</v>
      </c>
      <c r="K162" s="4">
        <v>20</v>
      </c>
      <c r="L162" s="4">
        <v>27</v>
      </c>
      <c r="M162" s="4">
        <v>17</v>
      </c>
      <c r="N162" s="4">
        <v>13</v>
      </c>
      <c r="O162" s="5">
        <f t="shared" si="2"/>
        <v>251</v>
      </c>
    </row>
    <row r="163" spans="1:15" x14ac:dyDescent="0.25">
      <c r="A163" s="4" t="s">
        <v>325</v>
      </c>
      <c r="B163" s="4" t="s">
        <v>204</v>
      </c>
      <c r="C163" s="4">
        <v>24</v>
      </c>
      <c r="D163" s="4">
        <v>26</v>
      </c>
      <c r="E163" s="4">
        <v>10</v>
      </c>
      <c r="F163" s="4">
        <v>12</v>
      </c>
      <c r="G163" s="4">
        <v>23</v>
      </c>
      <c r="H163" s="4">
        <v>15</v>
      </c>
      <c r="I163" s="4">
        <v>22</v>
      </c>
      <c r="J163" s="4">
        <v>11</v>
      </c>
      <c r="K163" s="4">
        <v>36</v>
      </c>
      <c r="L163" s="4">
        <v>22</v>
      </c>
      <c r="M163" s="4">
        <v>19</v>
      </c>
      <c r="N163" s="4">
        <v>27</v>
      </c>
      <c r="O163" s="5">
        <f t="shared" si="2"/>
        <v>247</v>
      </c>
    </row>
    <row r="164" spans="1:15" x14ac:dyDescent="0.25">
      <c r="A164" s="4" t="s">
        <v>329</v>
      </c>
      <c r="B164" s="4" t="s">
        <v>222</v>
      </c>
      <c r="C164" s="4">
        <v>46</v>
      </c>
      <c r="D164" s="4">
        <v>38</v>
      </c>
      <c r="E164" s="4">
        <v>21</v>
      </c>
      <c r="F164" s="4">
        <v>20</v>
      </c>
      <c r="G164" s="4">
        <v>11</v>
      </c>
      <c r="H164" s="4">
        <v>21</v>
      </c>
      <c r="I164" s="4">
        <v>17</v>
      </c>
      <c r="J164" s="4">
        <v>13</v>
      </c>
      <c r="K164" s="4">
        <v>14</v>
      </c>
      <c r="L164" s="4">
        <v>15</v>
      </c>
      <c r="M164" s="4">
        <v>12</v>
      </c>
      <c r="N164" s="4">
        <v>8</v>
      </c>
      <c r="O164" s="5">
        <f t="shared" si="2"/>
        <v>236</v>
      </c>
    </row>
    <row r="165" spans="1:15" x14ac:dyDescent="0.25">
      <c r="A165" s="4" t="s">
        <v>327</v>
      </c>
      <c r="B165" s="4" t="s">
        <v>496</v>
      </c>
      <c r="C165" s="4"/>
      <c r="D165" s="4"/>
      <c r="E165" s="4"/>
      <c r="F165" s="4"/>
      <c r="G165" s="4">
        <v>3</v>
      </c>
      <c r="H165" s="4">
        <v>36</v>
      </c>
      <c r="I165" s="4">
        <v>34</v>
      </c>
      <c r="J165" s="4">
        <v>45</v>
      </c>
      <c r="K165" s="4">
        <v>41</v>
      </c>
      <c r="L165" s="4">
        <v>22</v>
      </c>
      <c r="M165" s="4">
        <v>12</v>
      </c>
      <c r="N165" s="4">
        <v>40</v>
      </c>
      <c r="O165" s="5">
        <f t="shared" si="2"/>
        <v>233</v>
      </c>
    </row>
    <row r="166" spans="1:15" x14ac:dyDescent="0.25">
      <c r="A166" s="4" t="s">
        <v>331</v>
      </c>
      <c r="B166" s="4" t="s">
        <v>286</v>
      </c>
      <c r="C166" s="4">
        <v>23</v>
      </c>
      <c r="D166" s="4">
        <v>9</v>
      </c>
      <c r="E166" s="4">
        <v>29</v>
      </c>
      <c r="F166" s="4">
        <v>34</v>
      </c>
      <c r="G166" s="4">
        <v>38</v>
      </c>
      <c r="H166" s="4">
        <v>11</v>
      </c>
      <c r="I166" s="4">
        <v>13</v>
      </c>
      <c r="J166" s="4">
        <v>3</v>
      </c>
      <c r="K166" s="4">
        <v>17</v>
      </c>
      <c r="L166" s="4">
        <v>7</v>
      </c>
      <c r="M166" s="4">
        <v>14</v>
      </c>
      <c r="N166" s="4">
        <v>26</v>
      </c>
      <c r="O166" s="5">
        <f t="shared" si="2"/>
        <v>224</v>
      </c>
    </row>
    <row r="167" spans="1:15" x14ac:dyDescent="0.25">
      <c r="A167" s="4" t="s">
        <v>335</v>
      </c>
      <c r="B167" s="4" t="s">
        <v>514</v>
      </c>
      <c r="C167" s="4">
        <v>57</v>
      </c>
      <c r="D167" s="4">
        <v>55</v>
      </c>
      <c r="E167" s="4">
        <v>27</v>
      </c>
      <c r="F167" s="4">
        <v>27</v>
      </c>
      <c r="G167" s="4">
        <v>14</v>
      </c>
      <c r="H167" s="4">
        <v>7</v>
      </c>
      <c r="I167" s="4">
        <v>2</v>
      </c>
      <c r="J167" s="4">
        <v>3</v>
      </c>
      <c r="K167" s="4">
        <v>1</v>
      </c>
      <c r="L167" s="4">
        <v>3</v>
      </c>
      <c r="M167" s="4">
        <v>10</v>
      </c>
      <c r="N167" s="4">
        <v>16</v>
      </c>
      <c r="O167" s="5">
        <f t="shared" si="2"/>
        <v>222</v>
      </c>
    </row>
    <row r="168" spans="1:15" x14ac:dyDescent="0.25">
      <c r="A168" s="4" t="s">
        <v>333</v>
      </c>
      <c r="B168" s="4" t="s">
        <v>300</v>
      </c>
      <c r="C168" s="4">
        <v>17</v>
      </c>
      <c r="D168" s="4">
        <v>16</v>
      </c>
      <c r="E168" s="4">
        <v>20</v>
      </c>
      <c r="F168" s="4">
        <v>22</v>
      </c>
      <c r="G168" s="4">
        <v>31</v>
      </c>
      <c r="H168" s="4">
        <v>34</v>
      </c>
      <c r="I168" s="4">
        <v>8</v>
      </c>
      <c r="J168" s="4">
        <v>7</v>
      </c>
      <c r="K168" s="4">
        <v>7</v>
      </c>
      <c r="L168" s="4">
        <v>22</v>
      </c>
      <c r="M168" s="4">
        <v>17</v>
      </c>
      <c r="N168" s="4">
        <v>21</v>
      </c>
      <c r="O168" s="5">
        <f t="shared" si="2"/>
        <v>222</v>
      </c>
    </row>
    <row r="169" spans="1:15" x14ac:dyDescent="0.25">
      <c r="A169" s="4" t="s">
        <v>337</v>
      </c>
      <c r="B169" s="4" t="s">
        <v>694</v>
      </c>
      <c r="C169" s="4"/>
      <c r="D169" s="4"/>
      <c r="E169" s="4"/>
      <c r="F169" s="4"/>
      <c r="G169" s="4"/>
      <c r="H169" s="4"/>
      <c r="I169" s="4"/>
      <c r="J169" s="4"/>
      <c r="K169" s="4">
        <v>110</v>
      </c>
      <c r="L169" s="4">
        <v>110</v>
      </c>
      <c r="M169" s="4"/>
      <c r="N169" s="4"/>
      <c r="O169" s="5">
        <f t="shared" si="2"/>
        <v>220</v>
      </c>
    </row>
    <row r="170" spans="1:15" x14ac:dyDescent="0.25">
      <c r="A170" s="4" t="s">
        <v>341</v>
      </c>
      <c r="B170" s="4" t="s">
        <v>663</v>
      </c>
      <c r="C170" s="4">
        <v>10</v>
      </c>
      <c r="D170" s="4">
        <v>17</v>
      </c>
      <c r="E170" s="4">
        <v>23</v>
      </c>
      <c r="F170" s="4">
        <v>16</v>
      </c>
      <c r="G170" s="4">
        <v>26</v>
      </c>
      <c r="H170" s="4">
        <v>12</v>
      </c>
      <c r="I170" s="4">
        <v>16</v>
      </c>
      <c r="J170" s="4">
        <v>14</v>
      </c>
      <c r="K170" s="4">
        <v>18</v>
      </c>
      <c r="L170" s="4">
        <v>17</v>
      </c>
      <c r="M170" s="4">
        <v>24</v>
      </c>
      <c r="N170" s="4">
        <v>20</v>
      </c>
      <c r="O170" s="5">
        <f t="shared" si="2"/>
        <v>213</v>
      </c>
    </row>
    <row r="171" spans="1:15" x14ac:dyDescent="0.25">
      <c r="A171" s="4" t="s">
        <v>339</v>
      </c>
      <c r="B171" s="4" t="s">
        <v>364</v>
      </c>
      <c r="C171" s="4">
        <v>5</v>
      </c>
      <c r="D171" s="4">
        <v>3</v>
      </c>
      <c r="E171" s="4">
        <v>4</v>
      </c>
      <c r="F171" s="4">
        <v>3</v>
      </c>
      <c r="G171" s="4">
        <v>14</v>
      </c>
      <c r="H171" s="4">
        <v>28</v>
      </c>
      <c r="I171" s="4">
        <v>48</v>
      </c>
      <c r="J171" s="4">
        <v>29</v>
      </c>
      <c r="K171" s="4">
        <v>37</v>
      </c>
      <c r="L171" s="4">
        <v>13</v>
      </c>
      <c r="M171" s="4">
        <v>10</v>
      </c>
      <c r="N171" s="4">
        <v>18</v>
      </c>
      <c r="O171" s="5">
        <f t="shared" si="2"/>
        <v>212</v>
      </c>
    </row>
    <row r="172" spans="1:15" x14ac:dyDescent="0.25">
      <c r="A172" s="4" t="s">
        <v>343</v>
      </c>
      <c r="B172" s="4" t="s">
        <v>468</v>
      </c>
      <c r="C172" s="4">
        <v>8</v>
      </c>
      <c r="D172" s="4">
        <v>18</v>
      </c>
      <c r="E172" s="4">
        <v>17</v>
      </c>
      <c r="F172" s="4">
        <v>11</v>
      </c>
      <c r="G172" s="4">
        <v>14</v>
      </c>
      <c r="H172" s="4">
        <v>20</v>
      </c>
      <c r="I172" s="4">
        <v>9</v>
      </c>
      <c r="J172" s="4">
        <v>17</v>
      </c>
      <c r="K172" s="4">
        <v>21</v>
      </c>
      <c r="L172" s="4">
        <v>22</v>
      </c>
      <c r="M172" s="4">
        <v>21</v>
      </c>
      <c r="N172" s="4">
        <v>18</v>
      </c>
      <c r="O172" s="5">
        <f t="shared" si="2"/>
        <v>196</v>
      </c>
    </row>
    <row r="173" spans="1:15" x14ac:dyDescent="0.25">
      <c r="A173" s="4" t="s">
        <v>345</v>
      </c>
      <c r="B173" s="4" t="s">
        <v>288</v>
      </c>
      <c r="C173" s="4">
        <v>5</v>
      </c>
      <c r="D173" s="4">
        <v>3</v>
      </c>
      <c r="E173" s="4">
        <v>6</v>
      </c>
      <c r="F173" s="4">
        <v>40</v>
      </c>
      <c r="G173" s="4">
        <v>25</v>
      </c>
      <c r="H173" s="4">
        <v>15</v>
      </c>
      <c r="I173" s="4">
        <v>9</v>
      </c>
      <c r="J173" s="4">
        <v>11</v>
      </c>
      <c r="K173" s="4">
        <v>6</v>
      </c>
      <c r="L173" s="4">
        <v>20</v>
      </c>
      <c r="M173" s="4">
        <v>19</v>
      </c>
      <c r="N173" s="4">
        <v>35</v>
      </c>
      <c r="O173" s="5">
        <f t="shared" si="2"/>
        <v>194</v>
      </c>
    </row>
    <row r="174" spans="1:15" x14ac:dyDescent="0.25">
      <c r="A174" s="4" t="s">
        <v>347</v>
      </c>
      <c r="B174" s="4" t="s">
        <v>262</v>
      </c>
      <c r="C174" s="4">
        <v>20</v>
      </c>
      <c r="D174" s="4">
        <v>5</v>
      </c>
      <c r="E174" s="4">
        <v>12</v>
      </c>
      <c r="F174" s="4"/>
      <c r="G174" s="4">
        <v>2</v>
      </c>
      <c r="H174" s="4"/>
      <c r="I174" s="4"/>
      <c r="J174" s="4"/>
      <c r="K174" s="4">
        <v>26</v>
      </c>
      <c r="L174" s="4">
        <v>28</v>
      </c>
      <c r="M174" s="4">
        <v>70</v>
      </c>
      <c r="N174" s="4">
        <v>23</v>
      </c>
      <c r="O174" s="5">
        <f t="shared" si="2"/>
        <v>186</v>
      </c>
    </row>
    <row r="175" spans="1:15" x14ac:dyDescent="0.25">
      <c r="A175" s="4" t="s">
        <v>353</v>
      </c>
      <c r="B175" s="4" t="s">
        <v>450</v>
      </c>
      <c r="C175" s="4">
        <v>25</v>
      </c>
      <c r="D175" s="4">
        <v>10</v>
      </c>
      <c r="E175" s="4">
        <v>6</v>
      </c>
      <c r="F175" s="4">
        <v>20</v>
      </c>
      <c r="G175" s="4">
        <v>20</v>
      </c>
      <c r="H175" s="4">
        <v>16</v>
      </c>
      <c r="I175" s="4">
        <v>15</v>
      </c>
      <c r="J175" s="4">
        <v>16</v>
      </c>
      <c r="K175" s="4">
        <v>21</v>
      </c>
      <c r="L175" s="4">
        <v>13</v>
      </c>
      <c r="M175" s="4">
        <v>13</v>
      </c>
      <c r="N175" s="4">
        <v>4</v>
      </c>
      <c r="O175" s="5">
        <f t="shared" si="2"/>
        <v>179</v>
      </c>
    </row>
    <row r="176" spans="1:15" x14ac:dyDescent="0.25">
      <c r="A176" s="4" t="s">
        <v>351</v>
      </c>
      <c r="B176" s="4" t="s">
        <v>352</v>
      </c>
      <c r="C176" s="4">
        <v>8</v>
      </c>
      <c r="D176" s="4">
        <v>11</v>
      </c>
      <c r="E176" s="4">
        <v>15</v>
      </c>
      <c r="F176" s="4">
        <v>39</v>
      </c>
      <c r="G176" s="4">
        <v>13</v>
      </c>
      <c r="H176" s="4">
        <v>6</v>
      </c>
      <c r="I176" s="4">
        <v>20</v>
      </c>
      <c r="J176" s="4">
        <v>10</v>
      </c>
      <c r="K176" s="4">
        <v>16</v>
      </c>
      <c r="L176" s="4">
        <v>9</v>
      </c>
      <c r="M176" s="4">
        <v>5</v>
      </c>
      <c r="N176" s="4">
        <v>17</v>
      </c>
      <c r="O176" s="5">
        <f t="shared" si="2"/>
        <v>169</v>
      </c>
    </row>
    <row r="177" spans="1:15" x14ac:dyDescent="0.25">
      <c r="A177" s="4" t="s">
        <v>349</v>
      </c>
      <c r="B177" s="4" t="s">
        <v>386</v>
      </c>
      <c r="C177" s="4">
        <v>15</v>
      </c>
      <c r="D177" s="4">
        <v>12</v>
      </c>
      <c r="E177" s="4">
        <v>17</v>
      </c>
      <c r="F177" s="4">
        <v>8</v>
      </c>
      <c r="G177" s="4">
        <v>13</v>
      </c>
      <c r="H177" s="4">
        <v>9</v>
      </c>
      <c r="I177" s="4">
        <v>12</v>
      </c>
      <c r="J177" s="4">
        <v>20</v>
      </c>
      <c r="K177" s="4">
        <v>16</v>
      </c>
      <c r="L177" s="4">
        <v>19</v>
      </c>
      <c r="M177" s="4">
        <v>12</v>
      </c>
      <c r="N177" s="4">
        <v>12</v>
      </c>
      <c r="O177" s="5">
        <f t="shared" si="2"/>
        <v>165</v>
      </c>
    </row>
    <row r="178" spans="1:15" x14ac:dyDescent="0.25">
      <c r="A178" s="4" t="s">
        <v>355</v>
      </c>
      <c r="B178" s="4" t="s">
        <v>573</v>
      </c>
      <c r="C178" s="4">
        <v>11</v>
      </c>
      <c r="D178" s="4">
        <v>16</v>
      </c>
      <c r="E178" s="4">
        <v>14</v>
      </c>
      <c r="F178" s="4">
        <v>25</v>
      </c>
      <c r="G178" s="4">
        <v>5</v>
      </c>
      <c r="H178" s="4">
        <v>9</v>
      </c>
      <c r="I178" s="4">
        <v>11</v>
      </c>
      <c r="J178" s="4">
        <v>18</v>
      </c>
      <c r="K178" s="4">
        <v>6</v>
      </c>
      <c r="L178" s="4">
        <v>30</v>
      </c>
      <c r="M178" s="4">
        <v>13</v>
      </c>
      <c r="N178" s="4">
        <v>6</v>
      </c>
      <c r="O178" s="5">
        <f t="shared" si="2"/>
        <v>164</v>
      </c>
    </row>
    <row r="179" spans="1:15" x14ac:dyDescent="0.25">
      <c r="A179" s="4" t="s">
        <v>357</v>
      </c>
      <c r="B179" s="4" t="s">
        <v>308</v>
      </c>
      <c r="C179" s="4">
        <v>8</v>
      </c>
      <c r="D179" s="4">
        <v>15</v>
      </c>
      <c r="E179" s="4">
        <v>16</v>
      </c>
      <c r="F179" s="4">
        <v>16</v>
      </c>
      <c r="G179" s="4">
        <v>10</v>
      </c>
      <c r="H179" s="4">
        <v>17</v>
      </c>
      <c r="I179" s="4">
        <v>10</v>
      </c>
      <c r="J179" s="4">
        <v>3</v>
      </c>
      <c r="K179" s="4">
        <v>9</v>
      </c>
      <c r="L179" s="4">
        <v>7</v>
      </c>
      <c r="M179" s="4">
        <v>6</v>
      </c>
      <c r="N179" s="4">
        <v>38</v>
      </c>
      <c r="O179" s="5">
        <f t="shared" si="2"/>
        <v>155</v>
      </c>
    </row>
    <row r="180" spans="1:15" x14ac:dyDescent="0.25">
      <c r="A180" s="4" t="s">
        <v>361</v>
      </c>
      <c r="B180" s="4" t="s">
        <v>602</v>
      </c>
      <c r="C180" s="4">
        <v>53</v>
      </c>
      <c r="D180" s="4">
        <v>30</v>
      </c>
      <c r="E180" s="4">
        <v>26</v>
      </c>
      <c r="F180" s="4">
        <v>10</v>
      </c>
      <c r="G180" s="4">
        <v>10</v>
      </c>
      <c r="H180" s="4">
        <v>7</v>
      </c>
      <c r="I180" s="4">
        <v>2</v>
      </c>
      <c r="J180" s="4">
        <v>4</v>
      </c>
      <c r="K180" s="4">
        <v>3</v>
      </c>
      <c r="L180" s="4">
        <v>4</v>
      </c>
      <c r="M180" s="4">
        <v>2</v>
      </c>
      <c r="N180" s="4">
        <v>4</v>
      </c>
      <c r="O180" s="5">
        <f t="shared" si="2"/>
        <v>155</v>
      </c>
    </row>
    <row r="181" spans="1:15" x14ac:dyDescent="0.25">
      <c r="A181" s="4" t="s">
        <v>359</v>
      </c>
      <c r="B181" s="4" t="s">
        <v>368</v>
      </c>
      <c r="C181" s="4">
        <v>9</v>
      </c>
      <c r="D181" s="4">
        <v>13</v>
      </c>
      <c r="E181" s="4">
        <v>14</v>
      </c>
      <c r="F181" s="4">
        <v>22</v>
      </c>
      <c r="G181" s="4">
        <v>18</v>
      </c>
      <c r="H181" s="4">
        <v>11</v>
      </c>
      <c r="I181" s="4">
        <v>8</v>
      </c>
      <c r="J181" s="4">
        <v>15</v>
      </c>
      <c r="K181" s="4">
        <v>13</v>
      </c>
      <c r="L181" s="4">
        <v>12</v>
      </c>
      <c r="M181" s="4">
        <v>12</v>
      </c>
      <c r="N181" s="4">
        <v>5</v>
      </c>
      <c r="O181" s="5">
        <f t="shared" si="2"/>
        <v>152</v>
      </c>
    </row>
    <row r="182" spans="1:15" x14ac:dyDescent="0.25">
      <c r="A182" s="4" t="s">
        <v>365</v>
      </c>
      <c r="B182" s="4" t="s">
        <v>428</v>
      </c>
      <c r="C182" s="4">
        <v>10</v>
      </c>
      <c r="D182" s="4">
        <v>13</v>
      </c>
      <c r="E182" s="4">
        <v>12</v>
      </c>
      <c r="F182" s="4">
        <v>10</v>
      </c>
      <c r="G182" s="4">
        <v>14</v>
      </c>
      <c r="H182" s="4">
        <v>24</v>
      </c>
      <c r="I182" s="4">
        <v>30</v>
      </c>
      <c r="J182" s="4">
        <v>18</v>
      </c>
      <c r="K182" s="4">
        <v>11</v>
      </c>
      <c r="L182" s="4">
        <v>6</v>
      </c>
      <c r="M182" s="4"/>
      <c r="N182" s="4"/>
      <c r="O182" s="5">
        <f t="shared" si="2"/>
        <v>148</v>
      </c>
    </row>
    <row r="183" spans="1:15" x14ac:dyDescent="0.25">
      <c r="A183" s="4" t="s">
        <v>363</v>
      </c>
      <c r="B183" s="4" t="s">
        <v>358</v>
      </c>
      <c r="C183" s="4">
        <v>15</v>
      </c>
      <c r="D183" s="4">
        <v>16</v>
      </c>
      <c r="E183" s="4">
        <v>20</v>
      </c>
      <c r="F183" s="4">
        <v>35</v>
      </c>
      <c r="G183" s="4">
        <v>12</v>
      </c>
      <c r="H183" s="4">
        <v>10</v>
      </c>
      <c r="I183" s="4">
        <v>15</v>
      </c>
      <c r="J183" s="4">
        <v>11</v>
      </c>
      <c r="K183" s="4">
        <v>1</v>
      </c>
      <c r="L183" s="4">
        <v>7</v>
      </c>
      <c r="M183" s="4">
        <v>2</v>
      </c>
      <c r="N183" s="4">
        <v>1</v>
      </c>
      <c r="O183" s="5">
        <f t="shared" si="2"/>
        <v>145</v>
      </c>
    </row>
    <row r="184" spans="1:15" x14ac:dyDescent="0.25">
      <c r="A184" s="4" t="s">
        <v>369</v>
      </c>
      <c r="B184" s="4" t="s">
        <v>545</v>
      </c>
      <c r="C184" s="4">
        <v>19</v>
      </c>
      <c r="D184" s="4">
        <v>12</v>
      </c>
      <c r="E184" s="4">
        <v>11</v>
      </c>
      <c r="F184" s="4">
        <v>21</v>
      </c>
      <c r="G184" s="4">
        <v>6</v>
      </c>
      <c r="H184" s="4">
        <v>10</v>
      </c>
      <c r="I184" s="4">
        <v>5</v>
      </c>
      <c r="J184" s="4">
        <v>26</v>
      </c>
      <c r="K184" s="4">
        <v>14</v>
      </c>
      <c r="L184" s="4">
        <v>3</v>
      </c>
      <c r="M184" s="4">
        <v>4</v>
      </c>
      <c r="N184" s="4">
        <v>3</v>
      </c>
      <c r="O184" s="5">
        <f t="shared" si="2"/>
        <v>134</v>
      </c>
    </row>
    <row r="185" spans="1:15" x14ac:dyDescent="0.25">
      <c r="A185" s="4" t="s">
        <v>367</v>
      </c>
      <c r="B185" s="4" t="s">
        <v>304</v>
      </c>
      <c r="C185" s="4">
        <v>11</v>
      </c>
      <c r="D185" s="4">
        <v>5</v>
      </c>
      <c r="E185" s="4">
        <v>13</v>
      </c>
      <c r="F185" s="4">
        <v>9</v>
      </c>
      <c r="G185" s="4">
        <v>20</v>
      </c>
      <c r="H185" s="4">
        <v>7</v>
      </c>
      <c r="I185" s="4">
        <v>10</v>
      </c>
      <c r="J185" s="4"/>
      <c r="K185" s="4">
        <v>13</v>
      </c>
      <c r="L185" s="4">
        <v>9</v>
      </c>
      <c r="M185" s="4">
        <v>11</v>
      </c>
      <c r="N185" s="4">
        <v>25</v>
      </c>
      <c r="O185" s="5">
        <f t="shared" si="2"/>
        <v>133</v>
      </c>
    </row>
    <row r="186" spans="1:15" x14ac:dyDescent="0.25">
      <c r="A186" s="4" t="s">
        <v>371</v>
      </c>
      <c r="B186" s="4" t="s">
        <v>218</v>
      </c>
      <c r="C186" s="4">
        <v>3</v>
      </c>
      <c r="D186" s="4">
        <v>15</v>
      </c>
      <c r="E186" s="4">
        <v>10</v>
      </c>
      <c r="F186" s="4">
        <v>15</v>
      </c>
      <c r="G186" s="4">
        <v>19</v>
      </c>
      <c r="H186" s="4">
        <v>15</v>
      </c>
      <c r="I186" s="4">
        <v>19</v>
      </c>
      <c r="J186" s="4">
        <v>17</v>
      </c>
      <c r="K186" s="4">
        <v>4</v>
      </c>
      <c r="L186" s="4">
        <v>6</v>
      </c>
      <c r="M186" s="4">
        <v>1</v>
      </c>
      <c r="N186" s="4">
        <v>3</v>
      </c>
      <c r="O186" s="5">
        <f t="shared" si="2"/>
        <v>127</v>
      </c>
    </row>
    <row r="187" spans="1:15" x14ac:dyDescent="0.25">
      <c r="A187" s="4" t="s">
        <v>373</v>
      </c>
      <c r="B187" s="4" t="s">
        <v>677</v>
      </c>
      <c r="C187" s="4">
        <v>10</v>
      </c>
      <c r="D187" s="4">
        <v>26</v>
      </c>
      <c r="E187" s="4">
        <v>12</v>
      </c>
      <c r="F187" s="4">
        <v>8</v>
      </c>
      <c r="G187" s="4">
        <v>38</v>
      </c>
      <c r="H187" s="4">
        <v>9</v>
      </c>
      <c r="I187" s="4">
        <v>3</v>
      </c>
      <c r="J187" s="4">
        <v>3</v>
      </c>
      <c r="K187" s="4">
        <v>2</v>
      </c>
      <c r="L187" s="4">
        <v>9</v>
      </c>
      <c r="M187" s="4">
        <v>1</v>
      </c>
      <c r="N187" s="4">
        <v>1</v>
      </c>
      <c r="O187" s="5">
        <f t="shared" si="2"/>
        <v>122</v>
      </c>
    </row>
    <row r="188" spans="1:15" x14ac:dyDescent="0.25">
      <c r="A188" s="4" t="s">
        <v>375</v>
      </c>
      <c r="B188" s="4" t="s">
        <v>340</v>
      </c>
      <c r="C188" s="4">
        <v>1</v>
      </c>
      <c r="D188" s="4">
        <v>13</v>
      </c>
      <c r="E188" s="4">
        <v>16</v>
      </c>
      <c r="F188" s="4">
        <v>18</v>
      </c>
      <c r="G188" s="4">
        <v>21</v>
      </c>
      <c r="H188" s="4">
        <v>6</v>
      </c>
      <c r="I188" s="4">
        <v>13</v>
      </c>
      <c r="J188" s="4">
        <v>12</v>
      </c>
      <c r="K188" s="4">
        <v>5</v>
      </c>
      <c r="L188" s="4">
        <v>2</v>
      </c>
      <c r="M188" s="4">
        <v>8</v>
      </c>
      <c r="N188" s="4">
        <v>6</v>
      </c>
      <c r="O188" s="5">
        <f t="shared" si="2"/>
        <v>121</v>
      </c>
    </row>
    <row r="189" spans="1:15" x14ac:dyDescent="0.25">
      <c r="A189" s="4" t="s">
        <v>377</v>
      </c>
      <c r="B189" s="4" t="s">
        <v>198</v>
      </c>
      <c r="C189" s="4"/>
      <c r="D189" s="4"/>
      <c r="E189" s="4"/>
      <c r="F189" s="4"/>
      <c r="G189" s="4"/>
      <c r="H189" s="4"/>
      <c r="I189" s="4">
        <v>3</v>
      </c>
      <c r="J189" s="4"/>
      <c r="K189" s="4"/>
      <c r="L189" s="4">
        <v>12</v>
      </c>
      <c r="M189" s="4">
        <v>9</v>
      </c>
      <c r="N189" s="4">
        <v>93</v>
      </c>
      <c r="O189" s="5">
        <f t="shared" si="2"/>
        <v>117</v>
      </c>
    </row>
    <row r="190" spans="1:15" x14ac:dyDescent="0.25">
      <c r="A190" s="4" t="s">
        <v>379</v>
      </c>
      <c r="B190" s="4" t="s">
        <v>664</v>
      </c>
      <c r="C190" s="4">
        <v>8</v>
      </c>
      <c r="D190" s="4">
        <v>6</v>
      </c>
      <c r="E190" s="4">
        <v>4</v>
      </c>
      <c r="F190" s="4">
        <v>7</v>
      </c>
      <c r="G190" s="4">
        <v>19</v>
      </c>
      <c r="H190" s="4">
        <v>10</v>
      </c>
      <c r="I190" s="4">
        <v>10</v>
      </c>
      <c r="J190" s="4">
        <v>12</v>
      </c>
      <c r="K190" s="4">
        <v>8</v>
      </c>
      <c r="L190" s="4">
        <v>12</v>
      </c>
      <c r="M190" s="4">
        <v>7</v>
      </c>
      <c r="N190" s="4">
        <v>13</v>
      </c>
      <c r="O190" s="5">
        <f t="shared" si="2"/>
        <v>116</v>
      </c>
    </row>
    <row r="191" spans="1:15" x14ac:dyDescent="0.25">
      <c r="A191" s="4" t="s">
        <v>383</v>
      </c>
      <c r="B191" s="4" t="s">
        <v>388</v>
      </c>
      <c r="C191" s="4">
        <v>4</v>
      </c>
      <c r="D191" s="4">
        <v>5</v>
      </c>
      <c r="E191" s="4">
        <v>5</v>
      </c>
      <c r="F191" s="4">
        <v>12</v>
      </c>
      <c r="G191" s="4">
        <v>9</v>
      </c>
      <c r="H191" s="4">
        <v>5</v>
      </c>
      <c r="I191" s="4">
        <v>8</v>
      </c>
      <c r="J191" s="4">
        <v>20</v>
      </c>
      <c r="K191" s="4">
        <v>12</v>
      </c>
      <c r="L191" s="4">
        <v>1</v>
      </c>
      <c r="M191" s="4"/>
      <c r="N191" s="4"/>
      <c r="O191" s="5">
        <f t="shared" si="2"/>
        <v>81</v>
      </c>
    </row>
    <row r="192" spans="1:15" x14ac:dyDescent="0.25">
      <c r="A192" s="4" t="s">
        <v>381</v>
      </c>
      <c r="B192" s="4" t="s">
        <v>695</v>
      </c>
      <c r="C192" s="4">
        <v>45</v>
      </c>
      <c r="D192" s="4">
        <v>26</v>
      </c>
      <c r="E192" s="4">
        <v>27</v>
      </c>
      <c r="F192" s="4">
        <v>12</v>
      </c>
      <c r="G192" s="4">
        <v>1</v>
      </c>
      <c r="H192" s="4">
        <v>1</v>
      </c>
      <c r="I192" s="4">
        <v>2</v>
      </c>
      <c r="J192" s="4"/>
      <c r="K192" s="4"/>
      <c r="L192" s="4"/>
      <c r="M192" s="4"/>
      <c r="N192" s="4"/>
      <c r="O192" s="5">
        <f t="shared" si="2"/>
        <v>114</v>
      </c>
    </row>
    <row r="193" spans="1:15" x14ac:dyDescent="0.25">
      <c r="A193" s="4" t="s">
        <v>385</v>
      </c>
      <c r="B193" s="4" t="s">
        <v>458</v>
      </c>
      <c r="C193" s="4">
        <v>10</v>
      </c>
      <c r="D193" s="4">
        <v>11</v>
      </c>
      <c r="E193" s="4">
        <v>8</v>
      </c>
      <c r="F193" s="4">
        <v>8</v>
      </c>
      <c r="G193" s="4">
        <v>5</v>
      </c>
      <c r="H193" s="4">
        <v>6</v>
      </c>
      <c r="I193" s="4">
        <v>10</v>
      </c>
      <c r="J193" s="4">
        <v>10</v>
      </c>
      <c r="K193" s="4">
        <v>12</v>
      </c>
      <c r="L193" s="4">
        <v>11</v>
      </c>
      <c r="M193" s="4">
        <v>6</v>
      </c>
      <c r="N193" s="4">
        <v>3</v>
      </c>
      <c r="O193" s="5">
        <f t="shared" si="2"/>
        <v>100</v>
      </c>
    </row>
    <row r="194" spans="1:15" x14ac:dyDescent="0.25">
      <c r="A194" s="4" t="s">
        <v>389</v>
      </c>
      <c r="B194" s="4" t="s">
        <v>194</v>
      </c>
      <c r="C194" s="4">
        <v>5</v>
      </c>
      <c r="D194" s="4">
        <v>6</v>
      </c>
      <c r="E194" s="4">
        <v>7</v>
      </c>
      <c r="F194" s="4">
        <v>8</v>
      </c>
      <c r="G194" s="4">
        <v>6</v>
      </c>
      <c r="H194" s="4">
        <v>7</v>
      </c>
      <c r="I194" s="4">
        <v>13</v>
      </c>
      <c r="J194" s="4">
        <v>14</v>
      </c>
      <c r="K194" s="4">
        <v>14</v>
      </c>
      <c r="L194" s="4">
        <v>11</v>
      </c>
      <c r="M194" s="4">
        <v>2</v>
      </c>
      <c r="N194" s="4">
        <v>1</v>
      </c>
      <c r="O194" s="5">
        <f t="shared" si="2"/>
        <v>94</v>
      </c>
    </row>
    <row r="195" spans="1:15" x14ac:dyDescent="0.25">
      <c r="A195" s="4" t="s">
        <v>387</v>
      </c>
      <c r="B195" s="4" t="s">
        <v>591</v>
      </c>
      <c r="C195" s="4"/>
      <c r="D195" s="4"/>
      <c r="E195" s="4">
        <v>15</v>
      </c>
      <c r="F195" s="4">
        <v>22</v>
      </c>
      <c r="G195" s="4">
        <v>17</v>
      </c>
      <c r="H195" s="4">
        <v>6</v>
      </c>
      <c r="I195" s="4">
        <v>6</v>
      </c>
      <c r="J195" s="4">
        <v>8</v>
      </c>
      <c r="K195" s="4">
        <v>5</v>
      </c>
      <c r="L195" s="4">
        <v>7</v>
      </c>
      <c r="M195" s="4">
        <v>4</v>
      </c>
      <c r="N195" s="4">
        <v>2</v>
      </c>
      <c r="O195" s="5">
        <f t="shared" si="2"/>
        <v>92</v>
      </c>
    </row>
    <row r="196" spans="1:15" x14ac:dyDescent="0.25">
      <c r="A196" s="4" t="s">
        <v>391</v>
      </c>
      <c r="B196" s="4" t="s">
        <v>400</v>
      </c>
      <c r="C196" s="4"/>
      <c r="D196" s="4"/>
      <c r="E196" s="4"/>
      <c r="F196" s="4">
        <v>6</v>
      </c>
      <c r="G196" s="4">
        <v>6</v>
      </c>
      <c r="H196" s="4">
        <v>10</v>
      </c>
      <c r="I196" s="4">
        <v>6</v>
      </c>
      <c r="J196" s="4">
        <v>10</v>
      </c>
      <c r="K196" s="4">
        <v>21</v>
      </c>
      <c r="L196" s="4">
        <v>8</v>
      </c>
      <c r="M196" s="4">
        <v>13</v>
      </c>
      <c r="N196" s="4">
        <v>9</v>
      </c>
      <c r="O196" s="5">
        <f t="shared" ref="O196:O259" si="3">SUM(C196:N196)</f>
        <v>89</v>
      </c>
    </row>
    <row r="197" spans="1:15" x14ac:dyDescent="0.25">
      <c r="A197" s="4" t="s">
        <v>393</v>
      </c>
      <c r="B197" s="4" t="s">
        <v>608</v>
      </c>
      <c r="C197" s="4">
        <v>16</v>
      </c>
      <c r="D197" s="4">
        <v>19</v>
      </c>
      <c r="E197" s="4">
        <v>15</v>
      </c>
      <c r="F197" s="4">
        <v>13</v>
      </c>
      <c r="G197" s="4">
        <v>8</v>
      </c>
      <c r="H197" s="4">
        <v>3</v>
      </c>
      <c r="I197" s="4">
        <v>2</v>
      </c>
      <c r="J197" s="4">
        <v>3</v>
      </c>
      <c r="K197" s="4">
        <v>1</v>
      </c>
      <c r="L197" s="4"/>
      <c r="M197" s="4">
        <v>1</v>
      </c>
      <c r="N197" s="4">
        <v>1</v>
      </c>
      <c r="O197" s="5">
        <f t="shared" si="3"/>
        <v>82</v>
      </c>
    </row>
    <row r="198" spans="1:15" x14ac:dyDescent="0.25">
      <c r="A198" s="4" t="s">
        <v>397</v>
      </c>
      <c r="B198" s="4" t="s">
        <v>240</v>
      </c>
      <c r="C198" s="4"/>
      <c r="D198" s="4">
        <v>27</v>
      </c>
      <c r="E198" s="4"/>
      <c r="F198" s="4">
        <v>52</v>
      </c>
      <c r="G198" s="4"/>
      <c r="H198" s="4"/>
      <c r="I198" s="4"/>
      <c r="J198" s="4"/>
      <c r="K198" s="4"/>
      <c r="L198" s="4"/>
      <c r="M198" s="4"/>
      <c r="N198" s="4"/>
      <c r="O198" s="5">
        <f t="shared" si="3"/>
        <v>79</v>
      </c>
    </row>
    <row r="199" spans="1:15" x14ac:dyDescent="0.25">
      <c r="A199" s="4" t="s">
        <v>395</v>
      </c>
      <c r="B199" s="4" t="s">
        <v>394</v>
      </c>
      <c r="C199" s="4">
        <v>18</v>
      </c>
      <c r="D199" s="4">
        <v>3</v>
      </c>
      <c r="E199" s="4">
        <v>1</v>
      </c>
      <c r="F199" s="4"/>
      <c r="G199" s="4">
        <v>1</v>
      </c>
      <c r="H199" s="4">
        <v>7</v>
      </c>
      <c r="I199" s="4">
        <v>9</v>
      </c>
      <c r="J199" s="4">
        <v>6</v>
      </c>
      <c r="K199" s="4">
        <v>11</v>
      </c>
      <c r="L199" s="4">
        <v>5</v>
      </c>
      <c r="M199" s="4">
        <v>4</v>
      </c>
      <c r="N199" s="4">
        <v>13</v>
      </c>
      <c r="O199" s="5">
        <f t="shared" si="3"/>
        <v>78</v>
      </c>
    </row>
    <row r="200" spans="1:15" x14ac:dyDescent="0.25">
      <c r="A200" s="4" t="s">
        <v>399</v>
      </c>
      <c r="B200" s="4" t="s">
        <v>634</v>
      </c>
      <c r="C200" s="4">
        <v>1</v>
      </c>
      <c r="D200" s="4">
        <v>4</v>
      </c>
      <c r="E200" s="4">
        <v>4</v>
      </c>
      <c r="F200" s="4">
        <v>3</v>
      </c>
      <c r="G200" s="4">
        <v>1</v>
      </c>
      <c r="H200" s="4">
        <v>3</v>
      </c>
      <c r="I200" s="4"/>
      <c r="J200" s="4">
        <v>2</v>
      </c>
      <c r="K200" s="4">
        <v>38</v>
      </c>
      <c r="L200" s="4">
        <v>4</v>
      </c>
      <c r="M200" s="4">
        <v>3</v>
      </c>
      <c r="N200" s="4">
        <v>8</v>
      </c>
      <c r="O200" s="5">
        <f t="shared" si="3"/>
        <v>71</v>
      </c>
    </row>
    <row r="201" spans="1:15" x14ac:dyDescent="0.25">
      <c r="A201" s="4" t="s">
        <v>401</v>
      </c>
      <c r="B201" s="4" t="s">
        <v>266</v>
      </c>
      <c r="C201" s="4">
        <v>1</v>
      </c>
      <c r="D201" s="4"/>
      <c r="E201" s="4">
        <v>4</v>
      </c>
      <c r="F201" s="4">
        <v>3</v>
      </c>
      <c r="G201" s="4"/>
      <c r="H201" s="4">
        <v>5</v>
      </c>
      <c r="I201" s="4">
        <v>8</v>
      </c>
      <c r="J201" s="4">
        <v>11</v>
      </c>
      <c r="K201" s="4">
        <v>11</v>
      </c>
      <c r="L201" s="4">
        <v>6</v>
      </c>
      <c r="M201" s="4">
        <v>12</v>
      </c>
      <c r="N201" s="4">
        <v>9</v>
      </c>
      <c r="O201" s="5">
        <f t="shared" si="3"/>
        <v>70</v>
      </c>
    </row>
    <row r="202" spans="1:15" x14ac:dyDescent="0.25">
      <c r="A202" s="4" t="s">
        <v>409</v>
      </c>
      <c r="B202" s="4" t="s">
        <v>668</v>
      </c>
      <c r="C202" s="4"/>
      <c r="D202" s="4"/>
      <c r="E202" s="4">
        <v>1</v>
      </c>
      <c r="F202" s="4">
        <v>11</v>
      </c>
      <c r="G202" s="4">
        <v>10</v>
      </c>
      <c r="H202" s="4">
        <v>9</v>
      </c>
      <c r="I202" s="4">
        <v>4</v>
      </c>
      <c r="J202" s="4">
        <v>7</v>
      </c>
      <c r="K202" s="4">
        <v>7</v>
      </c>
      <c r="L202" s="4">
        <v>8</v>
      </c>
      <c r="M202" s="4">
        <v>4</v>
      </c>
      <c r="N202" s="4">
        <v>6</v>
      </c>
      <c r="O202" s="5">
        <f t="shared" si="3"/>
        <v>67</v>
      </c>
    </row>
    <row r="203" spans="1:15" x14ac:dyDescent="0.25">
      <c r="A203" s="4" t="s">
        <v>407</v>
      </c>
      <c r="B203" s="4" t="s">
        <v>568</v>
      </c>
      <c r="C203" s="4">
        <v>19</v>
      </c>
      <c r="D203" s="4">
        <v>11</v>
      </c>
      <c r="E203" s="4">
        <v>3</v>
      </c>
      <c r="F203" s="4">
        <v>6</v>
      </c>
      <c r="G203" s="4">
        <v>9</v>
      </c>
      <c r="H203" s="4">
        <v>5</v>
      </c>
      <c r="I203" s="4">
        <v>1</v>
      </c>
      <c r="J203" s="4">
        <v>1</v>
      </c>
      <c r="K203" s="4">
        <v>2</v>
      </c>
      <c r="L203" s="4">
        <v>5</v>
      </c>
      <c r="M203" s="4">
        <v>1</v>
      </c>
      <c r="N203" s="4">
        <v>2</v>
      </c>
      <c r="O203" s="5">
        <f t="shared" si="3"/>
        <v>65</v>
      </c>
    </row>
    <row r="204" spans="1:15" x14ac:dyDescent="0.25">
      <c r="A204" s="4" t="s">
        <v>405</v>
      </c>
      <c r="B204" s="4" t="s">
        <v>532</v>
      </c>
      <c r="C204" s="4">
        <v>1</v>
      </c>
      <c r="D204" s="4">
        <v>5</v>
      </c>
      <c r="E204" s="4">
        <v>2</v>
      </c>
      <c r="F204" s="4">
        <v>3</v>
      </c>
      <c r="G204" s="4">
        <v>1</v>
      </c>
      <c r="H204" s="4">
        <v>6</v>
      </c>
      <c r="I204" s="4">
        <v>8</v>
      </c>
      <c r="J204" s="4">
        <v>7</v>
      </c>
      <c r="K204" s="4">
        <v>13</v>
      </c>
      <c r="L204" s="4">
        <v>3</v>
      </c>
      <c r="M204" s="4">
        <v>3</v>
      </c>
      <c r="N204" s="4">
        <v>7</v>
      </c>
      <c r="O204" s="5">
        <f t="shared" si="3"/>
        <v>59</v>
      </c>
    </row>
    <row r="205" spans="1:15" x14ac:dyDescent="0.25">
      <c r="A205" s="4" t="s">
        <v>403</v>
      </c>
      <c r="B205" s="4" t="s">
        <v>594</v>
      </c>
      <c r="C205" s="4"/>
      <c r="D205" s="4"/>
      <c r="E205" s="4"/>
      <c r="F205" s="4"/>
      <c r="G205" s="4"/>
      <c r="H205" s="4"/>
      <c r="I205" s="4">
        <v>4</v>
      </c>
      <c r="J205" s="4"/>
      <c r="K205" s="4">
        <v>10</v>
      </c>
      <c r="L205" s="4">
        <v>2</v>
      </c>
      <c r="M205" s="4">
        <v>23</v>
      </c>
      <c r="N205" s="4">
        <v>19</v>
      </c>
      <c r="O205" s="5">
        <f t="shared" si="3"/>
        <v>58</v>
      </c>
    </row>
    <row r="206" spans="1:15" x14ac:dyDescent="0.25">
      <c r="A206" s="4" t="s">
        <v>413</v>
      </c>
      <c r="B206" s="4" t="s">
        <v>683</v>
      </c>
      <c r="C206" s="4">
        <v>5</v>
      </c>
      <c r="D206" s="4">
        <v>2</v>
      </c>
      <c r="E206" s="4">
        <v>10</v>
      </c>
      <c r="F206" s="4">
        <v>25</v>
      </c>
      <c r="G206" s="4">
        <v>11</v>
      </c>
      <c r="H206" s="4">
        <v>1</v>
      </c>
      <c r="I206" s="4"/>
      <c r="J206" s="4"/>
      <c r="K206" s="4"/>
      <c r="L206" s="4"/>
      <c r="M206" s="4"/>
      <c r="N206" s="4">
        <v>1</v>
      </c>
      <c r="O206" s="5">
        <f t="shared" si="3"/>
        <v>55</v>
      </c>
    </row>
    <row r="207" spans="1:15" x14ac:dyDescent="0.25">
      <c r="A207" s="4" t="s">
        <v>411</v>
      </c>
      <c r="B207" s="4" t="s">
        <v>583</v>
      </c>
      <c r="C207" s="4">
        <v>7</v>
      </c>
      <c r="D207" s="4">
        <v>2</v>
      </c>
      <c r="E207" s="4">
        <v>5</v>
      </c>
      <c r="F207" s="4">
        <v>2</v>
      </c>
      <c r="G207" s="4">
        <v>1</v>
      </c>
      <c r="H207" s="4">
        <v>5</v>
      </c>
      <c r="I207" s="4">
        <v>2</v>
      </c>
      <c r="J207" s="4">
        <v>5</v>
      </c>
      <c r="K207" s="4">
        <v>3</v>
      </c>
      <c r="L207" s="4">
        <v>6</v>
      </c>
      <c r="M207" s="4">
        <v>3</v>
      </c>
      <c r="N207" s="4">
        <v>12</v>
      </c>
      <c r="O207" s="5">
        <f t="shared" si="3"/>
        <v>53</v>
      </c>
    </row>
    <row r="208" spans="1:15" x14ac:dyDescent="0.25">
      <c r="A208" s="4" t="s">
        <v>417</v>
      </c>
      <c r="B208" s="4" t="s">
        <v>342</v>
      </c>
      <c r="C208" s="4">
        <v>9</v>
      </c>
      <c r="D208" s="4">
        <v>4</v>
      </c>
      <c r="E208" s="4">
        <v>8</v>
      </c>
      <c r="F208" s="4">
        <v>6</v>
      </c>
      <c r="G208" s="4">
        <v>2</v>
      </c>
      <c r="H208" s="4">
        <v>1</v>
      </c>
      <c r="I208" s="4">
        <v>4</v>
      </c>
      <c r="J208" s="4">
        <v>2</v>
      </c>
      <c r="K208" s="4">
        <v>3</v>
      </c>
      <c r="L208" s="4">
        <v>1</v>
      </c>
      <c r="M208" s="4">
        <v>4</v>
      </c>
      <c r="N208" s="4">
        <v>7</v>
      </c>
      <c r="O208" s="5">
        <f t="shared" si="3"/>
        <v>51</v>
      </c>
    </row>
    <row r="209" spans="1:15" x14ac:dyDescent="0.25">
      <c r="A209" s="4" t="s">
        <v>415</v>
      </c>
      <c r="B209" s="4" t="s">
        <v>696</v>
      </c>
      <c r="C209" s="4">
        <v>50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>
        <f t="shared" si="3"/>
        <v>50</v>
      </c>
    </row>
    <row r="210" spans="1:15" x14ac:dyDescent="0.25">
      <c r="A210" s="4" t="s">
        <v>421</v>
      </c>
      <c r="B210" s="4" t="s">
        <v>520</v>
      </c>
      <c r="C210" s="4"/>
      <c r="D210" s="4"/>
      <c r="E210" s="4">
        <v>13</v>
      </c>
      <c r="F210" s="4"/>
      <c r="G210" s="4"/>
      <c r="H210" s="4">
        <v>2</v>
      </c>
      <c r="I210" s="4"/>
      <c r="J210" s="4"/>
      <c r="K210" s="4"/>
      <c r="L210" s="4">
        <v>27</v>
      </c>
      <c r="M210" s="4">
        <v>6</v>
      </c>
      <c r="N210" s="4"/>
      <c r="O210" s="5">
        <f t="shared" si="3"/>
        <v>48</v>
      </c>
    </row>
    <row r="211" spans="1:15" x14ac:dyDescent="0.25">
      <c r="A211" s="4" t="s">
        <v>419</v>
      </c>
      <c r="B211" s="4" t="s">
        <v>523</v>
      </c>
      <c r="C211" s="4">
        <v>4</v>
      </c>
      <c r="D211" s="4">
        <v>2</v>
      </c>
      <c r="E211" s="4">
        <v>2</v>
      </c>
      <c r="F211" s="4"/>
      <c r="G211" s="4">
        <v>2</v>
      </c>
      <c r="H211" s="4">
        <v>2</v>
      </c>
      <c r="I211" s="4">
        <v>4</v>
      </c>
      <c r="J211" s="4">
        <v>6</v>
      </c>
      <c r="K211" s="4">
        <v>6</v>
      </c>
      <c r="L211" s="4">
        <v>7</v>
      </c>
      <c r="M211" s="4">
        <v>4</v>
      </c>
      <c r="N211" s="4">
        <v>9</v>
      </c>
      <c r="O211" s="5">
        <f t="shared" si="3"/>
        <v>48</v>
      </c>
    </row>
    <row r="212" spans="1:15" x14ac:dyDescent="0.25">
      <c r="A212" s="4" t="s">
        <v>423</v>
      </c>
      <c r="B212" s="4" t="s">
        <v>424</v>
      </c>
      <c r="C212" s="4">
        <v>24</v>
      </c>
      <c r="D212" s="4">
        <v>9</v>
      </c>
      <c r="E212" s="4">
        <v>1</v>
      </c>
      <c r="F212" s="4">
        <v>7</v>
      </c>
      <c r="G212" s="4">
        <v>1</v>
      </c>
      <c r="H212" s="4">
        <v>5</v>
      </c>
      <c r="I212" s="4">
        <v>1</v>
      </c>
      <c r="J212" s="4"/>
      <c r="K212" s="4"/>
      <c r="L212" s="4"/>
      <c r="M212" s="4"/>
      <c r="N212" s="4"/>
      <c r="O212" s="5">
        <f t="shared" si="3"/>
        <v>48</v>
      </c>
    </row>
    <row r="213" spans="1:15" x14ac:dyDescent="0.25">
      <c r="A213" s="4" t="s">
        <v>427</v>
      </c>
      <c r="B213" s="4" t="s">
        <v>208</v>
      </c>
      <c r="C213" s="4"/>
      <c r="D213" s="4"/>
      <c r="E213" s="4"/>
      <c r="F213" s="4"/>
      <c r="G213" s="4"/>
      <c r="H213" s="4">
        <v>8</v>
      </c>
      <c r="I213" s="4"/>
      <c r="J213" s="4"/>
      <c r="K213" s="4"/>
      <c r="L213" s="4">
        <v>21</v>
      </c>
      <c r="M213" s="4"/>
      <c r="N213" s="4">
        <v>16</v>
      </c>
      <c r="O213" s="5">
        <f t="shared" si="3"/>
        <v>45</v>
      </c>
    </row>
    <row r="214" spans="1:15" x14ac:dyDescent="0.25">
      <c r="A214" s="4" t="s">
        <v>425</v>
      </c>
      <c r="B214" s="4" t="s">
        <v>551</v>
      </c>
      <c r="C214" s="4">
        <v>9</v>
      </c>
      <c r="D214" s="4">
        <v>8</v>
      </c>
      <c r="E214" s="4">
        <v>9</v>
      </c>
      <c r="F214" s="4">
        <v>2</v>
      </c>
      <c r="G214" s="4">
        <v>3</v>
      </c>
      <c r="H214" s="4">
        <v>2</v>
      </c>
      <c r="I214" s="4">
        <v>4</v>
      </c>
      <c r="J214" s="4">
        <v>2</v>
      </c>
      <c r="K214" s="4"/>
      <c r="L214" s="4">
        <v>3</v>
      </c>
      <c r="M214" s="4">
        <v>1</v>
      </c>
      <c r="N214" s="4">
        <v>2</v>
      </c>
      <c r="O214" s="5">
        <f t="shared" si="3"/>
        <v>45</v>
      </c>
    </row>
    <row r="215" spans="1:15" x14ac:dyDescent="0.25">
      <c r="A215" s="4" t="s">
        <v>445</v>
      </c>
      <c r="B215" s="4" t="s">
        <v>548</v>
      </c>
      <c r="C215" s="4">
        <v>2</v>
      </c>
      <c r="D215" s="4">
        <v>1</v>
      </c>
      <c r="E215" s="4">
        <v>4</v>
      </c>
      <c r="F215" s="4">
        <v>6</v>
      </c>
      <c r="G215" s="4">
        <v>8</v>
      </c>
      <c r="H215" s="4">
        <v>3</v>
      </c>
      <c r="I215" s="4"/>
      <c r="J215" s="4">
        <v>2</v>
      </c>
      <c r="K215" s="4">
        <v>6</v>
      </c>
      <c r="L215" s="4">
        <v>8</v>
      </c>
      <c r="M215" s="4">
        <v>3</v>
      </c>
      <c r="N215" s="4">
        <v>2</v>
      </c>
      <c r="O215" s="5">
        <f t="shared" si="3"/>
        <v>45</v>
      </c>
    </row>
    <row r="216" spans="1:15" x14ac:dyDescent="0.25">
      <c r="A216" s="4" t="s">
        <v>443</v>
      </c>
      <c r="B216" s="4" t="s">
        <v>697</v>
      </c>
      <c r="C216" s="4">
        <v>10</v>
      </c>
      <c r="D216" s="4">
        <v>7</v>
      </c>
      <c r="E216" s="4">
        <v>13</v>
      </c>
      <c r="F216" s="4">
        <v>6</v>
      </c>
      <c r="G216" s="4">
        <v>2</v>
      </c>
      <c r="H216" s="4">
        <v>1</v>
      </c>
      <c r="I216" s="4">
        <v>2</v>
      </c>
      <c r="J216" s="4">
        <v>1</v>
      </c>
      <c r="K216" s="4">
        <v>1</v>
      </c>
      <c r="L216" s="4"/>
      <c r="M216" s="4"/>
      <c r="N216" s="4"/>
      <c r="O216" s="5">
        <f t="shared" si="3"/>
        <v>43</v>
      </c>
    </row>
    <row r="217" spans="1:15" x14ac:dyDescent="0.25">
      <c r="A217" s="4" t="s">
        <v>441</v>
      </c>
      <c r="B217" s="4" t="s">
        <v>588</v>
      </c>
      <c r="C217" s="4"/>
      <c r="D217" s="4"/>
      <c r="E217" s="4"/>
      <c r="F217" s="4"/>
      <c r="G217" s="4"/>
      <c r="H217" s="4"/>
      <c r="I217" s="4"/>
      <c r="J217" s="4">
        <v>7</v>
      </c>
      <c r="K217" s="4">
        <v>17</v>
      </c>
      <c r="L217" s="4">
        <v>8</v>
      </c>
      <c r="M217" s="4">
        <v>6</v>
      </c>
      <c r="N217" s="4">
        <v>5</v>
      </c>
      <c r="O217" s="5">
        <f t="shared" si="3"/>
        <v>43</v>
      </c>
    </row>
    <row r="218" spans="1:15" x14ac:dyDescent="0.25">
      <c r="A218" s="4" t="s">
        <v>439</v>
      </c>
      <c r="B218" s="4" t="s">
        <v>599</v>
      </c>
      <c r="C218" s="4">
        <v>3</v>
      </c>
      <c r="D218" s="4">
        <v>4</v>
      </c>
      <c r="E218" s="4">
        <v>2</v>
      </c>
      <c r="F218" s="4">
        <v>8</v>
      </c>
      <c r="G218" s="4">
        <v>8</v>
      </c>
      <c r="H218" s="4"/>
      <c r="I218" s="4">
        <v>1</v>
      </c>
      <c r="J218" s="4">
        <v>6</v>
      </c>
      <c r="K218" s="4"/>
      <c r="L218" s="4">
        <v>1</v>
      </c>
      <c r="M218" s="4">
        <v>2</v>
      </c>
      <c r="N218" s="4">
        <v>5</v>
      </c>
      <c r="O218" s="5">
        <f t="shared" si="3"/>
        <v>40</v>
      </c>
    </row>
    <row r="219" spans="1:15" x14ac:dyDescent="0.25">
      <c r="A219" s="4" t="s">
        <v>437</v>
      </c>
      <c r="B219" s="4" t="s">
        <v>525</v>
      </c>
      <c r="C219" s="4">
        <v>3</v>
      </c>
      <c r="D219" s="4">
        <v>1</v>
      </c>
      <c r="E219" s="4"/>
      <c r="F219" s="4"/>
      <c r="G219" s="4">
        <v>6</v>
      </c>
      <c r="H219" s="4"/>
      <c r="I219" s="4"/>
      <c r="J219" s="4"/>
      <c r="K219" s="4">
        <v>7</v>
      </c>
      <c r="L219" s="4">
        <v>12</v>
      </c>
      <c r="M219" s="4">
        <v>3</v>
      </c>
      <c r="N219" s="4">
        <v>5</v>
      </c>
      <c r="O219" s="5">
        <f t="shared" si="3"/>
        <v>37</v>
      </c>
    </row>
    <row r="220" spans="1:15" x14ac:dyDescent="0.25">
      <c r="A220" s="4" t="s">
        <v>435</v>
      </c>
      <c r="B220" s="4" t="s">
        <v>582</v>
      </c>
      <c r="C220" s="4">
        <v>3</v>
      </c>
      <c r="D220" s="4">
        <v>4</v>
      </c>
      <c r="E220" s="4">
        <v>1</v>
      </c>
      <c r="F220" s="4">
        <v>7</v>
      </c>
      <c r="G220" s="4">
        <v>5</v>
      </c>
      <c r="H220" s="4">
        <v>3</v>
      </c>
      <c r="I220" s="4">
        <v>3</v>
      </c>
      <c r="J220" s="4">
        <v>4</v>
      </c>
      <c r="K220" s="4">
        <v>3</v>
      </c>
      <c r="L220" s="4">
        <v>1</v>
      </c>
      <c r="M220" s="4"/>
      <c r="N220" s="4">
        <v>3</v>
      </c>
      <c r="O220" s="5">
        <f t="shared" si="3"/>
        <v>37</v>
      </c>
    </row>
    <row r="221" spans="1:15" x14ac:dyDescent="0.25">
      <c r="A221" s="4" t="s">
        <v>433</v>
      </c>
      <c r="B221" s="4" t="s">
        <v>530</v>
      </c>
      <c r="C221" s="4"/>
      <c r="D221" s="4">
        <v>9</v>
      </c>
      <c r="E221" s="4">
        <v>16</v>
      </c>
      <c r="F221" s="4"/>
      <c r="G221" s="4"/>
      <c r="H221" s="4">
        <v>8</v>
      </c>
      <c r="I221" s="4"/>
      <c r="J221" s="4"/>
      <c r="K221" s="4"/>
      <c r="L221" s="4">
        <v>2</v>
      </c>
      <c r="M221" s="4">
        <v>1</v>
      </c>
      <c r="N221" s="4"/>
      <c r="O221" s="5">
        <f t="shared" si="3"/>
        <v>36</v>
      </c>
    </row>
    <row r="222" spans="1:15" x14ac:dyDescent="0.25">
      <c r="A222" s="4" t="s">
        <v>431</v>
      </c>
      <c r="B222" s="4" t="s">
        <v>552</v>
      </c>
      <c r="C222" s="4">
        <v>2</v>
      </c>
      <c r="D222" s="4"/>
      <c r="E222" s="4"/>
      <c r="F222" s="4"/>
      <c r="G222" s="4"/>
      <c r="H222" s="4">
        <v>1</v>
      </c>
      <c r="I222" s="4">
        <v>13</v>
      </c>
      <c r="J222" s="4">
        <v>5</v>
      </c>
      <c r="K222" s="4">
        <v>7</v>
      </c>
      <c r="L222" s="4">
        <v>4</v>
      </c>
      <c r="M222" s="4">
        <v>4</v>
      </c>
      <c r="N222" s="4"/>
      <c r="O222" s="5">
        <f t="shared" si="3"/>
        <v>36</v>
      </c>
    </row>
    <row r="223" spans="1:15" x14ac:dyDescent="0.25">
      <c r="A223" s="4" t="s">
        <v>429</v>
      </c>
      <c r="B223" s="4" t="s">
        <v>592</v>
      </c>
      <c r="C223" s="4">
        <v>2</v>
      </c>
      <c r="D223" s="4">
        <v>2</v>
      </c>
      <c r="E223" s="4">
        <v>3</v>
      </c>
      <c r="F223" s="4">
        <v>2</v>
      </c>
      <c r="G223" s="4">
        <v>3</v>
      </c>
      <c r="H223" s="4"/>
      <c r="I223" s="4">
        <v>4</v>
      </c>
      <c r="J223" s="4">
        <v>1</v>
      </c>
      <c r="K223" s="4">
        <v>3</v>
      </c>
      <c r="L223" s="4">
        <v>3</v>
      </c>
      <c r="M223" s="4">
        <v>4</v>
      </c>
      <c r="N223" s="4">
        <v>9</v>
      </c>
      <c r="O223" s="5">
        <f t="shared" si="3"/>
        <v>36</v>
      </c>
    </row>
    <row r="224" spans="1:15" x14ac:dyDescent="0.25">
      <c r="A224" s="4" t="s">
        <v>473</v>
      </c>
      <c r="B224" s="4" t="s">
        <v>547</v>
      </c>
      <c r="C224" s="4"/>
      <c r="D224" s="4">
        <v>1</v>
      </c>
      <c r="E224" s="4">
        <v>3</v>
      </c>
      <c r="F224" s="4"/>
      <c r="G224" s="4">
        <v>1</v>
      </c>
      <c r="H224" s="4"/>
      <c r="I224" s="4"/>
      <c r="J224" s="4">
        <v>3</v>
      </c>
      <c r="K224" s="4"/>
      <c r="L224" s="4">
        <v>5</v>
      </c>
      <c r="M224" s="4">
        <v>7</v>
      </c>
      <c r="N224" s="4">
        <v>14</v>
      </c>
      <c r="O224" s="5">
        <f t="shared" si="3"/>
        <v>34</v>
      </c>
    </row>
    <row r="225" spans="1:15" x14ac:dyDescent="0.25">
      <c r="A225" s="4" t="s">
        <v>471</v>
      </c>
      <c r="B225" s="4" t="s">
        <v>667</v>
      </c>
      <c r="C225" s="4">
        <v>5</v>
      </c>
      <c r="D225" s="4"/>
      <c r="E225" s="4"/>
      <c r="F225" s="4">
        <v>6</v>
      </c>
      <c r="G225" s="4"/>
      <c r="H225" s="4"/>
      <c r="I225" s="4">
        <v>6</v>
      </c>
      <c r="J225" s="4"/>
      <c r="K225" s="4"/>
      <c r="L225" s="4"/>
      <c r="M225" s="4">
        <v>7</v>
      </c>
      <c r="N225" s="4">
        <v>7</v>
      </c>
      <c r="O225" s="5">
        <f t="shared" si="3"/>
        <v>31</v>
      </c>
    </row>
    <row r="226" spans="1:15" x14ac:dyDescent="0.25">
      <c r="A226" s="4" t="s">
        <v>469</v>
      </c>
      <c r="B226" s="4" t="s">
        <v>698</v>
      </c>
      <c r="C226" s="4">
        <v>5</v>
      </c>
      <c r="D226" s="4">
        <v>4</v>
      </c>
      <c r="E226" s="4">
        <v>5</v>
      </c>
      <c r="F226" s="4">
        <v>7</v>
      </c>
      <c r="G226" s="4">
        <v>5</v>
      </c>
      <c r="H226" s="4"/>
      <c r="I226" s="4">
        <v>1</v>
      </c>
      <c r="J226" s="4">
        <v>2</v>
      </c>
      <c r="K226" s="4"/>
      <c r="L226" s="4"/>
      <c r="M226" s="4"/>
      <c r="N226" s="4"/>
      <c r="O226" s="5">
        <f t="shared" si="3"/>
        <v>29</v>
      </c>
    </row>
    <row r="227" spans="1:15" x14ac:dyDescent="0.25">
      <c r="A227" s="4" t="s">
        <v>467</v>
      </c>
      <c r="B227" s="4" t="s">
        <v>510</v>
      </c>
      <c r="C227" s="4">
        <v>5</v>
      </c>
      <c r="D227" s="4">
        <v>3</v>
      </c>
      <c r="E227" s="4">
        <v>6</v>
      </c>
      <c r="F227" s="4">
        <v>3</v>
      </c>
      <c r="G227" s="4">
        <v>6</v>
      </c>
      <c r="H227" s="4"/>
      <c r="I227" s="4">
        <v>3</v>
      </c>
      <c r="J227" s="4"/>
      <c r="K227" s="4">
        <v>1</v>
      </c>
      <c r="L227" s="4"/>
      <c r="M227" s="4"/>
      <c r="N227" s="4"/>
      <c r="O227" s="5">
        <f t="shared" si="3"/>
        <v>27</v>
      </c>
    </row>
    <row r="228" spans="1:15" x14ac:dyDescent="0.25">
      <c r="A228" s="4" t="s">
        <v>465</v>
      </c>
      <c r="B228" s="4" t="s">
        <v>603</v>
      </c>
      <c r="C228" s="4">
        <v>2</v>
      </c>
      <c r="D228" s="4">
        <v>1</v>
      </c>
      <c r="E228" s="4">
        <v>2</v>
      </c>
      <c r="F228" s="4">
        <v>1</v>
      </c>
      <c r="G228" s="4">
        <v>4</v>
      </c>
      <c r="H228" s="4">
        <v>2</v>
      </c>
      <c r="I228" s="4"/>
      <c r="J228" s="4">
        <v>3</v>
      </c>
      <c r="K228" s="4">
        <v>3</v>
      </c>
      <c r="L228" s="4">
        <v>2</v>
      </c>
      <c r="M228" s="4">
        <v>5</v>
      </c>
      <c r="N228" s="4"/>
      <c r="O228" s="5">
        <f t="shared" si="3"/>
        <v>25</v>
      </c>
    </row>
    <row r="229" spans="1:15" x14ac:dyDescent="0.25">
      <c r="A229" s="4" t="s">
        <v>463</v>
      </c>
      <c r="B229" s="4" t="s">
        <v>484</v>
      </c>
      <c r="C229" s="4">
        <v>3</v>
      </c>
      <c r="D229" s="4"/>
      <c r="E229" s="4">
        <v>2</v>
      </c>
      <c r="F229" s="4">
        <v>1</v>
      </c>
      <c r="G229" s="4">
        <v>4</v>
      </c>
      <c r="H229" s="4">
        <v>6</v>
      </c>
      <c r="I229" s="4">
        <v>1</v>
      </c>
      <c r="J229" s="4">
        <v>3</v>
      </c>
      <c r="K229" s="4">
        <v>1</v>
      </c>
      <c r="L229" s="4">
        <v>1</v>
      </c>
      <c r="M229" s="4">
        <v>1</v>
      </c>
      <c r="N229" s="4">
        <v>2</v>
      </c>
      <c r="O229" s="5">
        <f t="shared" si="3"/>
        <v>25</v>
      </c>
    </row>
    <row r="230" spans="1:15" x14ac:dyDescent="0.25">
      <c r="A230" s="4" t="s">
        <v>461</v>
      </c>
      <c r="B230" s="4" t="s">
        <v>464</v>
      </c>
      <c r="C230" s="4">
        <v>3</v>
      </c>
      <c r="D230" s="4">
        <v>2</v>
      </c>
      <c r="E230" s="4">
        <v>2</v>
      </c>
      <c r="F230" s="4">
        <v>5</v>
      </c>
      <c r="G230" s="4">
        <v>2</v>
      </c>
      <c r="H230" s="4">
        <v>2</v>
      </c>
      <c r="I230" s="4">
        <v>2</v>
      </c>
      <c r="J230" s="4"/>
      <c r="K230" s="4">
        <v>2</v>
      </c>
      <c r="L230" s="4">
        <v>2</v>
      </c>
      <c r="M230" s="4"/>
      <c r="N230" s="4">
        <v>1</v>
      </c>
      <c r="O230" s="5">
        <f t="shared" si="3"/>
        <v>23</v>
      </c>
    </row>
    <row r="231" spans="1:15" x14ac:dyDescent="0.25">
      <c r="A231" s="4" t="s">
        <v>459</v>
      </c>
      <c r="B231" s="4" t="s">
        <v>549</v>
      </c>
      <c r="C231" s="4"/>
      <c r="D231" s="4"/>
      <c r="E231" s="4"/>
      <c r="F231" s="4"/>
      <c r="G231" s="4"/>
      <c r="H231" s="4"/>
      <c r="I231" s="4"/>
      <c r="J231" s="4"/>
      <c r="K231" s="4">
        <v>8</v>
      </c>
      <c r="L231" s="4">
        <v>6</v>
      </c>
      <c r="M231" s="4">
        <v>6</v>
      </c>
      <c r="N231" s="4">
        <v>3</v>
      </c>
      <c r="O231" s="5">
        <f t="shared" si="3"/>
        <v>23</v>
      </c>
    </row>
    <row r="232" spans="1:15" x14ac:dyDescent="0.25">
      <c r="A232" s="4" t="s">
        <v>457</v>
      </c>
      <c r="B232" s="4" t="s">
        <v>611</v>
      </c>
      <c r="C232" s="4">
        <v>6</v>
      </c>
      <c r="D232" s="4">
        <v>4</v>
      </c>
      <c r="E232" s="4">
        <v>5</v>
      </c>
      <c r="F232" s="4">
        <v>2</v>
      </c>
      <c r="G232" s="4">
        <v>1</v>
      </c>
      <c r="H232" s="4">
        <v>1</v>
      </c>
      <c r="I232" s="4"/>
      <c r="J232" s="4">
        <v>3</v>
      </c>
      <c r="K232" s="4">
        <v>1</v>
      </c>
      <c r="L232" s="4"/>
      <c r="M232" s="4"/>
      <c r="N232" s="4"/>
      <c r="O232" s="5">
        <f t="shared" si="3"/>
        <v>23</v>
      </c>
    </row>
    <row r="233" spans="1:15" x14ac:dyDescent="0.25">
      <c r="A233" s="4" t="s">
        <v>455</v>
      </c>
      <c r="B233" s="4" t="s">
        <v>654</v>
      </c>
      <c r="C233" s="4">
        <v>5</v>
      </c>
      <c r="D233" s="4">
        <v>2</v>
      </c>
      <c r="E233" s="4"/>
      <c r="F233" s="4"/>
      <c r="G233" s="4"/>
      <c r="H233" s="4"/>
      <c r="I233" s="4">
        <v>7</v>
      </c>
      <c r="J233" s="4">
        <v>1</v>
      </c>
      <c r="K233" s="4">
        <v>2</v>
      </c>
      <c r="L233" s="4">
        <v>3</v>
      </c>
      <c r="M233" s="4">
        <v>2</v>
      </c>
      <c r="N233" s="4"/>
      <c r="O233" s="5">
        <f t="shared" si="3"/>
        <v>22</v>
      </c>
    </row>
    <row r="234" spans="1:15" x14ac:dyDescent="0.25">
      <c r="A234" s="4" t="s">
        <v>453</v>
      </c>
      <c r="B234" s="4" t="s">
        <v>474</v>
      </c>
      <c r="C234" s="4">
        <v>1</v>
      </c>
      <c r="D234" s="4"/>
      <c r="E234" s="4"/>
      <c r="F234" s="4"/>
      <c r="G234" s="4">
        <v>3</v>
      </c>
      <c r="H234" s="4">
        <v>5</v>
      </c>
      <c r="I234" s="4">
        <v>3</v>
      </c>
      <c r="J234" s="4">
        <v>2</v>
      </c>
      <c r="K234" s="4">
        <v>2</v>
      </c>
      <c r="L234" s="4">
        <v>1</v>
      </c>
      <c r="M234" s="4">
        <v>5</v>
      </c>
      <c r="N234" s="4"/>
      <c r="O234" s="5">
        <f t="shared" si="3"/>
        <v>22</v>
      </c>
    </row>
    <row r="235" spans="1:15" x14ac:dyDescent="0.25">
      <c r="A235" s="4" t="s">
        <v>451</v>
      </c>
      <c r="B235" s="4" t="s">
        <v>699</v>
      </c>
      <c r="C235" s="4">
        <v>15</v>
      </c>
      <c r="D235" s="4">
        <v>1</v>
      </c>
      <c r="E235" s="4">
        <v>1</v>
      </c>
      <c r="F235" s="4"/>
      <c r="G235" s="4"/>
      <c r="H235" s="4"/>
      <c r="I235" s="4">
        <v>2</v>
      </c>
      <c r="J235" s="4"/>
      <c r="K235" s="4"/>
      <c r="L235" s="4"/>
      <c r="M235" s="4">
        <v>1</v>
      </c>
      <c r="N235" s="4">
        <v>1</v>
      </c>
      <c r="O235" s="5">
        <f t="shared" si="3"/>
        <v>21</v>
      </c>
    </row>
    <row r="236" spans="1:15" x14ac:dyDescent="0.25">
      <c r="A236" s="4" t="s">
        <v>449</v>
      </c>
      <c r="B236" s="4" t="s">
        <v>274</v>
      </c>
      <c r="C236" s="4"/>
      <c r="D236" s="4">
        <v>1</v>
      </c>
      <c r="E236" s="4">
        <v>5</v>
      </c>
      <c r="F236" s="4">
        <v>4</v>
      </c>
      <c r="G236" s="4">
        <v>4</v>
      </c>
      <c r="H236" s="4">
        <v>2</v>
      </c>
      <c r="I236" s="4">
        <v>1</v>
      </c>
      <c r="J236" s="4">
        <v>1</v>
      </c>
      <c r="K236" s="4">
        <v>1</v>
      </c>
      <c r="L236" s="4"/>
      <c r="M236" s="4">
        <v>1</v>
      </c>
      <c r="N236" s="4">
        <v>1</v>
      </c>
      <c r="O236" s="5">
        <f t="shared" si="3"/>
        <v>21</v>
      </c>
    </row>
    <row r="237" spans="1:15" x14ac:dyDescent="0.25">
      <c r="A237" s="4" t="s">
        <v>447</v>
      </c>
      <c r="B237" s="4" t="s">
        <v>370</v>
      </c>
      <c r="C237" s="4">
        <v>5</v>
      </c>
      <c r="D237" s="4">
        <v>2</v>
      </c>
      <c r="E237" s="4">
        <v>3</v>
      </c>
      <c r="F237" s="4">
        <v>5</v>
      </c>
      <c r="G237" s="4">
        <v>1</v>
      </c>
      <c r="H237" s="4"/>
      <c r="I237" s="4">
        <v>3</v>
      </c>
      <c r="J237" s="4">
        <v>1</v>
      </c>
      <c r="K237" s="4"/>
      <c r="L237" s="4"/>
      <c r="M237" s="4"/>
      <c r="N237" s="4"/>
      <c r="O237" s="5">
        <f t="shared" si="3"/>
        <v>20</v>
      </c>
    </row>
    <row r="238" spans="1:15" x14ac:dyDescent="0.25">
      <c r="A238" s="4" t="s">
        <v>515</v>
      </c>
      <c r="B238" s="4" t="s">
        <v>418</v>
      </c>
      <c r="C238" s="4">
        <v>3</v>
      </c>
      <c r="D238" s="4">
        <v>3</v>
      </c>
      <c r="E238" s="4">
        <v>1</v>
      </c>
      <c r="F238" s="4">
        <v>3</v>
      </c>
      <c r="G238" s="4">
        <v>2</v>
      </c>
      <c r="H238" s="4">
        <v>1</v>
      </c>
      <c r="I238" s="4"/>
      <c r="J238" s="4">
        <v>1</v>
      </c>
      <c r="K238" s="4"/>
      <c r="L238" s="4">
        <v>1</v>
      </c>
      <c r="M238" s="4">
        <v>3</v>
      </c>
      <c r="N238" s="4"/>
      <c r="O238" s="5">
        <f t="shared" si="3"/>
        <v>18</v>
      </c>
    </row>
    <row r="239" spans="1:15" x14ac:dyDescent="0.25">
      <c r="A239" s="4" t="s">
        <v>513</v>
      </c>
      <c r="B239" s="4" t="s">
        <v>669</v>
      </c>
      <c r="C239" s="4">
        <v>1</v>
      </c>
      <c r="D239" s="4">
        <v>1</v>
      </c>
      <c r="E239" s="4"/>
      <c r="F239" s="4">
        <v>8</v>
      </c>
      <c r="G239" s="4">
        <v>1</v>
      </c>
      <c r="H239" s="4">
        <v>1</v>
      </c>
      <c r="I239" s="4">
        <v>2</v>
      </c>
      <c r="J239" s="4"/>
      <c r="K239" s="4">
        <v>1</v>
      </c>
      <c r="L239" s="4">
        <v>1</v>
      </c>
      <c r="M239" s="4"/>
      <c r="N239" s="4"/>
      <c r="O239" s="5">
        <f t="shared" si="3"/>
        <v>16</v>
      </c>
    </row>
    <row r="240" spans="1:15" x14ac:dyDescent="0.25">
      <c r="A240" s="4" t="s">
        <v>511</v>
      </c>
      <c r="B240" s="4" t="s">
        <v>596</v>
      </c>
      <c r="C240" s="4">
        <v>1</v>
      </c>
      <c r="D240" s="4">
        <v>1</v>
      </c>
      <c r="E240" s="4">
        <v>2</v>
      </c>
      <c r="F240" s="4">
        <v>1</v>
      </c>
      <c r="G240" s="4">
        <v>1</v>
      </c>
      <c r="H240" s="4">
        <v>1</v>
      </c>
      <c r="I240" s="4">
        <v>2</v>
      </c>
      <c r="J240" s="4">
        <v>3</v>
      </c>
      <c r="K240" s="4">
        <v>2</v>
      </c>
      <c r="L240" s="4"/>
      <c r="M240" s="4">
        <v>1</v>
      </c>
      <c r="N240" s="4">
        <v>1</v>
      </c>
      <c r="O240" s="5">
        <f t="shared" si="3"/>
        <v>16</v>
      </c>
    </row>
    <row r="241" spans="1:15" x14ac:dyDescent="0.25">
      <c r="A241" s="4" t="s">
        <v>509</v>
      </c>
      <c r="B241" s="4" t="s">
        <v>406</v>
      </c>
      <c r="C241" s="4"/>
      <c r="D241" s="4"/>
      <c r="E241" s="4">
        <v>1</v>
      </c>
      <c r="F241" s="4">
        <v>1</v>
      </c>
      <c r="G241" s="4"/>
      <c r="H241" s="4">
        <v>2</v>
      </c>
      <c r="I241" s="4"/>
      <c r="J241" s="4"/>
      <c r="K241" s="4"/>
      <c r="L241" s="4"/>
      <c r="M241" s="4">
        <v>6</v>
      </c>
      <c r="N241" s="4">
        <v>5</v>
      </c>
      <c r="O241" s="5">
        <f t="shared" si="3"/>
        <v>15</v>
      </c>
    </row>
    <row r="242" spans="1:15" x14ac:dyDescent="0.25">
      <c r="A242" s="4" t="s">
        <v>507</v>
      </c>
      <c r="B242" s="4" t="s">
        <v>590</v>
      </c>
      <c r="C242" s="4">
        <v>2</v>
      </c>
      <c r="D242" s="4"/>
      <c r="E242" s="4">
        <v>3</v>
      </c>
      <c r="F242" s="4"/>
      <c r="G242" s="4">
        <v>1</v>
      </c>
      <c r="H242" s="4">
        <v>3</v>
      </c>
      <c r="I242" s="4">
        <v>1</v>
      </c>
      <c r="J242" s="4">
        <v>1</v>
      </c>
      <c r="K242" s="4">
        <v>1</v>
      </c>
      <c r="L242" s="4">
        <v>1</v>
      </c>
      <c r="M242" s="4">
        <v>2</v>
      </c>
      <c r="N242" s="4"/>
      <c r="O242" s="5">
        <f t="shared" si="3"/>
        <v>15</v>
      </c>
    </row>
    <row r="243" spans="1:15" x14ac:dyDescent="0.25">
      <c r="A243" s="4" t="s">
        <v>505</v>
      </c>
      <c r="B243" s="4" t="s">
        <v>672</v>
      </c>
      <c r="C243" s="4"/>
      <c r="D243" s="4"/>
      <c r="E243" s="4"/>
      <c r="F243" s="4"/>
      <c r="G243" s="4"/>
      <c r="H243" s="4">
        <v>1</v>
      </c>
      <c r="I243" s="4">
        <v>2</v>
      </c>
      <c r="J243" s="4">
        <v>2</v>
      </c>
      <c r="K243" s="4">
        <v>2</v>
      </c>
      <c r="L243" s="4">
        <v>2</v>
      </c>
      <c r="M243" s="4">
        <v>2</v>
      </c>
      <c r="N243" s="4">
        <v>4</v>
      </c>
      <c r="O243" s="5">
        <f t="shared" si="3"/>
        <v>15</v>
      </c>
    </row>
    <row r="244" spans="1:15" x14ac:dyDescent="0.25">
      <c r="A244" s="4" t="s">
        <v>503</v>
      </c>
      <c r="B244" s="4" t="s">
        <v>605</v>
      </c>
      <c r="C244" s="4">
        <v>3</v>
      </c>
      <c r="D244" s="4">
        <v>1</v>
      </c>
      <c r="E244" s="4"/>
      <c r="F244" s="4">
        <v>1</v>
      </c>
      <c r="G244" s="4">
        <v>3</v>
      </c>
      <c r="H244" s="4">
        <v>1</v>
      </c>
      <c r="I244" s="4">
        <v>2</v>
      </c>
      <c r="J244" s="4"/>
      <c r="K244" s="4"/>
      <c r="L244" s="4">
        <v>1</v>
      </c>
      <c r="M244" s="4"/>
      <c r="N244" s="4">
        <v>1</v>
      </c>
      <c r="O244" s="5">
        <f t="shared" si="3"/>
        <v>13</v>
      </c>
    </row>
    <row r="245" spans="1:15" x14ac:dyDescent="0.25">
      <c r="A245" s="4" t="s">
        <v>501</v>
      </c>
      <c r="B245" s="4" t="s">
        <v>700</v>
      </c>
      <c r="C245" s="4">
        <v>3</v>
      </c>
      <c r="D245" s="4">
        <v>6</v>
      </c>
      <c r="E245" s="4">
        <v>4</v>
      </c>
      <c r="F245" s="4"/>
      <c r="G245" s="4"/>
      <c r="H245" s="4"/>
      <c r="I245" s="4"/>
      <c r="J245" s="4"/>
      <c r="K245" s="4"/>
      <c r="L245" s="4"/>
      <c r="M245" s="4"/>
      <c r="N245" s="4"/>
      <c r="O245" s="5">
        <f t="shared" si="3"/>
        <v>13</v>
      </c>
    </row>
    <row r="246" spans="1:15" x14ac:dyDescent="0.25">
      <c r="A246" s="4" t="s">
        <v>499</v>
      </c>
      <c r="B246" s="4" t="s">
        <v>516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>
        <v>10</v>
      </c>
      <c r="N246" s="4"/>
      <c r="O246" s="5">
        <f t="shared" si="3"/>
        <v>10</v>
      </c>
    </row>
    <row r="247" spans="1:15" x14ac:dyDescent="0.25">
      <c r="A247" s="4" t="s">
        <v>497</v>
      </c>
      <c r="B247" s="4" t="s">
        <v>524</v>
      </c>
      <c r="C247" s="4"/>
      <c r="D247" s="4"/>
      <c r="E247" s="4"/>
      <c r="F247" s="4"/>
      <c r="G247" s="4"/>
      <c r="H247" s="4">
        <v>10</v>
      </c>
      <c r="I247" s="4"/>
      <c r="J247" s="4"/>
      <c r="K247" s="4"/>
      <c r="L247" s="4"/>
      <c r="M247" s="4"/>
      <c r="N247" s="4"/>
      <c r="O247" s="5">
        <f t="shared" si="3"/>
        <v>10</v>
      </c>
    </row>
    <row r="248" spans="1:15" x14ac:dyDescent="0.25">
      <c r="A248" s="4" t="s">
        <v>495</v>
      </c>
      <c r="B248" s="4" t="s">
        <v>542</v>
      </c>
      <c r="C248" s="4"/>
      <c r="D248" s="4">
        <v>2</v>
      </c>
      <c r="E248" s="4"/>
      <c r="F248" s="4"/>
      <c r="G248" s="4"/>
      <c r="H248" s="4">
        <v>1</v>
      </c>
      <c r="I248" s="4">
        <v>2</v>
      </c>
      <c r="J248" s="4"/>
      <c r="K248" s="4">
        <v>1</v>
      </c>
      <c r="L248" s="4">
        <v>2</v>
      </c>
      <c r="M248" s="4"/>
      <c r="N248" s="4">
        <v>1</v>
      </c>
      <c r="O248" s="5">
        <f t="shared" si="3"/>
        <v>9</v>
      </c>
    </row>
    <row r="249" spans="1:15" x14ac:dyDescent="0.25">
      <c r="A249" s="4" t="s">
        <v>493</v>
      </c>
      <c r="B249" s="4" t="s">
        <v>550</v>
      </c>
      <c r="C249" s="4"/>
      <c r="D249" s="4"/>
      <c r="E249" s="4">
        <v>1</v>
      </c>
      <c r="F249" s="4">
        <v>1</v>
      </c>
      <c r="G249" s="4">
        <v>3</v>
      </c>
      <c r="H249" s="4"/>
      <c r="I249" s="4">
        <v>1</v>
      </c>
      <c r="J249" s="4"/>
      <c r="K249" s="4"/>
      <c r="L249" s="4">
        <v>1</v>
      </c>
      <c r="M249" s="4">
        <v>1</v>
      </c>
      <c r="N249" s="4">
        <v>1</v>
      </c>
      <c r="O249" s="5">
        <f t="shared" si="3"/>
        <v>9</v>
      </c>
    </row>
    <row r="250" spans="1:15" x14ac:dyDescent="0.25">
      <c r="A250" s="4" t="s">
        <v>491</v>
      </c>
      <c r="B250" s="4" t="s">
        <v>636</v>
      </c>
      <c r="C250" s="4">
        <v>1</v>
      </c>
      <c r="D250" s="4">
        <v>2</v>
      </c>
      <c r="E250" s="4">
        <v>2</v>
      </c>
      <c r="F250" s="4">
        <v>1</v>
      </c>
      <c r="G250" s="4">
        <v>1</v>
      </c>
      <c r="H250" s="4"/>
      <c r="I250" s="4">
        <v>1</v>
      </c>
      <c r="J250" s="4"/>
      <c r="K250" s="4"/>
      <c r="L250" s="4"/>
      <c r="M250" s="4"/>
      <c r="N250" s="4"/>
      <c r="O250" s="5">
        <f t="shared" si="3"/>
        <v>8</v>
      </c>
    </row>
    <row r="251" spans="1:15" x14ac:dyDescent="0.25">
      <c r="A251" s="4" t="s">
        <v>489</v>
      </c>
      <c r="B251" s="4" t="s">
        <v>701</v>
      </c>
      <c r="C251" s="4"/>
      <c r="D251" s="4"/>
      <c r="E251" s="4"/>
      <c r="F251" s="4"/>
      <c r="G251" s="4"/>
      <c r="H251" s="4"/>
      <c r="I251" s="4">
        <v>8</v>
      </c>
      <c r="J251" s="4"/>
      <c r="K251" s="4"/>
      <c r="L251" s="4"/>
      <c r="M251" s="4"/>
      <c r="N251" s="4"/>
      <c r="O251" s="5">
        <f t="shared" si="3"/>
        <v>8</v>
      </c>
    </row>
    <row r="252" spans="1:15" x14ac:dyDescent="0.25">
      <c r="A252" s="4" t="s">
        <v>487</v>
      </c>
      <c r="B252" s="4" t="s">
        <v>565</v>
      </c>
      <c r="C252" s="4"/>
      <c r="D252" s="4">
        <v>1</v>
      </c>
      <c r="E252" s="4">
        <v>1</v>
      </c>
      <c r="F252" s="4">
        <v>1</v>
      </c>
      <c r="G252" s="4"/>
      <c r="H252" s="4">
        <v>1</v>
      </c>
      <c r="I252" s="4"/>
      <c r="J252" s="4"/>
      <c r="K252" s="4">
        <v>1</v>
      </c>
      <c r="L252" s="4"/>
      <c r="M252" s="4">
        <v>3</v>
      </c>
      <c r="N252" s="4"/>
      <c r="O252" s="5">
        <f t="shared" si="3"/>
        <v>8</v>
      </c>
    </row>
    <row r="253" spans="1:15" x14ac:dyDescent="0.25">
      <c r="A253" s="4" t="s">
        <v>485</v>
      </c>
      <c r="B253" s="4" t="s">
        <v>656</v>
      </c>
      <c r="C253" s="4">
        <v>2</v>
      </c>
      <c r="D253" s="4">
        <v>1</v>
      </c>
      <c r="E253" s="4">
        <v>1</v>
      </c>
      <c r="F253" s="4">
        <v>2</v>
      </c>
      <c r="G253" s="4"/>
      <c r="H253" s="4"/>
      <c r="I253" s="4"/>
      <c r="J253" s="4">
        <v>2</v>
      </c>
      <c r="K253" s="4"/>
      <c r="L253" s="4"/>
      <c r="M253" s="4"/>
      <c r="N253" s="4"/>
      <c r="O253" s="5">
        <f t="shared" si="3"/>
        <v>8</v>
      </c>
    </row>
    <row r="254" spans="1:15" x14ac:dyDescent="0.25">
      <c r="A254" s="4" t="s">
        <v>483</v>
      </c>
      <c r="B254" s="4" t="s">
        <v>627</v>
      </c>
      <c r="C254" s="4"/>
      <c r="D254" s="4">
        <v>1</v>
      </c>
      <c r="E254" s="4"/>
      <c r="F254" s="4"/>
      <c r="G254" s="4"/>
      <c r="H254" s="4"/>
      <c r="I254" s="4">
        <v>6</v>
      </c>
      <c r="J254" s="4"/>
      <c r="K254" s="4"/>
      <c r="L254" s="4"/>
      <c r="M254" s="4"/>
      <c r="N254" s="4"/>
      <c r="O254" s="5">
        <f t="shared" si="3"/>
        <v>7</v>
      </c>
    </row>
    <row r="255" spans="1:15" x14ac:dyDescent="0.25">
      <c r="A255" s="4" t="s">
        <v>481</v>
      </c>
      <c r="B255" s="4" t="s">
        <v>612</v>
      </c>
      <c r="C255" s="4">
        <v>6</v>
      </c>
      <c r="D255" s="4"/>
      <c r="E255" s="4">
        <v>1</v>
      </c>
      <c r="F255" s="4"/>
      <c r="G255" s="4"/>
      <c r="H255" s="4"/>
      <c r="I255" s="4"/>
      <c r="J255" s="4"/>
      <c r="K255" s="4"/>
      <c r="L255" s="4"/>
      <c r="M255" s="4"/>
      <c r="N255" s="4"/>
      <c r="O255" s="5">
        <f t="shared" si="3"/>
        <v>7</v>
      </c>
    </row>
    <row r="256" spans="1:15" x14ac:dyDescent="0.25">
      <c r="A256" s="4" t="s">
        <v>479</v>
      </c>
      <c r="B256" s="4" t="s">
        <v>670</v>
      </c>
      <c r="C256" s="4"/>
      <c r="D256" s="4">
        <v>1</v>
      </c>
      <c r="E256" s="4">
        <v>1</v>
      </c>
      <c r="F256" s="4">
        <v>1</v>
      </c>
      <c r="G256" s="4">
        <v>1</v>
      </c>
      <c r="H256" s="4"/>
      <c r="I256" s="4"/>
      <c r="J256" s="4">
        <v>1</v>
      </c>
      <c r="K256" s="4"/>
      <c r="L256" s="4">
        <v>1</v>
      </c>
      <c r="M256" s="4">
        <v>1</v>
      </c>
      <c r="N256" s="4"/>
      <c r="O256" s="5">
        <f t="shared" si="3"/>
        <v>7</v>
      </c>
    </row>
    <row r="257" spans="1:15" x14ac:dyDescent="0.25">
      <c r="A257" s="4" t="s">
        <v>477</v>
      </c>
      <c r="B257" s="4" t="s">
        <v>492</v>
      </c>
      <c r="C257" s="4">
        <v>1</v>
      </c>
      <c r="D257" s="4"/>
      <c r="E257" s="4"/>
      <c r="F257" s="4">
        <v>1</v>
      </c>
      <c r="G257" s="4">
        <v>1</v>
      </c>
      <c r="H257" s="4"/>
      <c r="I257" s="4"/>
      <c r="J257" s="4"/>
      <c r="K257" s="4"/>
      <c r="L257" s="4"/>
      <c r="M257" s="4">
        <v>3</v>
      </c>
      <c r="N257" s="4"/>
      <c r="O257" s="5">
        <f t="shared" si="3"/>
        <v>6</v>
      </c>
    </row>
    <row r="258" spans="1:15" x14ac:dyDescent="0.25">
      <c r="A258" s="4" t="s">
        <v>475</v>
      </c>
      <c r="B258" s="4" t="s">
        <v>356</v>
      </c>
      <c r="C258" s="4"/>
      <c r="D258" s="4"/>
      <c r="E258" s="4"/>
      <c r="F258" s="4"/>
      <c r="G258" s="4"/>
      <c r="H258" s="4"/>
      <c r="I258" s="4"/>
      <c r="J258" s="4"/>
      <c r="K258" s="4"/>
      <c r="L258" s="4">
        <v>4</v>
      </c>
      <c r="M258" s="4"/>
      <c r="N258" s="4">
        <v>2</v>
      </c>
      <c r="O258" s="5">
        <f t="shared" si="3"/>
        <v>6</v>
      </c>
    </row>
    <row r="259" spans="1:15" x14ac:dyDescent="0.25">
      <c r="A259" s="4" t="s">
        <v>555</v>
      </c>
      <c r="B259" s="4" t="s">
        <v>685</v>
      </c>
      <c r="C259" s="4"/>
      <c r="D259" s="4">
        <v>1</v>
      </c>
      <c r="E259" s="4"/>
      <c r="F259" s="4">
        <v>1</v>
      </c>
      <c r="G259" s="4">
        <v>1</v>
      </c>
      <c r="H259" s="4"/>
      <c r="I259" s="4"/>
      <c r="J259" s="4"/>
      <c r="K259" s="4">
        <v>1</v>
      </c>
      <c r="L259" s="4">
        <v>1</v>
      </c>
      <c r="M259" s="4"/>
      <c r="N259" s="4">
        <v>1</v>
      </c>
      <c r="O259" s="5">
        <f t="shared" si="3"/>
        <v>6</v>
      </c>
    </row>
    <row r="260" spans="1:15" x14ac:dyDescent="0.25">
      <c r="A260" s="4" t="s">
        <v>556</v>
      </c>
      <c r="B260" s="4" t="s">
        <v>702</v>
      </c>
      <c r="C260" s="4"/>
      <c r="D260" s="4">
        <v>1</v>
      </c>
      <c r="E260" s="4">
        <v>5</v>
      </c>
      <c r="F260" s="4"/>
      <c r="G260" s="4"/>
      <c r="H260" s="4"/>
      <c r="I260" s="4"/>
      <c r="J260" s="4"/>
      <c r="K260" s="4"/>
      <c r="L260" s="4"/>
      <c r="M260" s="4"/>
      <c r="N260" s="4"/>
      <c r="O260" s="5">
        <f t="shared" ref="O260:O306" si="4">SUM(C260:N260)</f>
        <v>6</v>
      </c>
    </row>
    <row r="261" spans="1:15" x14ac:dyDescent="0.25">
      <c r="A261" s="4" t="s">
        <v>557</v>
      </c>
      <c r="B261" s="4" t="s">
        <v>674</v>
      </c>
      <c r="C261" s="4"/>
      <c r="D261" s="4">
        <v>2</v>
      </c>
      <c r="E261" s="4"/>
      <c r="F261" s="4"/>
      <c r="G261" s="4"/>
      <c r="H261" s="4"/>
      <c r="I261" s="4">
        <v>1</v>
      </c>
      <c r="J261" s="4">
        <v>2</v>
      </c>
      <c r="K261" s="4"/>
      <c r="L261" s="4"/>
      <c r="M261" s="4"/>
      <c r="N261" s="4">
        <v>1</v>
      </c>
      <c r="O261" s="5">
        <f t="shared" si="4"/>
        <v>6</v>
      </c>
    </row>
    <row r="262" spans="1:15" x14ac:dyDescent="0.25">
      <c r="A262" s="4" t="s">
        <v>558</v>
      </c>
      <c r="B262" s="4" t="s">
        <v>703</v>
      </c>
      <c r="C262" s="4">
        <v>5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>
        <f t="shared" si="4"/>
        <v>5</v>
      </c>
    </row>
    <row r="263" spans="1:15" x14ac:dyDescent="0.25">
      <c r="A263" s="4" t="s">
        <v>559</v>
      </c>
      <c r="B263" s="4" t="s">
        <v>704</v>
      </c>
      <c r="C263" s="4">
        <v>1</v>
      </c>
      <c r="D263" s="4"/>
      <c r="E263" s="4"/>
      <c r="F263" s="4">
        <v>1</v>
      </c>
      <c r="G263" s="4"/>
      <c r="H263" s="4">
        <v>2</v>
      </c>
      <c r="I263" s="4"/>
      <c r="J263" s="4"/>
      <c r="K263" s="4"/>
      <c r="L263" s="4"/>
      <c r="M263" s="4"/>
      <c r="N263" s="4"/>
      <c r="O263" s="5">
        <f t="shared" si="4"/>
        <v>4</v>
      </c>
    </row>
    <row r="264" spans="1:15" x14ac:dyDescent="0.25">
      <c r="A264" s="4" t="s">
        <v>561</v>
      </c>
      <c r="B264" s="4" t="s">
        <v>562</v>
      </c>
      <c r="C264" s="4">
        <v>1</v>
      </c>
      <c r="D264" s="4">
        <v>1</v>
      </c>
      <c r="E264" s="4"/>
      <c r="F264" s="4"/>
      <c r="G264" s="4">
        <v>1</v>
      </c>
      <c r="H264" s="4"/>
      <c r="I264" s="4"/>
      <c r="J264" s="4"/>
      <c r="K264" s="4"/>
      <c r="L264" s="4"/>
      <c r="M264" s="4"/>
      <c r="N264" s="4">
        <v>1</v>
      </c>
      <c r="O264" s="5">
        <f t="shared" si="4"/>
        <v>4</v>
      </c>
    </row>
    <row r="265" spans="1:15" x14ac:dyDescent="0.25">
      <c r="A265" s="4" t="s">
        <v>563</v>
      </c>
      <c r="B265" s="4" t="s">
        <v>560</v>
      </c>
      <c r="C265" s="4">
        <v>1</v>
      </c>
      <c r="D265" s="4"/>
      <c r="E265" s="4"/>
      <c r="F265" s="4"/>
      <c r="G265" s="4"/>
      <c r="H265" s="4">
        <v>1</v>
      </c>
      <c r="I265" s="4"/>
      <c r="J265" s="4"/>
      <c r="K265" s="4"/>
      <c r="L265" s="4">
        <v>2</v>
      </c>
      <c r="M265" s="4"/>
      <c r="N265" s="4"/>
      <c r="O265" s="5">
        <f t="shared" si="4"/>
        <v>4</v>
      </c>
    </row>
    <row r="266" spans="1:15" x14ac:dyDescent="0.25">
      <c r="A266" s="4" t="s">
        <v>564</v>
      </c>
      <c r="B266" s="4" t="s">
        <v>526</v>
      </c>
      <c r="C266" s="4"/>
      <c r="D266" s="4"/>
      <c r="E266" s="4"/>
      <c r="F266" s="4">
        <v>1</v>
      </c>
      <c r="G266" s="4"/>
      <c r="H266" s="4"/>
      <c r="I266" s="4"/>
      <c r="J266" s="4">
        <v>1</v>
      </c>
      <c r="K266" s="4"/>
      <c r="L266" s="4"/>
      <c r="M266" s="4">
        <v>1</v>
      </c>
      <c r="N266" s="4"/>
      <c r="O266" s="5">
        <f t="shared" si="4"/>
        <v>3</v>
      </c>
    </row>
    <row r="267" spans="1:15" x14ac:dyDescent="0.25">
      <c r="A267" s="4" t="s">
        <v>566</v>
      </c>
      <c r="B267" s="4" t="s">
        <v>589</v>
      </c>
      <c r="C267" s="4">
        <v>1</v>
      </c>
      <c r="D267" s="4">
        <v>1</v>
      </c>
      <c r="E267" s="4"/>
      <c r="F267" s="4"/>
      <c r="G267" s="4"/>
      <c r="H267" s="4">
        <v>1</v>
      </c>
      <c r="I267" s="4"/>
      <c r="J267" s="4"/>
      <c r="K267" s="4"/>
      <c r="L267" s="4"/>
      <c r="M267" s="4"/>
      <c r="N267" s="4"/>
      <c r="O267" s="5">
        <f t="shared" si="4"/>
        <v>3</v>
      </c>
    </row>
    <row r="268" spans="1:15" x14ac:dyDescent="0.25">
      <c r="A268" s="4" t="s">
        <v>567</v>
      </c>
      <c r="B268" s="4" t="s">
        <v>675</v>
      </c>
      <c r="C268" s="4">
        <v>1</v>
      </c>
      <c r="D268" s="4"/>
      <c r="E268" s="4">
        <v>2</v>
      </c>
      <c r="F268" s="4"/>
      <c r="G268" s="4"/>
      <c r="H268" s="4"/>
      <c r="I268" s="4"/>
      <c r="J268" s="4"/>
      <c r="K268" s="4"/>
      <c r="L268" s="4"/>
      <c r="M268" s="4"/>
      <c r="N268" s="4"/>
      <c r="O268" s="5">
        <f t="shared" si="4"/>
        <v>3</v>
      </c>
    </row>
    <row r="269" spans="1:15" x14ac:dyDescent="0.25">
      <c r="A269" s="4" t="s">
        <v>569</v>
      </c>
      <c r="B269" s="4" t="s">
        <v>402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>
        <v>3</v>
      </c>
      <c r="N269" s="4"/>
      <c r="O269" s="5">
        <f t="shared" si="4"/>
        <v>3</v>
      </c>
    </row>
    <row r="270" spans="1:15" x14ac:dyDescent="0.25">
      <c r="A270" s="4" t="s">
        <v>571</v>
      </c>
      <c r="B270" s="4" t="s">
        <v>671</v>
      </c>
      <c r="C270" s="4"/>
      <c r="D270" s="4"/>
      <c r="E270" s="4"/>
      <c r="F270" s="4"/>
      <c r="G270" s="4"/>
      <c r="H270" s="4"/>
      <c r="I270" s="4"/>
      <c r="J270" s="4"/>
      <c r="K270" s="4"/>
      <c r="L270" s="4">
        <v>2</v>
      </c>
      <c r="M270" s="4"/>
      <c r="N270" s="4">
        <v>1</v>
      </c>
      <c r="O270" s="5">
        <f t="shared" si="4"/>
        <v>3</v>
      </c>
    </row>
    <row r="271" spans="1:15" x14ac:dyDescent="0.25">
      <c r="A271" s="4" t="s">
        <v>572</v>
      </c>
      <c r="B271" s="4" t="s">
        <v>661</v>
      </c>
      <c r="C271" s="4"/>
      <c r="D271" s="4"/>
      <c r="E271" s="4"/>
      <c r="F271" s="4"/>
      <c r="G271" s="4"/>
      <c r="H271" s="4"/>
      <c r="I271" s="4"/>
      <c r="J271" s="4">
        <v>1</v>
      </c>
      <c r="K271" s="4">
        <v>1</v>
      </c>
      <c r="L271" s="4">
        <v>1</v>
      </c>
      <c r="M271" s="4"/>
      <c r="N271" s="4"/>
      <c r="O271" s="5">
        <f t="shared" si="4"/>
        <v>3</v>
      </c>
    </row>
    <row r="272" spans="1:15" x14ac:dyDescent="0.25">
      <c r="A272" s="4" t="s">
        <v>617</v>
      </c>
      <c r="B272" s="4" t="s">
        <v>543</v>
      </c>
      <c r="C272" s="4">
        <v>1</v>
      </c>
      <c r="D272" s="4"/>
      <c r="E272" s="4">
        <v>1</v>
      </c>
      <c r="F272" s="4">
        <v>1</v>
      </c>
      <c r="G272" s="4"/>
      <c r="H272" s="4"/>
      <c r="I272" s="4"/>
      <c r="J272" s="4"/>
      <c r="K272" s="4"/>
      <c r="L272" s="4"/>
      <c r="M272" s="4"/>
      <c r="N272" s="4"/>
      <c r="O272" s="5">
        <f t="shared" si="4"/>
        <v>3</v>
      </c>
    </row>
    <row r="273" spans="1:15" x14ac:dyDescent="0.25">
      <c r="A273" s="4" t="s">
        <v>618</v>
      </c>
      <c r="B273" s="4" t="s">
        <v>705</v>
      </c>
      <c r="C273" s="4"/>
      <c r="D273" s="4"/>
      <c r="E273" s="4"/>
      <c r="F273" s="4">
        <v>1</v>
      </c>
      <c r="G273" s="4"/>
      <c r="H273" s="4"/>
      <c r="I273" s="4"/>
      <c r="J273" s="4"/>
      <c r="K273" s="4"/>
      <c r="L273" s="4"/>
      <c r="M273" s="4">
        <v>1</v>
      </c>
      <c r="N273" s="4"/>
      <c r="O273" s="5">
        <f t="shared" si="4"/>
        <v>2</v>
      </c>
    </row>
    <row r="274" spans="1:15" x14ac:dyDescent="0.25">
      <c r="A274" s="4" t="s">
        <v>619</v>
      </c>
      <c r="B274" s="4" t="s">
        <v>659</v>
      </c>
      <c r="C274" s="4"/>
      <c r="D274" s="4"/>
      <c r="E274" s="4"/>
      <c r="F274" s="4"/>
      <c r="G274" s="4">
        <v>1</v>
      </c>
      <c r="H274" s="4">
        <v>1</v>
      </c>
      <c r="I274" s="4"/>
      <c r="J274" s="4"/>
      <c r="K274" s="4"/>
      <c r="L274" s="4"/>
      <c r="M274" s="4"/>
      <c r="N274" s="4"/>
      <c r="O274" s="5">
        <f t="shared" si="4"/>
        <v>2</v>
      </c>
    </row>
    <row r="275" spans="1:15" x14ac:dyDescent="0.25">
      <c r="A275" s="4" t="s">
        <v>620</v>
      </c>
      <c r="B275" s="4" t="s">
        <v>706</v>
      </c>
      <c r="C275" s="4"/>
      <c r="D275" s="4"/>
      <c r="E275" s="4"/>
      <c r="F275" s="4"/>
      <c r="G275" s="4"/>
      <c r="H275" s="4"/>
      <c r="I275" s="4"/>
      <c r="J275" s="4"/>
      <c r="K275" s="4">
        <v>2</v>
      </c>
      <c r="L275" s="4"/>
      <c r="M275" s="4"/>
      <c r="N275" s="4"/>
      <c r="O275" s="5">
        <f t="shared" si="4"/>
        <v>2</v>
      </c>
    </row>
    <row r="276" spans="1:15" x14ac:dyDescent="0.25">
      <c r="A276" s="4" t="s">
        <v>621</v>
      </c>
      <c r="B276" s="4" t="s">
        <v>690</v>
      </c>
      <c r="C276" s="4"/>
      <c r="D276" s="4"/>
      <c r="E276" s="4">
        <v>1</v>
      </c>
      <c r="F276" s="4"/>
      <c r="G276" s="4"/>
      <c r="H276" s="4"/>
      <c r="I276" s="4">
        <v>1</v>
      </c>
      <c r="J276" s="4"/>
      <c r="K276" s="4"/>
      <c r="L276" s="4"/>
      <c r="M276" s="4"/>
      <c r="N276" s="4"/>
      <c r="O276" s="5">
        <f t="shared" si="4"/>
        <v>2</v>
      </c>
    </row>
    <row r="277" spans="1:15" x14ac:dyDescent="0.25">
      <c r="A277" s="4" t="s">
        <v>623</v>
      </c>
      <c r="B277" s="4" t="s">
        <v>598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>
        <v>2</v>
      </c>
      <c r="O277" s="5">
        <f t="shared" si="4"/>
        <v>2</v>
      </c>
    </row>
    <row r="278" spans="1:15" x14ac:dyDescent="0.25">
      <c r="A278" s="4" t="s">
        <v>624</v>
      </c>
      <c r="B278" s="4" t="s">
        <v>508</v>
      </c>
      <c r="C278" s="4"/>
      <c r="D278" s="4"/>
      <c r="E278" s="4"/>
      <c r="F278" s="4">
        <v>1</v>
      </c>
      <c r="G278" s="4">
        <v>1</v>
      </c>
      <c r="H278" s="4"/>
      <c r="I278" s="4"/>
      <c r="J278" s="4"/>
      <c r="K278" s="4"/>
      <c r="L278" s="4"/>
      <c r="M278" s="4"/>
      <c r="N278" s="4"/>
      <c r="O278" s="5">
        <f t="shared" si="4"/>
        <v>2</v>
      </c>
    </row>
    <row r="279" spans="1:15" x14ac:dyDescent="0.25">
      <c r="A279" s="4" t="s">
        <v>626</v>
      </c>
      <c r="B279" s="4" t="s">
        <v>707</v>
      </c>
      <c r="C279" s="4">
        <v>2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>
        <f t="shared" si="4"/>
        <v>2</v>
      </c>
    </row>
    <row r="280" spans="1:15" x14ac:dyDescent="0.25">
      <c r="A280" s="4" t="s">
        <v>628</v>
      </c>
      <c r="B280" s="4" t="s">
        <v>708</v>
      </c>
      <c r="C280" s="4">
        <v>1</v>
      </c>
      <c r="D280" s="4"/>
      <c r="E280" s="4"/>
      <c r="F280" s="4"/>
      <c r="G280" s="4"/>
      <c r="H280" s="4">
        <v>1</v>
      </c>
      <c r="I280" s="4"/>
      <c r="J280" s="4"/>
      <c r="K280" s="4"/>
      <c r="L280" s="4"/>
      <c r="M280" s="4"/>
      <c r="N280" s="4"/>
      <c r="O280" s="5">
        <f t="shared" si="4"/>
        <v>2</v>
      </c>
    </row>
    <row r="281" spans="1:15" x14ac:dyDescent="0.25">
      <c r="A281" s="4" t="s">
        <v>630</v>
      </c>
      <c r="B281" s="4" t="s">
        <v>614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>
        <v>1</v>
      </c>
      <c r="N281" s="4">
        <v>1</v>
      </c>
      <c r="O281" s="5">
        <f t="shared" si="4"/>
        <v>2</v>
      </c>
    </row>
    <row r="282" spans="1:15" x14ac:dyDescent="0.25">
      <c r="A282" s="4" t="s">
        <v>631</v>
      </c>
      <c r="B282" s="4" t="s">
        <v>709</v>
      </c>
      <c r="C282" s="4"/>
      <c r="D282" s="4">
        <v>1</v>
      </c>
      <c r="E282" s="4">
        <v>1</v>
      </c>
      <c r="F282" s="4"/>
      <c r="G282" s="4"/>
      <c r="H282" s="4"/>
      <c r="I282" s="4"/>
      <c r="J282" s="4"/>
      <c r="K282" s="4"/>
      <c r="L282" s="4"/>
      <c r="M282" s="4"/>
      <c r="N282" s="4"/>
      <c r="O282" s="5">
        <f t="shared" si="4"/>
        <v>2</v>
      </c>
    </row>
    <row r="283" spans="1:15" x14ac:dyDescent="0.25">
      <c r="A283" s="4" t="s">
        <v>633</v>
      </c>
      <c r="B283" s="4" t="s">
        <v>687</v>
      </c>
      <c r="C283" s="4"/>
      <c r="D283" s="4">
        <v>1</v>
      </c>
      <c r="E283" s="4"/>
      <c r="F283" s="4"/>
      <c r="G283" s="4"/>
      <c r="H283" s="4"/>
      <c r="I283" s="4">
        <v>1</v>
      </c>
      <c r="J283" s="4"/>
      <c r="K283" s="4"/>
      <c r="L283" s="4"/>
      <c r="M283" s="4"/>
      <c r="N283" s="4"/>
      <c r="O283" s="5">
        <f t="shared" si="4"/>
        <v>2</v>
      </c>
    </row>
    <row r="284" spans="1:15" x14ac:dyDescent="0.25">
      <c r="A284" s="4" t="s">
        <v>635</v>
      </c>
      <c r="B284" s="4" t="s">
        <v>521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>
        <v>2</v>
      </c>
      <c r="O284" s="5">
        <f t="shared" si="4"/>
        <v>2</v>
      </c>
    </row>
    <row r="285" spans="1:15" x14ac:dyDescent="0.25">
      <c r="A285" s="4" t="s">
        <v>637</v>
      </c>
      <c r="B285" s="4" t="s">
        <v>486</v>
      </c>
      <c r="C285" s="4"/>
      <c r="D285" s="4"/>
      <c r="E285" s="4">
        <v>1</v>
      </c>
      <c r="F285" s="4"/>
      <c r="G285" s="4"/>
      <c r="H285" s="4"/>
      <c r="I285" s="4"/>
      <c r="J285" s="4"/>
      <c r="K285" s="4"/>
      <c r="L285" s="4"/>
      <c r="M285" s="4"/>
      <c r="N285" s="4"/>
      <c r="O285" s="5">
        <f t="shared" si="4"/>
        <v>1</v>
      </c>
    </row>
    <row r="286" spans="1:15" x14ac:dyDescent="0.25">
      <c r="A286" s="4" t="s">
        <v>638</v>
      </c>
      <c r="B286" s="4" t="s">
        <v>710</v>
      </c>
      <c r="C286" s="4"/>
      <c r="D286" s="4"/>
      <c r="E286" s="4"/>
      <c r="F286" s="4"/>
      <c r="G286" s="4">
        <v>1</v>
      </c>
      <c r="H286" s="4"/>
      <c r="I286" s="4"/>
      <c r="J286" s="4"/>
      <c r="K286" s="4"/>
      <c r="L286" s="4"/>
      <c r="M286" s="4"/>
      <c r="N286" s="4"/>
      <c r="O286" s="5">
        <f t="shared" si="4"/>
        <v>1</v>
      </c>
    </row>
    <row r="287" spans="1:15" x14ac:dyDescent="0.25">
      <c r="A287" s="4" t="s">
        <v>639</v>
      </c>
      <c r="B287" s="4" t="s">
        <v>711</v>
      </c>
      <c r="C287" s="4"/>
      <c r="D287" s="4"/>
      <c r="E287" s="4"/>
      <c r="F287" s="4"/>
      <c r="G287" s="4"/>
      <c r="H287" s="4"/>
      <c r="I287" s="4"/>
      <c r="J287" s="4"/>
      <c r="K287" s="4"/>
      <c r="L287" s="4">
        <v>1</v>
      </c>
      <c r="M287" s="4"/>
      <c r="N287" s="4"/>
      <c r="O287" s="5">
        <f t="shared" si="4"/>
        <v>1</v>
      </c>
    </row>
    <row r="288" spans="1:15" x14ac:dyDescent="0.25">
      <c r="A288" s="4" t="s">
        <v>641</v>
      </c>
      <c r="B288" s="4" t="s">
        <v>597</v>
      </c>
      <c r="C288" s="4"/>
      <c r="D288" s="4"/>
      <c r="E288" s="4">
        <v>1</v>
      </c>
      <c r="F288" s="4"/>
      <c r="G288" s="4"/>
      <c r="H288" s="4"/>
      <c r="I288" s="4"/>
      <c r="J288" s="4"/>
      <c r="K288" s="4"/>
      <c r="L288" s="4"/>
      <c r="M288" s="4"/>
      <c r="N288" s="4"/>
      <c r="O288" s="5">
        <f t="shared" si="4"/>
        <v>1</v>
      </c>
    </row>
    <row r="289" spans="1:15" x14ac:dyDescent="0.25">
      <c r="A289" s="4" t="s">
        <v>642</v>
      </c>
      <c r="B289" s="4" t="s">
        <v>712</v>
      </c>
      <c r="C289" s="4"/>
      <c r="D289" s="4"/>
      <c r="E289" s="4"/>
      <c r="F289" s="4"/>
      <c r="G289" s="4"/>
      <c r="H289" s="4"/>
      <c r="I289" s="4"/>
      <c r="J289" s="4"/>
      <c r="K289" s="4"/>
      <c r="L289" s="4">
        <v>1</v>
      </c>
      <c r="M289" s="4"/>
      <c r="N289" s="4"/>
      <c r="O289" s="5">
        <f t="shared" si="4"/>
        <v>1</v>
      </c>
    </row>
    <row r="290" spans="1:15" x14ac:dyDescent="0.25">
      <c r="A290" s="4" t="s">
        <v>644</v>
      </c>
      <c r="B290" s="4" t="s">
        <v>713</v>
      </c>
      <c r="C290" s="4"/>
      <c r="D290" s="4">
        <v>1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>
        <f t="shared" si="4"/>
        <v>1</v>
      </c>
    </row>
    <row r="291" spans="1:15" x14ac:dyDescent="0.25">
      <c r="A291" s="4" t="s">
        <v>646</v>
      </c>
      <c r="B291" s="4" t="s">
        <v>714</v>
      </c>
      <c r="C291" s="4">
        <v>1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>
        <f t="shared" si="4"/>
        <v>1</v>
      </c>
    </row>
    <row r="292" spans="1:15" x14ac:dyDescent="0.25">
      <c r="A292" s="4" t="s">
        <v>648</v>
      </c>
      <c r="B292" s="4" t="s">
        <v>715</v>
      </c>
      <c r="C292" s="4"/>
      <c r="D292" s="4"/>
      <c r="E292" s="4"/>
      <c r="F292" s="4">
        <v>1</v>
      </c>
      <c r="G292" s="4"/>
      <c r="H292" s="4"/>
      <c r="I292" s="4"/>
      <c r="J292" s="4"/>
      <c r="K292" s="4"/>
      <c r="L292" s="4"/>
      <c r="M292" s="4"/>
      <c r="N292" s="4"/>
      <c r="O292" s="5">
        <f t="shared" si="4"/>
        <v>1</v>
      </c>
    </row>
    <row r="293" spans="1:15" x14ac:dyDescent="0.25">
      <c r="A293" s="4" t="s">
        <v>650</v>
      </c>
      <c r="B293" s="4" t="s">
        <v>682</v>
      </c>
      <c r="C293" s="4"/>
      <c r="D293" s="4"/>
      <c r="E293" s="4"/>
      <c r="F293" s="4"/>
      <c r="G293" s="4">
        <v>1</v>
      </c>
      <c r="H293" s="4"/>
      <c r="I293" s="4"/>
      <c r="J293" s="4"/>
      <c r="K293" s="4"/>
      <c r="L293" s="4"/>
      <c r="M293" s="4"/>
      <c r="N293" s="4"/>
      <c r="O293" s="5">
        <f t="shared" si="4"/>
        <v>1</v>
      </c>
    </row>
    <row r="294" spans="1:15" x14ac:dyDescent="0.25">
      <c r="A294" s="4" t="s">
        <v>651</v>
      </c>
      <c r="B294" s="4" t="s">
        <v>615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>
        <v>1</v>
      </c>
      <c r="N294" s="4"/>
      <c r="O294" s="5">
        <f t="shared" si="4"/>
        <v>1</v>
      </c>
    </row>
    <row r="295" spans="1:15" x14ac:dyDescent="0.25">
      <c r="A295" s="4" t="s">
        <v>653</v>
      </c>
      <c r="B295" s="4" t="s">
        <v>716</v>
      </c>
      <c r="C295" s="4"/>
      <c r="D295" s="4"/>
      <c r="E295" s="4">
        <v>1</v>
      </c>
      <c r="F295" s="4"/>
      <c r="G295" s="4"/>
      <c r="H295" s="4"/>
      <c r="I295" s="4"/>
      <c r="J295" s="4"/>
      <c r="K295" s="4"/>
      <c r="L295" s="4"/>
      <c r="M295" s="4"/>
      <c r="N295" s="4"/>
      <c r="O295" s="5">
        <f t="shared" si="4"/>
        <v>1</v>
      </c>
    </row>
    <row r="296" spans="1:15" x14ac:dyDescent="0.25">
      <c r="A296" s="4" t="s">
        <v>655</v>
      </c>
      <c r="B296" s="4" t="s">
        <v>717</v>
      </c>
      <c r="C296" s="4"/>
      <c r="D296" s="4"/>
      <c r="E296" s="4"/>
      <c r="F296" s="4"/>
      <c r="G296" s="4"/>
      <c r="H296" s="4"/>
      <c r="I296" s="4"/>
      <c r="J296" s="4"/>
      <c r="K296" s="4"/>
      <c r="L296" s="4">
        <v>1</v>
      </c>
      <c r="M296" s="4"/>
      <c r="N296" s="4"/>
      <c r="O296" s="5">
        <f t="shared" si="4"/>
        <v>1</v>
      </c>
    </row>
    <row r="297" spans="1:15" x14ac:dyDescent="0.25">
      <c r="A297" s="4" t="s">
        <v>657</v>
      </c>
      <c r="B297" s="4" t="s">
        <v>643</v>
      </c>
      <c r="C297" s="4"/>
      <c r="D297" s="4"/>
      <c r="E297" s="4"/>
      <c r="F297" s="4">
        <v>1</v>
      </c>
      <c r="G297" s="4"/>
      <c r="H297" s="4"/>
      <c r="I297" s="4"/>
      <c r="J297" s="4"/>
      <c r="K297" s="4"/>
      <c r="L297" s="4"/>
      <c r="M297" s="4"/>
      <c r="N297" s="4"/>
      <c r="O297" s="5">
        <f t="shared" si="4"/>
        <v>1</v>
      </c>
    </row>
    <row r="298" spans="1:15" x14ac:dyDescent="0.25">
      <c r="A298" s="4" t="s">
        <v>658</v>
      </c>
      <c r="B298" s="4" t="s">
        <v>689</v>
      </c>
      <c r="C298" s="4"/>
      <c r="D298" s="4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>
        <f t="shared" si="4"/>
        <v>1</v>
      </c>
    </row>
    <row r="299" spans="1:15" x14ac:dyDescent="0.25">
      <c r="A299" s="4" t="s">
        <v>660</v>
      </c>
      <c r="B299" s="4" t="s">
        <v>718</v>
      </c>
      <c r="C299" s="4"/>
      <c r="D299" s="4"/>
      <c r="E299" s="4"/>
      <c r="F299" s="4">
        <v>1</v>
      </c>
      <c r="G299" s="4"/>
      <c r="H299" s="4"/>
      <c r="I299" s="4"/>
      <c r="J299" s="4"/>
      <c r="K299" s="4"/>
      <c r="L299" s="4"/>
      <c r="M299" s="4"/>
      <c r="N299" s="4"/>
      <c r="O299" s="5">
        <f t="shared" si="4"/>
        <v>1</v>
      </c>
    </row>
    <row r="300" spans="1:15" x14ac:dyDescent="0.25">
      <c r="A300" s="4" t="s">
        <v>693</v>
      </c>
      <c r="B300" s="4" t="s">
        <v>719</v>
      </c>
      <c r="C300" s="4"/>
      <c r="D300" s="4"/>
      <c r="E300" s="4">
        <v>1</v>
      </c>
      <c r="F300" s="4"/>
      <c r="G300" s="4"/>
      <c r="H300" s="4"/>
      <c r="I300" s="4"/>
      <c r="J300" s="4"/>
      <c r="K300" s="4"/>
      <c r="L300" s="4"/>
      <c r="M300" s="4"/>
      <c r="N300" s="4"/>
      <c r="O300" s="5">
        <f t="shared" si="4"/>
        <v>1</v>
      </c>
    </row>
    <row r="301" spans="1:15" x14ac:dyDescent="0.25">
      <c r="A301" s="4" t="s">
        <v>720</v>
      </c>
      <c r="B301" s="4" t="s">
        <v>721</v>
      </c>
      <c r="C301" s="4"/>
      <c r="D301" s="4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>
        <f t="shared" si="4"/>
        <v>1</v>
      </c>
    </row>
    <row r="302" spans="1:15" x14ac:dyDescent="0.25">
      <c r="A302" s="4" t="s">
        <v>722</v>
      </c>
      <c r="B302" s="4" t="s">
        <v>625</v>
      </c>
      <c r="C302" s="4"/>
      <c r="D302" s="4"/>
      <c r="E302" s="4"/>
      <c r="F302" s="4">
        <v>1</v>
      </c>
      <c r="G302" s="4"/>
      <c r="H302" s="4"/>
      <c r="I302" s="4"/>
      <c r="J302" s="4"/>
      <c r="K302" s="4"/>
      <c r="L302" s="4"/>
      <c r="M302" s="4"/>
      <c r="N302" s="4"/>
      <c r="O302" s="5">
        <f t="shared" si="4"/>
        <v>1</v>
      </c>
    </row>
    <row r="303" spans="1:15" x14ac:dyDescent="0.25">
      <c r="A303" s="4" t="s">
        <v>723</v>
      </c>
      <c r="B303" s="4" t="s">
        <v>724</v>
      </c>
      <c r="C303" s="4"/>
      <c r="D303" s="4"/>
      <c r="E303" s="4"/>
      <c r="F303" s="4"/>
      <c r="G303" s="4">
        <v>1</v>
      </c>
      <c r="H303" s="4"/>
      <c r="I303" s="4"/>
      <c r="J303" s="4"/>
      <c r="K303" s="4"/>
      <c r="L303" s="4"/>
      <c r="M303" s="4"/>
      <c r="N303" s="4"/>
      <c r="O303" s="5">
        <f t="shared" si="4"/>
        <v>1</v>
      </c>
    </row>
    <row r="304" spans="1:15" x14ac:dyDescent="0.25">
      <c r="A304" s="4" t="s">
        <v>725</v>
      </c>
      <c r="B304" s="4" t="s">
        <v>679</v>
      </c>
      <c r="C304" s="4"/>
      <c r="D304" s="4"/>
      <c r="E304" s="4"/>
      <c r="F304" s="4">
        <v>1</v>
      </c>
      <c r="G304" s="4"/>
      <c r="H304" s="4"/>
      <c r="I304" s="4"/>
      <c r="J304" s="4"/>
      <c r="K304" s="4"/>
      <c r="L304" s="4"/>
      <c r="M304" s="4"/>
      <c r="N304" s="4"/>
      <c r="O304" s="5">
        <f t="shared" si="4"/>
        <v>1</v>
      </c>
    </row>
    <row r="305" spans="1:15" x14ac:dyDescent="0.25">
      <c r="A305" s="4" t="s">
        <v>726</v>
      </c>
      <c r="B305" s="4" t="s">
        <v>681</v>
      </c>
      <c r="C305" s="4"/>
      <c r="D305" s="4"/>
      <c r="E305" s="4"/>
      <c r="F305" s="4"/>
      <c r="G305" s="4">
        <v>1</v>
      </c>
      <c r="H305" s="4"/>
      <c r="I305" s="4"/>
      <c r="J305" s="4"/>
      <c r="K305" s="4"/>
      <c r="L305" s="4"/>
      <c r="M305" s="4"/>
      <c r="N305" s="4"/>
      <c r="O305" s="5">
        <f t="shared" si="4"/>
        <v>1</v>
      </c>
    </row>
    <row r="306" spans="1:15" x14ac:dyDescent="0.25">
      <c r="A306" s="4" t="s">
        <v>727</v>
      </c>
      <c r="B306" s="4" t="s">
        <v>728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>
        <v>1</v>
      </c>
      <c r="N306" s="4"/>
      <c r="O306" s="5">
        <f t="shared" si="4"/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4D4A-79DA-412C-8FC5-7548E2536106}">
  <dimension ref="A1:O300"/>
  <sheetViews>
    <sheetView workbookViewId="0">
      <selection sqref="A1:XFD1"/>
    </sheetView>
  </sheetViews>
  <sheetFormatPr defaultRowHeight="15" x14ac:dyDescent="0.25"/>
  <cols>
    <col min="1" max="1" width="10" bestFit="1" customWidth="1"/>
    <col min="2" max="2" width="29.85546875" bestFit="1" customWidth="1"/>
    <col min="5" max="5" width="9.42578125" customWidth="1"/>
    <col min="7" max="7" width="9.28515625" customWidth="1"/>
    <col min="13" max="13" width="9.28515625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3</v>
      </c>
      <c r="C2" s="5">
        <v>17463</v>
      </c>
      <c r="D2" s="5">
        <v>17652</v>
      </c>
      <c r="E2" s="5">
        <v>12007</v>
      </c>
      <c r="F2" s="5">
        <v>3619</v>
      </c>
      <c r="G2" s="5">
        <v>3296</v>
      </c>
      <c r="H2" s="5">
        <v>6234</v>
      </c>
      <c r="I2" s="5">
        <v>9716</v>
      </c>
      <c r="J2" s="5">
        <v>10609</v>
      </c>
      <c r="K2" s="5">
        <v>11710</v>
      </c>
      <c r="L2" s="5">
        <v>12203</v>
      </c>
      <c r="M2" s="5">
        <v>14292</v>
      </c>
      <c r="N2" s="5">
        <v>16566</v>
      </c>
      <c r="O2" s="5">
        <f>SUM(C2:N2)</f>
        <v>135367</v>
      </c>
    </row>
    <row r="3" spans="1:15" x14ac:dyDescent="0.25">
      <c r="A3" s="4" t="s">
        <v>2</v>
      </c>
      <c r="B3" s="4" t="s">
        <v>7</v>
      </c>
      <c r="C3" s="5">
        <v>6555</v>
      </c>
      <c r="D3" s="5">
        <v>8420</v>
      </c>
      <c r="E3" s="5">
        <v>7042</v>
      </c>
      <c r="F3" s="5">
        <v>2837</v>
      </c>
      <c r="G3" s="5">
        <v>2218</v>
      </c>
      <c r="H3" s="5">
        <v>5792</v>
      </c>
      <c r="I3" s="5">
        <v>7852</v>
      </c>
      <c r="J3" s="5">
        <v>8489</v>
      </c>
      <c r="K3" s="5">
        <v>8565</v>
      </c>
      <c r="L3" s="5">
        <v>8903</v>
      </c>
      <c r="M3" s="5">
        <v>9465</v>
      </c>
      <c r="N3" s="5">
        <v>10433</v>
      </c>
      <c r="O3" s="5">
        <f t="shared" ref="O3:O66" si="0">SUM(C3:N3)</f>
        <v>86571</v>
      </c>
    </row>
    <row r="4" spans="1:15" x14ac:dyDescent="0.25">
      <c r="A4" s="4" t="s">
        <v>4</v>
      </c>
      <c r="B4" s="4" t="s">
        <v>9</v>
      </c>
      <c r="C4" s="5">
        <v>8722</v>
      </c>
      <c r="D4" s="5">
        <v>9123</v>
      </c>
      <c r="E4" s="5">
        <v>6670</v>
      </c>
      <c r="F4" s="5">
        <v>2223</v>
      </c>
      <c r="G4" s="5">
        <v>1681</v>
      </c>
      <c r="H4" s="5">
        <v>3040</v>
      </c>
      <c r="I4" s="5">
        <v>5205</v>
      </c>
      <c r="J4" s="5">
        <v>5974</v>
      </c>
      <c r="K4" s="5">
        <v>7093</v>
      </c>
      <c r="L4" s="5">
        <v>8619</v>
      </c>
      <c r="M4" s="5">
        <v>12134</v>
      </c>
      <c r="N4" s="5">
        <v>12919</v>
      </c>
      <c r="O4" s="5">
        <f t="shared" si="0"/>
        <v>83403</v>
      </c>
    </row>
    <row r="5" spans="1:15" x14ac:dyDescent="0.25">
      <c r="A5" s="4" t="s">
        <v>6</v>
      </c>
      <c r="B5" s="4" t="s">
        <v>1</v>
      </c>
      <c r="C5" s="5">
        <v>5419</v>
      </c>
      <c r="D5" s="5">
        <v>5190</v>
      </c>
      <c r="E5" s="5">
        <v>4799</v>
      </c>
      <c r="F5" s="5">
        <v>1630</v>
      </c>
      <c r="G5" s="5">
        <v>1983</v>
      </c>
      <c r="H5" s="5">
        <v>3830</v>
      </c>
      <c r="I5" s="5">
        <v>6564</v>
      </c>
      <c r="J5" s="5">
        <v>8690</v>
      </c>
      <c r="K5" s="5">
        <v>11873</v>
      </c>
      <c r="L5" s="5">
        <v>10068</v>
      </c>
      <c r="M5" s="5">
        <v>9614</v>
      </c>
      <c r="N5" s="5">
        <v>10390</v>
      </c>
      <c r="O5" s="5">
        <f t="shared" si="0"/>
        <v>80050</v>
      </c>
    </row>
    <row r="6" spans="1:15" x14ac:dyDescent="0.25">
      <c r="A6" s="4" t="s">
        <v>8</v>
      </c>
      <c r="B6" s="4" t="s">
        <v>92</v>
      </c>
      <c r="C6" s="5">
        <v>6030</v>
      </c>
      <c r="D6" s="5">
        <v>5944</v>
      </c>
      <c r="E6" s="5">
        <v>5681</v>
      </c>
      <c r="F6" s="5">
        <v>1648</v>
      </c>
      <c r="G6" s="5">
        <v>1616</v>
      </c>
      <c r="H6" s="5">
        <v>3908</v>
      </c>
      <c r="I6" s="5">
        <v>4427</v>
      </c>
      <c r="J6" s="5">
        <v>7912</v>
      </c>
      <c r="K6" s="5">
        <v>9134</v>
      </c>
      <c r="L6" s="5">
        <v>8473</v>
      </c>
      <c r="M6" s="5">
        <v>8400</v>
      </c>
      <c r="N6" s="5">
        <v>7980</v>
      </c>
      <c r="O6" s="5">
        <f t="shared" si="0"/>
        <v>71153</v>
      </c>
    </row>
    <row r="7" spans="1:15" x14ac:dyDescent="0.25">
      <c r="A7" s="4" t="s">
        <v>10</v>
      </c>
      <c r="B7" s="4" t="s">
        <v>404</v>
      </c>
      <c r="C7" s="5">
        <v>7334</v>
      </c>
      <c r="D7" s="5">
        <v>8183</v>
      </c>
      <c r="E7" s="5">
        <v>7103</v>
      </c>
      <c r="F7" s="5">
        <v>1842</v>
      </c>
      <c r="G7" s="5">
        <v>1719</v>
      </c>
      <c r="H7" s="5">
        <v>3404</v>
      </c>
      <c r="I7" s="5">
        <v>4259</v>
      </c>
      <c r="J7" s="5">
        <v>4617</v>
      </c>
      <c r="K7" s="5">
        <v>5956</v>
      </c>
      <c r="L7" s="5">
        <v>7492</v>
      </c>
      <c r="M7" s="5">
        <v>7526</v>
      </c>
      <c r="N7" s="5">
        <v>8066</v>
      </c>
      <c r="O7" s="5">
        <f t="shared" si="0"/>
        <v>67501</v>
      </c>
    </row>
    <row r="8" spans="1:15" x14ac:dyDescent="0.25">
      <c r="A8" s="4" t="s">
        <v>14</v>
      </c>
      <c r="B8" s="4" t="s">
        <v>17</v>
      </c>
      <c r="C8" s="5">
        <v>4794</v>
      </c>
      <c r="D8" s="5">
        <v>5917</v>
      </c>
      <c r="E8" s="5">
        <v>6071</v>
      </c>
      <c r="F8" s="5">
        <v>1176</v>
      </c>
      <c r="G8" s="5">
        <v>1768</v>
      </c>
      <c r="H8" s="5">
        <v>3003</v>
      </c>
      <c r="I8" s="5">
        <v>4756</v>
      </c>
      <c r="J8" s="5">
        <v>6040</v>
      </c>
      <c r="K8" s="5">
        <v>7985</v>
      </c>
      <c r="L8" s="5">
        <v>7566</v>
      </c>
      <c r="M8" s="5">
        <v>8455</v>
      </c>
      <c r="N8" s="5">
        <v>8412</v>
      </c>
      <c r="O8" s="5">
        <f t="shared" si="0"/>
        <v>65943</v>
      </c>
    </row>
    <row r="9" spans="1:15" x14ac:dyDescent="0.25">
      <c r="A9" s="4" t="s">
        <v>16</v>
      </c>
      <c r="B9" s="4" t="s">
        <v>11</v>
      </c>
      <c r="C9" s="5">
        <v>3339</v>
      </c>
      <c r="D9" s="5">
        <v>5373</v>
      </c>
      <c r="E9" s="5">
        <v>4417</v>
      </c>
      <c r="F9" s="4">
        <v>998</v>
      </c>
      <c r="G9" s="5">
        <v>1007</v>
      </c>
      <c r="H9" s="5">
        <v>5463</v>
      </c>
      <c r="I9" s="5">
        <v>10211</v>
      </c>
      <c r="J9" s="5">
        <v>6455</v>
      </c>
      <c r="K9" s="5">
        <v>4729</v>
      </c>
      <c r="L9" s="5">
        <v>5137</v>
      </c>
      <c r="M9" s="5">
        <v>5562</v>
      </c>
      <c r="N9" s="5">
        <v>7433</v>
      </c>
      <c r="O9" s="5">
        <f t="shared" si="0"/>
        <v>60124</v>
      </c>
    </row>
    <row r="10" spans="1:15" x14ac:dyDescent="0.25">
      <c r="A10" s="4" t="s">
        <v>18</v>
      </c>
      <c r="B10" s="4" t="s">
        <v>30</v>
      </c>
      <c r="C10" s="5">
        <v>4325</v>
      </c>
      <c r="D10" s="5">
        <v>5354</v>
      </c>
      <c r="E10" s="5">
        <v>4492</v>
      </c>
      <c r="F10" s="5">
        <v>1155</v>
      </c>
      <c r="G10" s="5">
        <v>1293</v>
      </c>
      <c r="H10" s="5">
        <v>4092</v>
      </c>
      <c r="I10" s="5">
        <v>4735</v>
      </c>
      <c r="J10" s="5">
        <v>5211</v>
      </c>
      <c r="K10" s="5">
        <v>5748</v>
      </c>
      <c r="L10" s="5">
        <v>6042</v>
      </c>
      <c r="M10" s="5">
        <v>6543</v>
      </c>
      <c r="N10" s="5">
        <v>7877</v>
      </c>
      <c r="O10" s="5">
        <f t="shared" si="0"/>
        <v>56867</v>
      </c>
    </row>
    <row r="11" spans="1:15" x14ac:dyDescent="0.25">
      <c r="A11" s="4" t="s">
        <v>20</v>
      </c>
      <c r="B11" s="4" t="s">
        <v>28</v>
      </c>
      <c r="C11" s="5">
        <v>5300</v>
      </c>
      <c r="D11" s="5">
        <v>4474</v>
      </c>
      <c r="E11" s="5">
        <v>3598</v>
      </c>
      <c r="F11" s="5">
        <v>1713</v>
      </c>
      <c r="G11" s="5">
        <v>1662</v>
      </c>
      <c r="H11" s="5">
        <v>3029</v>
      </c>
      <c r="I11" s="5">
        <v>4258</v>
      </c>
      <c r="J11" s="5">
        <v>4824</v>
      </c>
      <c r="K11" s="5">
        <v>5580</v>
      </c>
      <c r="L11" s="5">
        <v>5949</v>
      </c>
      <c r="M11" s="5">
        <v>6611</v>
      </c>
      <c r="N11" s="5">
        <v>6983</v>
      </c>
      <c r="O11" s="5">
        <f t="shared" si="0"/>
        <v>53981</v>
      </c>
    </row>
    <row r="12" spans="1:15" x14ac:dyDescent="0.25">
      <c r="A12" s="4" t="s">
        <v>23</v>
      </c>
      <c r="B12" s="4" t="s">
        <v>24</v>
      </c>
      <c r="C12" s="5">
        <v>4312</v>
      </c>
      <c r="D12" s="5">
        <v>4684</v>
      </c>
      <c r="E12" s="5">
        <v>3059</v>
      </c>
      <c r="F12" s="5">
        <v>1095</v>
      </c>
      <c r="G12" s="5">
        <v>1255</v>
      </c>
      <c r="H12" s="5">
        <v>3234</v>
      </c>
      <c r="I12" s="5">
        <v>4786</v>
      </c>
      <c r="J12" s="5">
        <v>5221</v>
      </c>
      <c r="K12" s="5">
        <v>6042</v>
      </c>
      <c r="L12" s="5">
        <v>6161</v>
      </c>
      <c r="M12" s="5">
        <v>6155</v>
      </c>
      <c r="N12" s="5">
        <v>6969</v>
      </c>
      <c r="O12" s="5">
        <f t="shared" si="0"/>
        <v>52973</v>
      </c>
    </row>
    <row r="13" spans="1:15" x14ac:dyDescent="0.25">
      <c r="A13" s="4" t="s">
        <v>25</v>
      </c>
      <c r="B13" s="4" t="s">
        <v>26</v>
      </c>
      <c r="C13" s="5">
        <v>6739</v>
      </c>
      <c r="D13" s="5">
        <v>5813</v>
      </c>
      <c r="E13" s="5">
        <v>4109</v>
      </c>
      <c r="F13" s="5">
        <v>1622</v>
      </c>
      <c r="G13" s="5">
        <v>1818</v>
      </c>
      <c r="H13" s="5">
        <v>3547</v>
      </c>
      <c r="I13" s="5">
        <v>4274</v>
      </c>
      <c r="J13" s="5">
        <v>2260</v>
      </c>
      <c r="K13" s="5">
        <v>4009</v>
      </c>
      <c r="L13" s="5">
        <v>5022</v>
      </c>
      <c r="M13" s="5">
        <v>4260</v>
      </c>
      <c r="N13" s="5">
        <v>6003</v>
      </c>
      <c r="O13" s="5">
        <f t="shared" si="0"/>
        <v>49476</v>
      </c>
    </row>
    <row r="14" spans="1:15" x14ac:dyDescent="0.25">
      <c r="A14" s="4" t="s">
        <v>27</v>
      </c>
      <c r="B14" s="4" t="s">
        <v>19</v>
      </c>
      <c r="C14" s="4">
        <v>957</v>
      </c>
      <c r="D14" s="5">
        <v>1337</v>
      </c>
      <c r="E14" s="5">
        <v>1907</v>
      </c>
      <c r="F14" s="5">
        <v>1395</v>
      </c>
      <c r="G14" s="5">
        <v>1564</v>
      </c>
      <c r="H14" s="5">
        <v>4075</v>
      </c>
      <c r="I14" s="5">
        <v>6070</v>
      </c>
      <c r="J14" s="5">
        <v>5899</v>
      </c>
      <c r="K14" s="5">
        <v>6403</v>
      </c>
      <c r="L14" s="5">
        <v>6595</v>
      </c>
      <c r="M14" s="5">
        <v>6427</v>
      </c>
      <c r="N14" s="5">
        <v>6749</v>
      </c>
      <c r="O14" s="5">
        <f t="shared" si="0"/>
        <v>49378</v>
      </c>
    </row>
    <row r="15" spans="1:15" x14ac:dyDescent="0.25">
      <c r="A15" s="4" t="s">
        <v>29</v>
      </c>
      <c r="B15" s="4" t="s">
        <v>21</v>
      </c>
      <c r="C15" s="5">
        <v>3734</v>
      </c>
      <c r="D15" s="5">
        <v>4464</v>
      </c>
      <c r="E15" s="5">
        <v>3484</v>
      </c>
      <c r="F15" s="4">
        <v>615</v>
      </c>
      <c r="G15" s="5">
        <v>1123</v>
      </c>
      <c r="H15" s="5">
        <v>3277</v>
      </c>
      <c r="I15" s="5">
        <v>4017</v>
      </c>
      <c r="J15" s="5">
        <v>4434</v>
      </c>
      <c r="K15" s="5">
        <v>5402</v>
      </c>
      <c r="L15" s="5">
        <v>5354</v>
      </c>
      <c r="M15" s="5">
        <v>5218</v>
      </c>
      <c r="N15" s="5">
        <v>6638</v>
      </c>
      <c r="O15" s="5">
        <f t="shared" si="0"/>
        <v>47760</v>
      </c>
    </row>
    <row r="16" spans="1:15" x14ac:dyDescent="0.25">
      <c r="A16" s="4" t="s">
        <v>31</v>
      </c>
      <c r="B16" s="4" t="s">
        <v>15</v>
      </c>
      <c r="C16" s="5">
        <v>4316</v>
      </c>
      <c r="D16" s="5">
        <v>4678</v>
      </c>
      <c r="E16" s="5">
        <v>3527</v>
      </c>
      <c r="F16" s="4">
        <v>933</v>
      </c>
      <c r="G16" s="4">
        <v>992</v>
      </c>
      <c r="H16" s="5">
        <v>2631</v>
      </c>
      <c r="I16" s="5">
        <v>3487</v>
      </c>
      <c r="J16" s="5">
        <v>4275</v>
      </c>
      <c r="K16" s="5">
        <v>5447</v>
      </c>
      <c r="L16" s="5">
        <v>5098</v>
      </c>
      <c r="M16" s="5">
        <v>5711</v>
      </c>
      <c r="N16" s="5">
        <v>5523</v>
      </c>
      <c r="O16" s="5">
        <f t="shared" si="0"/>
        <v>46618</v>
      </c>
    </row>
    <row r="17" spans="1:15" x14ac:dyDescent="0.25">
      <c r="A17" s="4" t="s">
        <v>33</v>
      </c>
      <c r="B17" s="4" t="s">
        <v>5</v>
      </c>
      <c r="C17" s="5">
        <v>5593</v>
      </c>
      <c r="D17" s="5">
        <v>5517</v>
      </c>
      <c r="E17" s="5">
        <v>3774</v>
      </c>
      <c r="F17" s="5">
        <v>1065</v>
      </c>
      <c r="G17" s="5">
        <v>1570</v>
      </c>
      <c r="H17" s="5">
        <v>2955</v>
      </c>
      <c r="I17" s="5">
        <v>3610</v>
      </c>
      <c r="J17" s="5">
        <v>3427</v>
      </c>
      <c r="K17" s="5">
        <v>3360</v>
      </c>
      <c r="L17" s="5">
        <v>3455</v>
      </c>
      <c r="M17" s="5">
        <v>3802</v>
      </c>
      <c r="N17" s="5">
        <v>3716</v>
      </c>
      <c r="O17" s="5">
        <f t="shared" si="0"/>
        <v>41844</v>
      </c>
    </row>
    <row r="18" spans="1:15" x14ac:dyDescent="0.25">
      <c r="A18" s="4" t="s">
        <v>35</v>
      </c>
      <c r="B18" s="4" t="s">
        <v>48</v>
      </c>
      <c r="C18" s="5">
        <v>3932</v>
      </c>
      <c r="D18" s="5">
        <v>4515</v>
      </c>
      <c r="E18" s="5">
        <v>3643</v>
      </c>
      <c r="F18" s="5">
        <v>1335</v>
      </c>
      <c r="G18" s="5">
        <v>1374</v>
      </c>
      <c r="H18" s="5">
        <v>2183</v>
      </c>
      <c r="I18" s="5">
        <v>3265</v>
      </c>
      <c r="J18" s="5">
        <v>3196</v>
      </c>
      <c r="K18" s="5">
        <v>3336</v>
      </c>
      <c r="L18" s="5">
        <v>4240</v>
      </c>
      <c r="M18" s="5">
        <v>5017</v>
      </c>
      <c r="N18" s="5">
        <v>5047</v>
      </c>
      <c r="O18" s="5">
        <f t="shared" si="0"/>
        <v>41083</v>
      </c>
    </row>
    <row r="19" spans="1:15" x14ac:dyDescent="0.25">
      <c r="A19" s="4" t="s">
        <v>37</v>
      </c>
      <c r="B19" s="4" t="s">
        <v>36</v>
      </c>
      <c r="C19" s="5">
        <v>3815</v>
      </c>
      <c r="D19" s="5">
        <v>4955</v>
      </c>
      <c r="E19" s="5">
        <v>3597</v>
      </c>
      <c r="F19" s="4">
        <v>785</v>
      </c>
      <c r="G19" s="4">
        <v>780</v>
      </c>
      <c r="H19" s="5">
        <v>2335</v>
      </c>
      <c r="I19" s="5">
        <v>2418</v>
      </c>
      <c r="J19" s="5">
        <v>3202</v>
      </c>
      <c r="K19" s="5">
        <v>4025</v>
      </c>
      <c r="L19" s="5">
        <v>3966</v>
      </c>
      <c r="M19" s="5">
        <v>3429</v>
      </c>
      <c r="N19" s="5">
        <v>3137</v>
      </c>
      <c r="O19" s="5">
        <f t="shared" si="0"/>
        <v>36444</v>
      </c>
    </row>
    <row r="20" spans="1:15" x14ac:dyDescent="0.25">
      <c r="A20" s="4" t="s">
        <v>39</v>
      </c>
      <c r="B20" s="4" t="s">
        <v>34</v>
      </c>
      <c r="C20" s="5">
        <v>3321</v>
      </c>
      <c r="D20" s="5">
        <v>2989</v>
      </c>
      <c r="E20" s="5">
        <v>2761</v>
      </c>
      <c r="F20" s="4">
        <v>551</v>
      </c>
      <c r="G20" s="4">
        <v>952</v>
      </c>
      <c r="H20" s="5">
        <v>2478</v>
      </c>
      <c r="I20" s="5">
        <v>2377</v>
      </c>
      <c r="J20" s="5">
        <v>2795</v>
      </c>
      <c r="K20" s="5">
        <v>3314</v>
      </c>
      <c r="L20" s="5">
        <v>3586</v>
      </c>
      <c r="M20" s="5">
        <v>3700</v>
      </c>
      <c r="N20" s="5">
        <v>3691</v>
      </c>
      <c r="O20" s="5">
        <f t="shared" si="0"/>
        <v>32515</v>
      </c>
    </row>
    <row r="21" spans="1:15" x14ac:dyDescent="0.25">
      <c r="A21" s="4" t="s">
        <v>41</v>
      </c>
      <c r="B21" s="4" t="s">
        <v>38</v>
      </c>
      <c r="C21" s="5">
        <v>3311</v>
      </c>
      <c r="D21" s="5">
        <v>3125</v>
      </c>
      <c r="E21" s="5">
        <v>2971</v>
      </c>
      <c r="F21" s="5">
        <v>1762</v>
      </c>
      <c r="G21" s="5">
        <v>1444</v>
      </c>
      <c r="H21" s="5">
        <v>1712</v>
      </c>
      <c r="I21" s="5">
        <v>2327</v>
      </c>
      <c r="J21" s="5">
        <v>2690</v>
      </c>
      <c r="K21" s="5">
        <v>3578</v>
      </c>
      <c r="L21" s="5">
        <v>3120</v>
      </c>
      <c r="M21" s="5">
        <v>3048</v>
      </c>
      <c r="N21" s="5">
        <v>3307</v>
      </c>
      <c r="O21" s="5">
        <f t="shared" si="0"/>
        <v>32395</v>
      </c>
    </row>
    <row r="22" spans="1:15" x14ac:dyDescent="0.25">
      <c r="A22" s="4" t="s">
        <v>43</v>
      </c>
      <c r="B22" s="4" t="s">
        <v>44</v>
      </c>
      <c r="C22" s="5">
        <v>3255</v>
      </c>
      <c r="D22" s="5">
        <v>3188</v>
      </c>
      <c r="E22" s="5">
        <v>2667</v>
      </c>
      <c r="F22" s="5">
        <v>1090</v>
      </c>
      <c r="G22" s="4">
        <v>676</v>
      </c>
      <c r="H22" s="5">
        <v>1613</v>
      </c>
      <c r="I22" s="5">
        <v>2828</v>
      </c>
      <c r="J22" s="5">
        <v>3197</v>
      </c>
      <c r="K22" s="5">
        <v>3050</v>
      </c>
      <c r="L22" s="5">
        <v>3117</v>
      </c>
      <c r="M22" s="5">
        <v>2977</v>
      </c>
      <c r="N22" s="5">
        <v>3310</v>
      </c>
      <c r="O22" s="5">
        <f t="shared" si="0"/>
        <v>30968</v>
      </c>
    </row>
    <row r="23" spans="1:15" x14ac:dyDescent="0.25">
      <c r="A23" s="4" t="s">
        <v>45</v>
      </c>
      <c r="B23" s="4" t="s">
        <v>62</v>
      </c>
      <c r="C23" s="5">
        <v>3136</v>
      </c>
      <c r="D23" s="5">
        <v>3047</v>
      </c>
      <c r="E23" s="5">
        <v>2562</v>
      </c>
      <c r="F23" s="4">
        <v>653</v>
      </c>
      <c r="G23" s="4">
        <v>961</v>
      </c>
      <c r="H23" s="5">
        <v>1933</v>
      </c>
      <c r="I23" s="5">
        <v>2642</v>
      </c>
      <c r="J23" s="5">
        <v>3240</v>
      </c>
      <c r="K23" s="5">
        <v>3177</v>
      </c>
      <c r="L23" s="5">
        <v>3480</v>
      </c>
      <c r="M23" s="5">
        <v>3179</v>
      </c>
      <c r="N23" s="5">
        <v>2876</v>
      </c>
      <c r="O23" s="5">
        <f t="shared" si="0"/>
        <v>30886</v>
      </c>
    </row>
    <row r="24" spans="1:15" x14ac:dyDescent="0.25">
      <c r="A24" s="4" t="s">
        <v>47</v>
      </c>
      <c r="B24" s="4" t="s">
        <v>56</v>
      </c>
      <c r="C24" s="5">
        <v>2403</v>
      </c>
      <c r="D24" s="5">
        <v>1781</v>
      </c>
      <c r="E24" s="5">
        <v>1582</v>
      </c>
      <c r="F24" s="5">
        <v>1100</v>
      </c>
      <c r="G24" s="5">
        <v>1267</v>
      </c>
      <c r="H24" s="5">
        <v>1443</v>
      </c>
      <c r="I24" s="5">
        <v>1568</v>
      </c>
      <c r="J24" s="5">
        <v>2063</v>
      </c>
      <c r="K24" s="5">
        <v>3149</v>
      </c>
      <c r="L24" s="5">
        <v>3401</v>
      </c>
      <c r="M24" s="5">
        <v>3675</v>
      </c>
      <c r="N24" s="5">
        <v>3210</v>
      </c>
      <c r="O24" s="5">
        <f t="shared" si="0"/>
        <v>26642</v>
      </c>
    </row>
    <row r="25" spans="1:15" x14ac:dyDescent="0.25">
      <c r="A25" s="4" t="s">
        <v>49</v>
      </c>
      <c r="B25" s="4" t="s">
        <v>100</v>
      </c>
      <c r="C25" s="5">
        <v>3138</v>
      </c>
      <c r="D25" s="5">
        <v>4052</v>
      </c>
      <c r="E25" s="5">
        <v>3303</v>
      </c>
      <c r="F25" s="4">
        <v>554</v>
      </c>
      <c r="G25" s="4">
        <v>788</v>
      </c>
      <c r="H25" s="5">
        <v>1362</v>
      </c>
      <c r="I25" s="5">
        <v>2005</v>
      </c>
      <c r="J25" s="5">
        <v>1659</v>
      </c>
      <c r="K25" s="5">
        <v>2795</v>
      </c>
      <c r="L25" s="5">
        <v>2420</v>
      </c>
      <c r="M25" s="5">
        <v>2377</v>
      </c>
      <c r="N25" s="5">
        <v>1894</v>
      </c>
      <c r="O25" s="5">
        <f t="shared" si="0"/>
        <v>26347</v>
      </c>
    </row>
    <row r="26" spans="1:15" x14ac:dyDescent="0.25">
      <c r="A26" s="4" t="s">
        <v>51</v>
      </c>
      <c r="B26" s="4" t="s">
        <v>452</v>
      </c>
      <c r="C26" s="5">
        <v>3148</v>
      </c>
      <c r="D26" s="5">
        <v>3052</v>
      </c>
      <c r="E26" s="5">
        <v>3627</v>
      </c>
      <c r="F26" s="4">
        <v>924</v>
      </c>
      <c r="G26" s="4">
        <v>432</v>
      </c>
      <c r="H26" s="4">
        <v>827</v>
      </c>
      <c r="I26" s="5">
        <v>2253</v>
      </c>
      <c r="J26" s="5">
        <v>1947</v>
      </c>
      <c r="K26" s="5">
        <v>2336</v>
      </c>
      <c r="L26" s="5">
        <v>2542</v>
      </c>
      <c r="M26" s="5">
        <v>2316</v>
      </c>
      <c r="N26" s="5">
        <v>2340</v>
      </c>
      <c r="O26" s="5">
        <f t="shared" si="0"/>
        <v>25744</v>
      </c>
    </row>
    <row r="27" spans="1:15" x14ac:dyDescent="0.25">
      <c r="A27" s="4" t="s">
        <v>53</v>
      </c>
      <c r="B27" s="4" t="s">
        <v>130</v>
      </c>
      <c r="C27" s="5">
        <v>1562</v>
      </c>
      <c r="D27" s="5">
        <v>1694</v>
      </c>
      <c r="E27" s="5">
        <v>1340</v>
      </c>
      <c r="F27" s="4">
        <v>429</v>
      </c>
      <c r="G27" s="4">
        <v>601</v>
      </c>
      <c r="H27" s="5">
        <v>1198</v>
      </c>
      <c r="I27" s="5">
        <v>1673</v>
      </c>
      <c r="J27" s="5">
        <v>2455</v>
      </c>
      <c r="K27" s="5">
        <v>2493</v>
      </c>
      <c r="L27" s="5">
        <v>2988</v>
      </c>
      <c r="M27" s="5">
        <v>3425</v>
      </c>
      <c r="N27" s="5">
        <v>4257</v>
      </c>
      <c r="O27" s="5">
        <f t="shared" si="0"/>
        <v>24115</v>
      </c>
    </row>
    <row r="28" spans="1:15" x14ac:dyDescent="0.25">
      <c r="A28" s="4" t="s">
        <v>55</v>
      </c>
      <c r="B28" s="4" t="s">
        <v>454</v>
      </c>
      <c r="C28" s="5">
        <v>2238</v>
      </c>
      <c r="D28" s="5">
        <v>2440</v>
      </c>
      <c r="E28" s="5">
        <v>2050</v>
      </c>
      <c r="F28" s="4">
        <v>580</v>
      </c>
      <c r="G28" s="4">
        <v>851</v>
      </c>
      <c r="H28" s="5">
        <v>1737</v>
      </c>
      <c r="I28" s="5">
        <v>2078</v>
      </c>
      <c r="J28" s="5">
        <v>2106</v>
      </c>
      <c r="K28" s="5">
        <v>2072</v>
      </c>
      <c r="L28" s="5">
        <v>2216</v>
      </c>
      <c r="M28" s="5">
        <v>2426</v>
      </c>
      <c r="N28" s="5">
        <v>3241</v>
      </c>
      <c r="O28" s="5">
        <f t="shared" si="0"/>
        <v>24035</v>
      </c>
    </row>
    <row r="29" spans="1:15" x14ac:dyDescent="0.25">
      <c r="A29" s="4" t="s">
        <v>57</v>
      </c>
      <c r="B29" s="4" t="s">
        <v>58</v>
      </c>
      <c r="C29" s="5">
        <v>2073</v>
      </c>
      <c r="D29" s="5">
        <v>2654</v>
      </c>
      <c r="E29" s="5">
        <v>1778</v>
      </c>
      <c r="F29" s="4">
        <v>702</v>
      </c>
      <c r="G29" s="4">
        <v>824</v>
      </c>
      <c r="H29" s="5">
        <v>1597</v>
      </c>
      <c r="I29" s="5">
        <v>2031</v>
      </c>
      <c r="J29" s="5">
        <v>2259</v>
      </c>
      <c r="K29" s="5">
        <v>1845</v>
      </c>
      <c r="L29" s="5">
        <v>2330</v>
      </c>
      <c r="M29" s="5">
        <v>2705</v>
      </c>
      <c r="N29" s="5">
        <v>3186</v>
      </c>
      <c r="O29" s="5">
        <f t="shared" si="0"/>
        <v>23984</v>
      </c>
    </row>
    <row r="30" spans="1:15" x14ac:dyDescent="0.25">
      <c r="A30" s="4" t="s">
        <v>59</v>
      </c>
      <c r="B30" s="4" t="s">
        <v>372</v>
      </c>
      <c r="C30" s="5">
        <v>1304</v>
      </c>
      <c r="D30" s="5">
        <v>1274</v>
      </c>
      <c r="E30" s="5">
        <v>1104</v>
      </c>
      <c r="F30" s="4">
        <v>308</v>
      </c>
      <c r="G30" s="4">
        <v>630</v>
      </c>
      <c r="H30" s="5">
        <v>1107</v>
      </c>
      <c r="I30" s="5">
        <v>1547</v>
      </c>
      <c r="J30" s="5">
        <v>2726</v>
      </c>
      <c r="K30" s="5">
        <v>3334</v>
      </c>
      <c r="L30" s="5">
        <v>3624</v>
      </c>
      <c r="M30" s="5">
        <v>2977</v>
      </c>
      <c r="N30" s="5">
        <v>3007</v>
      </c>
      <c r="O30" s="5">
        <f t="shared" si="0"/>
        <v>22942</v>
      </c>
    </row>
    <row r="31" spans="1:15" x14ac:dyDescent="0.25">
      <c r="A31" s="4" t="s">
        <v>61</v>
      </c>
      <c r="B31" s="4" t="s">
        <v>64</v>
      </c>
      <c r="C31" s="5">
        <v>2608</v>
      </c>
      <c r="D31" s="5">
        <v>2487</v>
      </c>
      <c r="E31" s="5">
        <v>1700</v>
      </c>
      <c r="F31" s="4">
        <v>445</v>
      </c>
      <c r="G31" s="4">
        <v>526</v>
      </c>
      <c r="H31" s="5">
        <v>1242</v>
      </c>
      <c r="I31" s="5">
        <v>1415</v>
      </c>
      <c r="J31" s="5">
        <v>1783</v>
      </c>
      <c r="K31" s="5">
        <v>1894</v>
      </c>
      <c r="L31" s="5">
        <v>2178</v>
      </c>
      <c r="M31" s="5">
        <v>2567</v>
      </c>
      <c r="N31" s="5">
        <v>2954</v>
      </c>
      <c r="O31" s="5">
        <f t="shared" si="0"/>
        <v>21799</v>
      </c>
    </row>
    <row r="32" spans="1:15" x14ac:dyDescent="0.25">
      <c r="A32" s="4" t="s">
        <v>63</v>
      </c>
      <c r="B32" s="4" t="s">
        <v>232</v>
      </c>
      <c r="C32" s="5">
        <v>1589</v>
      </c>
      <c r="D32" s="5">
        <v>1910</v>
      </c>
      <c r="E32" s="5">
        <v>1356</v>
      </c>
      <c r="F32" s="4">
        <v>457</v>
      </c>
      <c r="G32" s="4">
        <v>664</v>
      </c>
      <c r="H32" s="5">
        <v>1418</v>
      </c>
      <c r="I32" s="5">
        <v>1230</v>
      </c>
      <c r="J32" s="5">
        <v>1846</v>
      </c>
      <c r="K32" s="5">
        <v>2296</v>
      </c>
      <c r="L32" s="5">
        <v>2463</v>
      </c>
      <c r="M32" s="5">
        <v>2350</v>
      </c>
      <c r="N32" s="5">
        <v>2869</v>
      </c>
      <c r="O32" s="5">
        <f t="shared" si="0"/>
        <v>20448</v>
      </c>
    </row>
    <row r="33" spans="1:15" x14ac:dyDescent="0.25">
      <c r="A33" s="4" t="s">
        <v>65</v>
      </c>
      <c r="B33" s="4" t="s">
        <v>432</v>
      </c>
      <c r="C33" s="5">
        <v>2958</v>
      </c>
      <c r="D33" s="5">
        <v>2183</v>
      </c>
      <c r="E33" s="5">
        <v>1404</v>
      </c>
      <c r="F33" s="4">
        <v>313</v>
      </c>
      <c r="G33" s="4">
        <v>506</v>
      </c>
      <c r="H33" s="4">
        <v>957</v>
      </c>
      <c r="I33" s="5">
        <v>1776</v>
      </c>
      <c r="J33" s="5">
        <v>1573</v>
      </c>
      <c r="K33" s="5">
        <v>2039</v>
      </c>
      <c r="L33" s="5">
        <v>2366</v>
      </c>
      <c r="M33" s="5">
        <v>2229</v>
      </c>
      <c r="N33" s="5">
        <v>2078</v>
      </c>
      <c r="O33" s="5">
        <f t="shared" si="0"/>
        <v>20382</v>
      </c>
    </row>
    <row r="34" spans="1:15" x14ac:dyDescent="0.25">
      <c r="A34" s="4" t="s">
        <v>67</v>
      </c>
      <c r="B34" s="4" t="s">
        <v>74</v>
      </c>
      <c r="C34" s="5">
        <v>1637</v>
      </c>
      <c r="D34" s="5">
        <v>1316</v>
      </c>
      <c r="E34" s="5">
        <v>1560</v>
      </c>
      <c r="F34" s="5">
        <v>1070</v>
      </c>
      <c r="G34" s="5">
        <v>1400</v>
      </c>
      <c r="H34" s="5">
        <v>1736</v>
      </c>
      <c r="I34" s="5">
        <v>1729</v>
      </c>
      <c r="J34" s="5">
        <v>1279</v>
      </c>
      <c r="K34" s="5">
        <v>1685</v>
      </c>
      <c r="L34" s="5">
        <v>1700</v>
      </c>
      <c r="M34" s="5">
        <v>2321</v>
      </c>
      <c r="N34" s="5">
        <v>2403</v>
      </c>
      <c r="O34" s="5">
        <f t="shared" si="0"/>
        <v>19836</v>
      </c>
    </row>
    <row r="35" spans="1:15" x14ac:dyDescent="0.25">
      <c r="A35" s="4" t="s">
        <v>69</v>
      </c>
      <c r="B35" s="4" t="s">
        <v>66</v>
      </c>
      <c r="C35" s="5">
        <v>1153</v>
      </c>
      <c r="D35" s="4">
        <v>720</v>
      </c>
      <c r="E35" s="5">
        <v>1015</v>
      </c>
      <c r="F35" s="5">
        <v>1015</v>
      </c>
      <c r="G35" s="5">
        <v>1015</v>
      </c>
      <c r="H35" s="5">
        <v>1921</v>
      </c>
      <c r="I35" s="5">
        <v>1422</v>
      </c>
      <c r="J35" s="5">
        <v>1197</v>
      </c>
      <c r="K35" s="5">
        <v>1831</v>
      </c>
      <c r="L35" s="5">
        <v>2460</v>
      </c>
      <c r="M35" s="5">
        <v>2618</v>
      </c>
      <c r="N35" s="5">
        <v>3110</v>
      </c>
      <c r="O35" s="5">
        <f t="shared" si="0"/>
        <v>19477</v>
      </c>
    </row>
    <row r="36" spans="1:15" x14ac:dyDescent="0.25">
      <c r="A36" s="4" t="s">
        <v>71</v>
      </c>
      <c r="B36" s="4" t="s">
        <v>72</v>
      </c>
      <c r="C36" s="4">
        <v>862</v>
      </c>
      <c r="D36" s="5">
        <v>1412</v>
      </c>
      <c r="E36" s="5">
        <v>1328</v>
      </c>
      <c r="F36" s="4">
        <v>232</v>
      </c>
      <c r="G36" s="4">
        <v>555</v>
      </c>
      <c r="H36" s="4">
        <v>867</v>
      </c>
      <c r="I36" s="5">
        <v>1354</v>
      </c>
      <c r="J36" s="5">
        <v>2099</v>
      </c>
      <c r="K36" s="5">
        <v>2093</v>
      </c>
      <c r="L36" s="5">
        <v>2635</v>
      </c>
      <c r="M36" s="5">
        <v>2588</v>
      </c>
      <c r="N36" s="5">
        <v>1827</v>
      </c>
      <c r="O36" s="5">
        <f t="shared" si="0"/>
        <v>17852</v>
      </c>
    </row>
    <row r="37" spans="1:15" x14ac:dyDescent="0.25">
      <c r="A37" s="4" t="s">
        <v>73</v>
      </c>
      <c r="B37" s="4" t="s">
        <v>32</v>
      </c>
      <c r="C37" s="4"/>
      <c r="D37" s="4"/>
      <c r="E37" s="4"/>
      <c r="F37" s="4"/>
      <c r="G37" s="4"/>
      <c r="H37" s="4"/>
      <c r="I37" s="4">
        <v>488</v>
      </c>
      <c r="J37" s="5">
        <v>2149</v>
      </c>
      <c r="K37" s="5">
        <v>3203</v>
      </c>
      <c r="L37" s="5">
        <v>3124</v>
      </c>
      <c r="M37" s="5">
        <v>3149</v>
      </c>
      <c r="N37" s="5">
        <v>4129</v>
      </c>
      <c r="O37" s="5">
        <f t="shared" si="0"/>
        <v>16242</v>
      </c>
    </row>
    <row r="38" spans="1:15" x14ac:dyDescent="0.25">
      <c r="A38" s="4" t="s">
        <v>75</v>
      </c>
      <c r="B38" s="4" t="s">
        <v>40</v>
      </c>
      <c r="C38" s="5">
        <v>1990</v>
      </c>
      <c r="D38" s="5">
        <v>1360</v>
      </c>
      <c r="E38" s="5">
        <v>1557</v>
      </c>
      <c r="F38" s="4">
        <v>862</v>
      </c>
      <c r="G38" s="4">
        <v>597</v>
      </c>
      <c r="H38" s="5">
        <v>1096</v>
      </c>
      <c r="I38" s="5">
        <v>1337</v>
      </c>
      <c r="J38" s="5">
        <v>1289</v>
      </c>
      <c r="K38" s="5">
        <v>1168</v>
      </c>
      <c r="L38" s="5">
        <v>1605</v>
      </c>
      <c r="M38" s="5">
        <v>1775</v>
      </c>
      <c r="N38" s="5">
        <v>1531</v>
      </c>
      <c r="O38" s="5">
        <f t="shared" si="0"/>
        <v>16167</v>
      </c>
    </row>
    <row r="39" spans="1:15" x14ac:dyDescent="0.25">
      <c r="A39" s="4" t="s">
        <v>77</v>
      </c>
      <c r="B39" s="4" t="s">
        <v>76</v>
      </c>
      <c r="C39" s="5">
        <v>1539</v>
      </c>
      <c r="D39" s="5">
        <v>1730</v>
      </c>
      <c r="E39" s="5">
        <v>1165</v>
      </c>
      <c r="F39" s="4">
        <v>343</v>
      </c>
      <c r="G39" s="4">
        <v>351</v>
      </c>
      <c r="H39" s="4">
        <v>806</v>
      </c>
      <c r="I39" s="5">
        <v>1049</v>
      </c>
      <c r="J39" s="5">
        <v>1435</v>
      </c>
      <c r="K39" s="5">
        <v>1787</v>
      </c>
      <c r="L39" s="5">
        <v>1790</v>
      </c>
      <c r="M39" s="5">
        <v>1901</v>
      </c>
      <c r="N39" s="5">
        <v>2235</v>
      </c>
      <c r="O39" s="5">
        <f t="shared" si="0"/>
        <v>16131</v>
      </c>
    </row>
    <row r="40" spans="1:15" x14ac:dyDescent="0.25">
      <c r="A40" s="4" t="s">
        <v>79</v>
      </c>
      <c r="B40" s="4" t="s">
        <v>70</v>
      </c>
      <c r="C40" s="5">
        <v>1517</v>
      </c>
      <c r="D40" s="5">
        <v>1597</v>
      </c>
      <c r="E40" s="5">
        <v>1274</v>
      </c>
      <c r="F40" s="4">
        <v>416</v>
      </c>
      <c r="G40" s="4">
        <v>511</v>
      </c>
      <c r="H40" s="5">
        <v>1436</v>
      </c>
      <c r="I40" s="5">
        <v>1831</v>
      </c>
      <c r="J40" s="5">
        <v>1585</v>
      </c>
      <c r="K40" s="5">
        <v>1479</v>
      </c>
      <c r="L40" s="5">
        <v>1373</v>
      </c>
      <c r="M40" s="5">
        <v>1372</v>
      </c>
      <c r="N40" s="5">
        <v>1271</v>
      </c>
      <c r="O40" s="5">
        <f t="shared" si="0"/>
        <v>15662</v>
      </c>
    </row>
    <row r="41" spans="1:15" x14ac:dyDescent="0.25">
      <c r="A41" s="4" t="s">
        <v>81</v>
      </c>
      <c r="B41" s="4" t="s">
        <v>112</v>
      </c>
      <c r="C41" s="5">
        <v>1633</v>
      </c>
      <c r="D41" s="5">
        <v>1735</v>
      </c>
      <c r="E41" s="5">
        <v>1264</v>
      </c>
      <c r="F41" s="4">
        <v>256</v>
      </c>
      <c r="G41" s="4">
        <v>279</v>
      </c>
      <c r="H41" s="5">
        <v>1043</v>
      </c>
      <c r="I41" s="5">
        <v>1310</v>
      </c>
      <c r="J41" s="4">
        <v>583</v>
      </c>
      <c r="K41" s="5">
        <v>1628</v>
      </c>
      <c r="L41" s="5">
        <v>1312</v>
      </c>
      <c r="M41" s="5">
        <v>1529</v>
      </c>
      <c r="N41" s="5">
        <v>1213</v>
      </c>
      <c r="O41" s="5">
        <f t="shared" si="0"/>
        <v>13785</v>
      </c>
    </row>
    <row r="42" spans="1:15" x14ac:dyDescent="0.25">
      <c r="A42" s="4" t="s">
        <v>83</v>
      </c>
      <c r="B42" s="4" t="s">
        <v>519</v>
      </c>
      <c r="C42" s="5">
        <v>1513</v>
      </c>
      <c r="D42" s="5">
        <v>1734</v>
      </c>
      <c r="E42" s="5">
        <v>1274</v>
      </c>
      <c r="F42" s="4">
        <v>202</v>
      </c>
      <c r="G42" s="4">
        <v>362</v>
      </c>
      <c r="H42" s="5">
        <v>1205</v>
      </c>
      <c r="I42" s="5">
        <v>1181</v>
      </c>
      <c r="J42" s="5">
        <v>1192</v>
      </c>
      <c r="K42" s="5">
        <v>1417</v>
      </c>
      <c r="L42" s="5">
        <v>1236</v>
      </c>
      <c r="M42" s="4">
        <v>916</v>
      </c>
      <c r="N42" s="4">
        <v>602</v>
      </c>
      <c r="O42" s="5">
        <f t="shared" si="0"/>
        <v>12834</v>
      </c>
    </row>
    <row r="43" spans="1:15" x14ac:dyDescent="0.25">
      <c r="A43" s="4" t="s">
        <v>85</v>
      </c>
      <c r="B43" s="4" t="s">
        <v>260</v>
      </c>
      <c r="C43" s="4">
        <v>956</v>
      </c>
      <c r="D43" s="4">
        <v>950</v>
      </c>
      <c r="E43" s="5">
        <v>1117</v>
      </c>
      <c r="F43" s="4">
        <v>384</v>
      </c>
      <c r="G43" s="4">
        <v>322</v>
      </c>
      <c r="H43" s="5">
        <v>1367</v>
      </c>
      <c r="I43" s="5">
        <v>1388</v>
      </c>
      <c r="J43" s="4">
        <v>757</v>
      </c>
      <c r="K43" s="4">
        <v>578</v>
      </c>
      <c r="L43" s="4">
        <v>589</v>
      </c>
      <c r="M43" s="4">
        <v>854</v>
      </c>
      <c r="N43" s="5">
        <v>1610</v>
      </c>
      <c r="O43" s="5">
        <f t="shared" si="0"/>
        <v>10872</v>
      </c>
    </row>
    <row r="44" spans="1:15" x14ac:dyDescent="0.25">
      <c r="A44" s="4" t="s">
        <v>87</v>
      </c>
      <c r="B44" s="4" t="s">
        <v>390</v>
      </c>
      <c r="C44" s="5">
        <v>1131</v>
      </c>
      <c r="D44" s="5">
        <v>1461</v>
      </c>
      <c r="E44" s="4">
        <v>913</v>
      </c>
      <c r="F44" s="4">
        <v>205</v>
      </c>
      <c r="G44" s="4">
        <v>274</v>
      </c>
      <c r="H44" s="4">
        <v>621</v>
      </c>
      <c r="I44" s="4">
        <v>856</v>
      </c>
      <c r="J44" s="4">
        <v>791</v>
      </c>
      <c r="K44" s="5">
        <v>1065</v>
      </c>
      <c r="L44" s="4">
        <v>975</v>
      </c>
      <c r="M44" s="5">
        <v>1144</v>
      </c>
      <c r="N44" s="5">
        <v>1421</v>
      </c>
      <c r="O44" s="5">
        <f t="shared" si="0"/>
        <v>10857</v>
      </c>
    </row>
    <row r="45" spans="1:15" x14ac:dyDescent="0.25">
      <c r="A45" s="4" t="s">
        <v>89</v>
      </c>
      <c r="B45" s="4" t="s">
        <v>104</v>
      </c>
      <c r="C45" s="5">
        <v>1351</v>
      </c>
      <c r="D45" s="5">
        <v>1639</v>
      </c>
      <c r="E45" s="5">
        <v>1145</v>
      </c>
      <c r="F45" s="4">
        <v>515</v>
      </c>
      <c r="G45" s="4">
        <v>725</v>
      </c>
      <c r="H45" s="4">
        <v>842</v>
      </c>
      <c r="I45" s="4">
        <v>809</v>
      </c>
      <c r="J45" s="4">
        <v>944</v>
      </c>
      <c r="K45" s="4">
        <v>841</v>
      </c>
      <c r="L45" s="4">
        <v>559</v>
      </c>
      <c r="M45" s="4">
        <v>343</v>
      </c>
      <c r="N45" s="4">
        <v>908</v>
      </c>
      <c r="O45" s="5">
        <f t="shared" si="0"/>
        <v>10621</v>
      </c>
    </row>
    <row r="46" spans="1:15" x14ac:dyDescent="0.25">
      <c r="A46" s="4" t="s">
        <v>91</v>
      </c>
      <c r="B46" s="4" t="s">
        <v>512</v>
      </c>
      <c r="C46" s="5">
        <v>1082</v>
      </c>
      <c r="D46" s="5">
        <v>1073</v>
      </c>
      <c r="E46" s="4">
        <v>785</v>
      </c>
      <c r="F46" s="4">
        <v>134</v>
      </c>
      <c r="G46" s="4">
        <v>266</v>
      </c>
      <c r="H46" s="4">
        <v>669</v>
      </c>
      <c r="I46" s="4">
        <v>589</v>
      </c>
      <c r="J46" s="4">
        <v>866</v>
      </c>
      <c r="K46" s="4">
        <v>961</v>
      </c>
      <c r="L46" s="5">
        <v>1391</v>
      </c>
      <c r="M46" s="5">
        <v>1429</v>
      </c>
      <c r="N46" s="5">
        <v>1356</v>
      </c>
      <c r="O46" s="5">
        <f t="shared" si="0"/>
        <v>10601</v>
      </c>
    </row>
    <row r="47" spans="1:15" x14ac:dyDescent="0.25">
      <c r="A47" s="4" t="s">
        <v>93</v>
      </c>
      <c r="B47" s="4" t="s">
        <v>98</v>
      </c>
      <c r="C47" s="5">
        <v>1806</v>
      </c>
      <c r="D47" s="5">
        <v>1871</v>
      </c>
      <c r="E47" s="5">
        <v>1467</v>
      </c>
      <c r="F47" s="4">
        <v>313</v>
      </c>
      <c r="G47" s="4">
        <v>361</v>
      </c>
      <c r="H47" s="4">
        <v>596</v>
      </c>
      <c r="I47" s="4">
        <v>681</v>
      </c>
      <c r="J47" s="4">
        <v>480</v>
      </c>
      <c r="K47" s="4">
        <v>254</v>
      </c>
      <c r="L47" s="4">
        <v>108</v>
      </c>
      <c r="M47" s="4">
        <v>677</v>
      </c>
      <c r="N47" s="5">
        <v>1293</v>
      </c>
      <c r="O47" s="5">
        <f t="shared" si="0"/>
        <v>9907</v>
      </c>
    </row>
    <row r="48" spans="1:15" x14ac:dyDescent="0.25">
      <c r="A48" s="4" t="s">
        <v>95</v>
      </c>
      <c r="B48" s="4" t="s">
        <v>122</v>
      </c>
      <c r="C48" s="5">
        <v>1190</v>
      </c>
      <c r="D48" s="5">
        <v>1447</v>
      </c>
      <c r="E48" s="4">
        <v>804</v>
      </c>
      <c r="F48" s="4">
        <v>200</v>
      </c>
      <c r="G48" s="4">
        <v>365</v>
      </c>
      <c r="H48" s="4">
        <v>947</v>
      </c>
      <c r="I48" s="5">
        <v>1006</v>
      </c>
      <c r="J48" s="4">
        <v>762</v>
      </c>
      <c r="K48" s="4">
        <v>667</v>
      </c>
      <c r="L48" s="4">
        <v>696</v>
      </c>
      <c r="M48" s="4">
        <v>918</v>
      </c>
      <c r="N48" s="4">
        <v>527</v>
      </c>
      <c r="O48" s="5">
        <f t="shared" si="0"/>
        <v>9529</v>
      </c>
    </row>
    <row r="49" spans="1:15" x14ac:dyDescent="0.25">
      <c r="A49" s="4" t="s">
        <v>97</v>
      </c>
      <c r="B49" s="4" t="s">
        <v>88</v>
      </c>
      <c r="C49" s="4">
        <v>622</v>
      </c>
      <c r="D49" s="4">
        <v>650</v>
      </c>
      <c r="E49" s="4">
        <v>713</v>
      </c>
      <c r="F49" s="4">
        <v>432</v>
      </c>
      <c r="G49" s="4">
        <v>603</v>
      </c>
      <c r="H49" s="4">
        <v>606</v>
      </c>
      <c r="I49" s="5">
        <v>1246</v>
      </c>
      <c r="J49" s="4">
        <v>927</v>
      </c>
      <c r="K49" s="5">
        <v>1087</v>
      </c>
      <c r="L49" s="5">
        <v>1009</v>
      </c>
      <c r="M49" s="4">
        <v>901</v>
      </c>
      <c r="N49" s="4">
        <v>695</v>
      </c>
      <c r="O49" s="5">
        <f t="shared" si="0"/>
        <v>9491</v>
      </c>
    </row>
    <row r="50" spans="1:15" x14ac:dyDescent="0.25">
      <c r="A50" s="4" t="s">
        <v>99</v>
      </c>
      <c r="B50" s="4" t="s">
        <v>78</v>
      </c>
      <c r="C50" s="4">
        <v>879</v>
      </c>
      <c r="D50" s="4">
        <v>784</v>
      </c>
      <c r="E50" s="4">
        <v>736</v>
      </c>
      <c r="F50" s="4">
        <v>371</v>
      </c>
      <c r="G50" s="4">
        <v>303</v>
      </c>
      <c r="H50" s="4">
        <v>465</v>
      </c>
      <c r="I50" s="4">
        <v>604</v>
      </c>
      <c r="J50" s="4">
        <v>714</v>
      </c>
      <c r="K50" s="4">
        <v>920</v>
      </c>
      <c r="L50" s="4">
        <v>862</v>
      </c>
      <c r="M50" s="5">
        <v>1208</v>
      </c>
      <c r="N50" s="5">
        <v>1283</v>
      </c>
      <c r="O50" s="5">
        <f t="shared" si="0"/>
        <v>9129</v>
      </c>
    </row>
    <row r="51" spans="1:15" x14ac:dyDescent="0.25">
      <c r="A51" s="4" t="s">
        <v>101</v>
      </c>
      <c r="B51" s="4" t="s">
        <v>178</v>
      </c>
      <c r="C51" s="5">
        <v>1739</v>
      </c>
      <c r="D51" s="5">
        <v>1131</v>
      </c>
      <c r="E51" s="4">
        <v>656</v>
      </c>
      <c r="F51" s="4">
        <v>403</v>
      </c>
      <c r="G51" s="4">
        <v>591</v>
      </c>
      <c r="H51" s="5">
        <v>1062</v>
      </c>
      <c r="I51" s="4">
        <v>904</v>
      </c>
      <c r="J51" s="4">
        <v>507</v>
      </c>
      <c r="K51" s="4">
        <v>426</v>
      </c>
      <c r="L51" s="4">
        <v>525</v>
      </c>
      <c r="M51" s="4">
        <v>428</v>
      </c>
      <c r="N51" s="4">
        <v>430</v>
      </c>
      <c r="O51" s="5">
        <f t="shared" si="0"/>
        <v>8802</v>
      </c>
    </row>
    <row r="52" spans="1:15" x14ac:dyDescent="0.25">
      <c r="A52" s="4" t="s">
        <v>103</v>
      </c>
      <c r="B52" s="4" t="s">
        <v>94</v>
      </c>
      <c r="C52" s="4">
        <v>887</v>
      </c>
      <c r="D52" s="5">
        <v>1036</v>
      </c>
      <c r="E52" s="5">
        <v>1192</v>
      </c>
      <c r="F52" s="4">
        <v>235</v>
      </c>
      <c r="G52" s="4">
        <v>156</v>
      </c>
      <c r="H52" s="4">
        <v>451</v>
      </c>
      <c r="I52" s="4">
        <v>557</v>
      </c>
      <c r="J52" s="4">
        <v>662</v>
      </c>
      <c r="K52" s="4">
        <v>793</v>
      </c>
      <c r="L52" s="4">
        <v>881</v>
      </c>
      <c r="M52" s="4">
        <v>824</v>
      </c>
      <c r="N52" s="5">
        <v>1090</v>
      </c>
      <c r="O52" s="5">
        <f t="shared" si="0"/>
        <v>8764</v>
      </c>
    </row>
    <row r="53" spans="1:15" x14ac:dyDescent="0.25">
      <c r="A53" s="4" t="s">
        <v>105</v>
      </c>
      <c r="B53" s="4" t="s">
        <v>578</v>
      </c>
      <c r="C53" s="5">
        <v>1514</v>
      </c>
      <c r="D53" s="5">
        <v>1040</v>
      </c>
      <c r="E53" s="4">
        <v>823</v>
      </c>
      <c r="F53" s="4">
        <v>309</v>
      </c>
      <c r="G53" s="4">
        <v>379</v>
      </c>
      <c r="H53" s="4">
        <v>750</v>
      </c>
      <c r="I53" s="4">
        <v>747</v>
      </c>
      <c r="J53" s="4">
        <v>960</v>
      </c>
      <c r="K53" s="4">
        <v>884</v>
      </c>
      <c r="L53" s="4">
        <v>599</v>
      </c>
      <c r="M53" s="4">
        <v>360</v>
      </c>
      <c r="N53" s="4">
        <v>334</v>
      </c>
      <c r="O53" s="5">
        <f t="shared" si="0"/>
        <v>8699</v>
      </c>
    </row>
    <row r="54" spans="1:15" x14ac:dyDescent="0.25">
      <c r="A54" s="4" t="s">
        <v>107</v>
      </c>
      <c r="B54" s="4" t="s">
        <v>430</v>
      </c>
      <c r="C54" s="4">
        <v>797</v>
      </c>
      <c r="D54" s="4">
        <v>934</v>
      </c>
      <c r="E54" s="4">
        <v>769</v>
      </c>
      <c r="F54" s="4">
        <v>147</v>
      </c>
      <c r="G54" s="4">
        <v>199</v>
      </c>
      <c r="H54" s="4">
        <v>668</v>
      </c>
      <c r="I54" s="4">
        <v>876</v>
      </c>
      <c r="J54" s="5">
        <v>1070</v>
      </c>
      <c r="K54" s="4">
        <v>739</v>
      </c>
      <c r="L54" s="4">
        <v>798</v>
      </c>
      <c r="M54" s="4">
        <v>829</v>
      </c>
      <c r="N54" s="4">
        <v>475</v>
      </c>
      <c r="O54" s="5">
        <f t="shared" si="0"/>
        <v>8301</v>
      </c>
    </row>
    <row r="55" spans="1:15" x14ac:dyDescent="0.25">
      <c r="A55" s="4" t="s">
        <v>109</v>
      </c>
      <c r="B55" s="4" t="s">
        <v>102</v>
      </c>
      <c r="C55" s="4">
        <v>673</v>
      </c>
      <c r="D55" s="4">
        <v>765</v>
      </c>
      <c r="E55" s="4">
        <v>580</v>
      </c>
      <c r="F55" s="4">
        <v>501</v>
      </c>
      <c r="G55" s="4">
        <v>349</v>
      </c>
      <c r="H55" s="4">
        <v>708</v>
      </c>
      <c r="I55" s="4">
        <v>612</v>
      </c>
      <c r="J55" s="4">
        <v>561</v>
      </c>
      <c r="K55" s="4">
        <v>693</v>
      </c>
      <c r="L55" s="4">
        <v>945</v>
      </c>
      <c r="M55" s="4">
        <v>735</v>
      </c>
      <c r="N55" s="4">
        <v>957</v>
      </c>
      <c r="O55" s="5">
        <f t="shared" si="0"/>
        <v>8079</v>
      </c>
    </row>
    <row r="56" spans="1:15" x14ac:dyDescent="0.25">
      <c r="A56" s="4" t="s">
        <v>111</v>
      </c>
      <c r="B56" s="4" t="s">
        <v>82</v>
      </c>
      <c r="C56" s="4">
        <v>830</v>
      </c>
      <c r="D56" s="4">
        <v>935</v>
      </c>
      <c r="E56" s="4">
        <v>707</v>
      </c>
      <c r="F56" s="4">
        <v>139</v>
      </c>
      <c r="G56" s="4">
        <v>158</v>
      </c>
      <c r="H56" s="4">
        <v>475</v>
      </c>
      <c r="I56" s="4">
        <v>367</v>
      </c>
      <c r="J56" s="4">
        <v>597</v>
      </c>
      <c r="K56" s="4">
        <v>694</v>
      </c>
      <c r="L56" s="4">
        <v>733</v>
      </c>
      <c r="M56" s="4">
        <v>526</v>
      </c>
      <c r="N56" s="5">
        <v>1123</v>
      </c>
      <c r="O56" s="5">
        <f t="shared" si="0"/>
        <v>7284</v>
      </c>
    </row>
    <row r="57" spans="1:15" x14ac:dyDescent="0.25">
      <c r="A57" s="4" t="s">
        <v>113</v>
      </c>
      <c r="B57" s="4" t="s">
        <v>575</v>
      </c>
      <c r="C57" s="4">
        <v>892</v>
      </c>
      <c r="D57" s="5">
        <v>1002</v>
      </c>
      <c r="E57" s="4">
        <v>812</v>
      </c>
      <c r="F57" s="4">
        <v>208</v>
      </c>
      <c r="G57" s="4">
        <v>331</v>
      </c>
      <c r="H57" s="4">
        <v>789</v>
      </c>
      <c r="I57" s="5">
        <v>1015</v>
      </c>
      <c r="J57" s="4">
        <v>914</v>
      </c>
      <c r="K57" s="4">
        <v>546</v>
      </c>
      <c r="L57" s="4">
        <v>274</v>
      </c>
      <c r="M57" s="4">
        <v>93</v>
      </c>
      <c r="N57" s="4">
        <v>50</v>
      </c>
      <c r="O57" s="5">
        <f t="shared" si="0"/>
        <v>6926</v>
      </c>
    </row>
    <row r="58" spans="1:15" x14ac:dyDescent="0.25">
      <c r="A58" s="4" t="s">
        <v>115</v>
      </c>
      <c r="B58" s="4" t="s">
        <v>52</v>
      </c>
      <c r="C58" s="4">
        <v>264</v>
      </c>
      <c r="D58" s="4">
        <v>255</v>
      </c>
      <c r="E58" s="4">
        <v>793</v>
      </c>
      <c r="F58" s="4">
        <v>522</v>
      </c>
      <c r="G58" s="4">
        <v>464</v>
      </c>
      <c r="H58" s="5">
        <v>1018</v>
      </c>
      <c r="I58" s="4">
        <v>992</v>
      </c>
      <c r="J58" s="4">
        <v>853</v>
      </c>
      <c r="K58" s="4">
        <v>320</v>
      </c>
      <c r="L58" s="4">
        <v>398</v>
      </c>
      <c r="M58" s="4">
        <v>417</v>
      </c>
      <c r="N58" s="4">
        <v>358</v>
      </c>
      <c r="O58" s="5">
        <f t="shared" si="0"/>
        <v>6654</v>
      </c>
    </row>
    <row r="59" spans="1:15" x14ac:dyDescent="0.25">
      <c r="A59" s="4" t="s">
        <v>117</v>
      </c>
      <c r="B59" s="4" t="s">
        <v>84</v>
      </c>
      <c r="C59" s="5">
        <v>1093</v>
      </c>
      <c r="D59" s="4">
        <v>619</v>
      </c>
      <c r="E59" s="4">
        <v>244</v>
      </c>
      <c r="F59" s="4">
        <v>55</v>
      </c>
      <c r="G59" s="4">
        <v>47</v>
      </c>
      <c r="H59" s="4">
        <v>130</v>
      </c>
      <c r="I59" s="4">
        <v>464</v>
      </c>
      <c r="J59" s="4">
        <v>271</v>
      </c>
      <c r="K59" s="4">
        <v>535</v>
      </c>
      <c r="L59" s="4">
        <v>907</v>
      </c>
      <c r="M59" s="4">
        <v>848</v>
      </c>
      <c r="N59" s="4">
        <v>858</v>
      </c>
      <c r="O59" s="5">
        <f t="shared" si="0"/>
        <v>6071</v>
      </c>
    </row>
    <row r="60" spans="1:15" x14ac:dyDescent="0.25">
      <c r="A60" s="4" t="s">
        <v>119</v>
      </c>
      <c r="B60" s="4" t="s">
        <v>154</v>
      </c>
      <c r="C60" s="4">
        <v>278</v>
      </c>
      <c r="D60" s="4">
        <v>771</v>
      </c>
      <c r="E60" s="4">
        <v>353</v>
      </c>
      <c r="F60" s="4">
        <v>135</v>
      </c>
      <c r="G60" s="4">
        <v>484</v>
      </c>
      <c r="H60" s="5">
        <v>1102</v>
      </c>
      <c r="I60" s="4">
        <v>664</v>
      </c>
      <c r="J60" s="4">
        <v>421</v>
      </c>
      <c r="K60" s="4">
        <v>349</v>
      </c>
      <c r="L60" s="4">
        <v>436</v>
      </c>
      <c r="M60" s="4">
        <v>344</v>
      </c>
      <c r="N60" s="4">
        <v>459</v>
      </c>
      <c r="O60" s="5">
        <f t="shared" si="0"/>
        <v>5796</v>
      </c>
    </row>
    <row r="61" spans="1:15" x14ac:dyDescent="0.25">
      <c r="A61" s="4" t="s">
        <v>121</v>
      </c>
      <c r="B61" s="4" t="s">
        <v>90</v>
      </c>
      <c r="C61" s="4">
        <v>702</v>
      </c>
      <c r="D61" s="4">
        <v>557</v>
      </c>
      <c r="E61" s="4">
        <v>468</v>
      </c>
      <c r="F61" s="4">
        <v>351</v>
      </c>
      <c r="G61" s="4">
        <v>240</v>
      </c>
      <c r="H61" s="4">
        <v>433</v>
      </c>
      <c r="I61" s="4">
        <v>419</v>
      </c>
      <c r="J61" s="4">
        <v>305</v>
      </c>
      <c r="K61" s="4">
        <v>587</v>
      </c>
      <c r="L61" s="4">
        <v>564</v>
      </c>
      <c r="M61" s="4">
        <v>325</v>
      </c>
      <c r="N61" s="4">
        <v>547</v>
      </c>
      <c r="O61" s="5">
        <f t="shared" si="0"/>
        <v>5498</v>
      </c>
    </row>
    <row r="62" spans="1:15" x14ac:dyDescent="0.25">
      <c r="A62" s="4" t="s">
        <v>123</v>
      </c>
      <c r="B62" s="4" t="s">
        <v>576</v>
      </c>
      <c r="C62" s="4">
        <v>718</v>
      </c>
      <c r="D62" s="4">
        <v>624</v>
      </c>
      <c r="E62" s="4">
        <v>502</v>
      </c>
      <c r="F62" s="4">
        <v>202</v>
      </c>
      <c r="G62" s="4">
        <v>175</v>
      </c>
      <c r="H62" s="4">
        <v>329</v>
      </c>
      <c r="I62" s="4">
        <v>455</v>
      </c>
      <c r="J62" s="4">
        <v>491</v>
      </c>
      <c r="K62" s="4">
        <v>628</v>
      </c>
      <c r="L62" s="4">
        <v>481</v>
      </c>
      <c r="M62" s="4">
        <v>418</v>
      </c>
      <c r="N62" s="4">
        <v>285</v>
      </c>
      <c r="O62" s="5">
        <f t="shared" si="0"/>
        <v>5308</v>
      </c>
    </row>
    <row r="63" spans="1:15" x14ac:dyDescent="0.25">
      <c r="A63" s="4" t="s">
        <v>125</v>
      </c>
      <c r="B63" s="4" t="s">
        <v>110</v>
      </c>
      <c r="C63" s="4">
        <v>267</v>
      </c>
      <c r="D63" s="4">
        <v>351</v>
      </c>
      <c r="E63" s="4">
        <v>329</v>
      </c>
      <c r="F63" s="4">
        <v>132</v>
      </c>
      <c r="G63" s="4">
        <v>255</v>
      </c>
      <c r="H63" s="4">
        <v>579</v>
      </c>
      <c r="I63" s="4">
        <v>527</v>
      </c>
      <c r="J63" s="4">
        <v>449</v>
      </c>
      <c r="K63" s="4">
        <v>564</v>
      </c>
      <c r="L63" s="4">
        <v>540</v>
      </c>
      <c r="M63" s="4">
        <v>538</v>
      </c>
      <c r="N63" s="4">
        <v>628</v>
      </c>
      <c r="O63" s="5">
        <f t="shared" si="0"/>
        <v>5159</v>
      </c>
    </row>
    <row r="64" spans="1:15" x14ac:dyDescent="0.25">
      <c r="A64" s="4" t="s">
        <v>127</v>
      </c>
      <c r="B64" s="4" t="s">
        <v>118</v>
      </c>
      <c r="C64" s="4">
        <v>327</v>
      </c>
      <c r="D64" s="4">
        <v>367</v>
      </c>
      <c r="E64" s="4">
        <v>217</v>
      </c>
      <c r="F64" s="4">
        <v>124</v>
      </c>
      <c r="G64" s="4">
        <v>276</v>
      </c>
      <c r="H64" s="4">
        <v>575</v>
      </c>
      <c r="I64" s="4">
        <v>737</v>
      </c>
      <c r="J64" s="4">
        <v>726</v>
      </c>
      <c r="K64" s="4">
        <v>723</v>
      </c>
      <c r="L64" s="4">
        <v>476</v>
      </c>
      <c r="M64" s="4">
        <v>174</v>
      </c>
      <c r="N64" s="4">
        <v>90</v>
      </c>
      <c r="O64" s="5">
        <f t="shared" si="0"/>
        <v>4812</v>
      </c>
    </row>
    <row r="65" spans="1:15" x14ac:dyDescent="0.25">
      <c r="A65" s="4" t="s">
        <v>129</v>
      </c>
      <c r="B65" s="4" t="s">
        <v>494</v>
      </c>
      <c r="C65" s="4">
        <v>476</v>
      </c>
      <c r="D65" s="4">
        <v>443</v>
      </c>
      <c r="E65" s="4">
        <v>403</v>
      </c>
      <c r="F65" s="4">
        <v>51</v>
      </c>
      <c r="G65" s="4">
        <v>92</v>
      </c>
      <c r="H65" s="4">
        <v>431</v>
      </c>
      <c r="I65" s="4">
        <v>571</v>
      </c>
      <c r="J65" s="4">
        <v>448</v>
      </c>
      <c r="K65" s="4">
        <v>402</v>
      </c>
      <c r="L65" s="4">
        <v>437</v>
      </c>
      <c r="M65" s="4">
        <v>383</v>
      </c>
      <c r="N65" s="4">
        <v>622</v>
      </c>
      <c r="O65" s="5">
        <f t="shared" si="0"/>
        <v>4759</v>
      </c>
    </row>
    <row r="66" spans="1:15" x14ac:dyDescent="0.25">
      <c r="A66" s="4" t="s">
        <v>131</v>
      </c>
      <c r="B66" s="4" t="s">
        <v>150</v>
      </c>
      <c r="C66" s="4">
        <v>576</v>
      </c>
      <c r="D66" s="4">
        <v>514</v>
      </c>
      <c r="E66" s="4">
        <v>316</v>
      </c>
      <c r="F66" s="4">
        <v>59</v>
      </c>
      <c r="G66" s="4">
        <v>115</v>
      </c>
      <c r="H66" s="4">
        <v>344</v>
      </c>
      <c r="I66" s="4">
        <v>522</v>
      </c>
      <c r="J66" s="4">
        <v>537</v>
      </c>
      <c r="K66" s="4">
        <v>523</v>
      </c>
      <c r="L66" s="4">
        <v>396</v>
      </c>
      <c r="M66" s="4">
        <v>268</v>
      </c>
      <c r="N66" s="4">
        <v>432</v>
      </c>
      <c r="O66" s="5">
        <f t="shared" si="0"/>
        <v>4602</v>
      </c>
    </row>
    <row r="67" spans="1:15" x14ac:dyDescent="0.25">
      <c r="A67" s="4" t="s">
        <v>133</v>
      </c>
      <c r="B67" s="4" t="s">
        <v>54</v>
      </c>
      <c r="C67" s="4">
        <v>208</v>
      </c>
      <c r="D67" s="4">
        <v>212</v>
      </c>
      <c r="E67" s="4">
        <v>199</v>
      </c>
      <c r="F67" s="4">
        <v>55</v>
      </c>
      <c r="G67" s="4">
        <v>68</v>
      </c>
      <c r="H67" s="4">
        <v>175</v>
      </c>
      <c r="I67" s="4">
        <v>223</v>
      </c>
      <c r="J67" s="4">
        <v>165</v>
      </c>
      <c r="K67" s="4">
        <v>412</v>
      </c>
      <c r="L67" s="4">
        <v>494</v>
      </c>
      <c r="M67" s="5">
        <v>1099</v>
      </c>
      <c r="N67" s="5">
        <v>1093</v>
      </c>
      <c r="O67" s="5">
        <f t="shared" ref="O67:O130" si="1">SUM(C67:N67)</f>
        <v>4403</v>
      </c>
    </row>
    <row r="68" spans="1:15" x14ac:dyDescent="0.25">
      <c r="A68" s="4" t="s">
        <v>135</v>
      </c>
      <c r="B68" s="4" t="s">
        <v>322</v>
      </c>
      <c r="C68" s="4">
        <v>396</v>
      </c>
      <c r="D68" s="4">
        <v>429</v>
      </c>
      <c r="E68" s="4">
        <v>379</v>
      </c>
      <c r="F68" s="4">
        <v>159</v>
      </c>
      <c r="G68" s="4">
        <v>216</v>
      </c>
      <c r="H68" s="4">
        <v>368</v>
      </c>
      <c r="I68" s="4">
        <v>492</v>
      </c>
      <c r="J68" s="4">
        <v>443</v>
      </c>
      <c r="K68" s="4">
        <v>416</v>
      </c>
      <c r="L68" s="4">
        <v>167</v>
      </c>
      <c r="M68" s="4">
        <v>293</v>
      </c>
      <c r="N68" s="4">
        <v>395</v>
      </c>
      <c r="O68" s="5">
        <f t="shared" si="1"/>
        <v>4153</v>
      </c>
    </row>
    <row r="69" spans="1:15" x14ac:dyDescent="0.25">
      <c r="A69" s="4" t="s">
        <v>137</v>
      </c>
      <c r="B69" s="4" t="s">
        <v>136</v>
      </c>
      <c r="C69" s="4">
        <v>395</v>
      </c>
      <c r="D69" s="4">
        <v>253</v>
      </c>
      <c r="E69" s="4">
        <v>171</v>
      </c>
      <c r="F69" s="4">
        <v>107</v>
      </c>
      <c r="G69" s="4">
        <v>191</v>
      </c>
      <c r="H69" s="4">
        <v>442</v>
      </c>
      <c r="I69" s="4">
        <v>421</v>
      </c>
      <c r="J69" s="4">
        <v>307</v>
      </c>
      <c r="K69" s="4">
        <v>334</v>
      </c>
      <c r="L69" s="4">
        <v>300</v>
      </c>
      <c r="M69" s="4">
        <v>391</v>
      </c>
      <c r="N69" s="4">
        <v>489</v>
      </c>
      <c r="O69" s="5">
        <f t="shared" si="1"/>
        <v>3801</v>
      </c>
    </row>
    <row r="70" spans="1:15" x14ac:dyDescent="0.25">
      <c r="A70" s="4" t="s">
        <v>139</v>
      </c>
      <c r="B70" s="4" t="s">
        <v>250</v>
      </c>
      <c r="C70" s="4">
        <v>368</v>
      </c>
      <c r="D70" s="4">
        <v>405</v>
      </c>
      <c r="E70" s="4">
        <v>412</v>
      </c>
      <c r="F70" s="4">
        <v>299</v>
      </c>
      <c r="G70" s="4">
        <v>237</v>
      </c>
      <c r="H70" s="4">
        <v>340</v>
      </c>
      <c r="I70" s="4">
        <v>427</v>
      </c>
      <c r="J70" s="4">
        <v>338</v>
      </c>
      <c r="K70" s="4">
        <v>295</v>
      </c>
      <c r="L70" s="4">
        <v>272</v>
      </c>
      <c r="M70" s="4">
        <v>133</v>
      </c>
      <c r="N70" s="4">
        <v>197</v>
      </c>
      <c r="O70" s="5">
        <f t="shared" si="1"/>
        <v>3723</v>
      </c>
    </row>
    <row r="71" spans="1:15" x14ac:dyDescent="0.25">
      <c r="A71" s="4" t="s">
        <v>141</v>
      </c>
      <c r="B71" s="4" t="s">
        <v>446</v>
      </c>
      <c r="C71" s="4">
        <v>355</v>
      </c>
      <c r="D71" s="4">
        <v>351</v>
      </c>
      <c r="E71" s="4">
        <v>378</v>
      </c>
      <c r="F71" s="4">
        <v>127</v>
      </c>
      <c r="G71" s="4">
        <v>73</v>
      </c>
      <c r="H71" s="4">
        <v>119</v>
      </c>
      <c r="I71" s="4">
        <v>207</v>
      </c>
      <c r="J71" s="4">
        <v>292</v>
      </c>
      <c r="K71" s="4">
        <v>247</v>
      </c>
      <c r="L71" s="4">
        <v>383</v>
      </c>
      <c r="M71" s="4">
        <v>399</v>
      </c>
      <c r="N71" s="4">
        <v>411</v>
      </c>
      <c r="O71" s="5">
        <f t="shared" si="1"/>
        <v>3342</v>
      </c>
    </row>
    <row r="72" spans="1:15" x14ac:dyDescent="0.25">
      <c r="A72" s="4" t="s">
        <v>143</v>
      </c>
      <c r="B72" s="4" t="s">
        <v>140</v>
      </c>
      <c r="C72" s="4">
        <v>232</v>
      </c>
      <c r="D72" s="4">
        <v>274</v>
      </c>
      <c r="E72" s="4">
        <v>250</v>
      </c>
      <c r="F72" s="4">
        <v>37</v>
      </c>
      <c r="G72" s="4">
        <v>52</v>
      </c>
      <c r="H72" s="4">
        <v>296</v>
      </c>
      <c r="I72" s="4">
        <v>382</v>
      </c>
      <c r="J72" s="4">
        <v>443</v>
      </c>
      <c r="K72" s="4">
        <v>450</v>
      </c>
      <c r="L72" s="4">
        <v>314</v>
      </c>
      <c r="M72" s="4">
        <v>271</v>
      </c>
      <c r="N72" s="4">
        <v>268</v>
      </c>
      <c r="O72" s="5">
        <f t="shared" si="1"/>
        <v>3269</v>
      </c>
    </row>
    <row r="73" spans="1:15" x14ac:dyDescent="0.25">
      <c r="A73" s="4" t="s">
        <v>145</v>
      </c>
      <c r="B73" s="4" t="s">
        <v>584</v>
      </c>
      <c r="C73" s="4">
        <v>538</v>
      </c>
      <c r="D73" s="4">
        <v>611</v>
      </c>
      <c r="E73" s="4">
        <v>388</v>
      </c>
      <c r="F73" s="4">
        <v>104</v>
      </c>
      <c r="G73" s="4">
        <v>91</v>
      </c>
      <c r="H73" s="4">
        <v>208</v>
      </c>
      <c r="I73" s="4">
        <v>268</v>
      </c>
      <c r="J73" s="4">
        <v>394</v>
      </c>
      <c r="K73" s="4">
        <v>230</v>
      </c>
      <c r="L73" s="4">
        <v>169</v>
      </c>
      <c r="M73" s="4">
        <v>149</v>
      </c>
      <c r="N73" s="4">
        <v>82</v>
      </c>
      <c r="O73" s="5">
        <f t="shared" si="1"/>
        <v>3232</v>
      </c>
    </row>
    <row r="74" spans="1:15" x14ac:dyDescent="0.25">
      <c r="A74" s="4" t="s">
        <v>147</v>
      </c>
      <c r="B74" s="4" t="s">
        <v>202</v>
      </c>
      <c r="C74" s="4">
        <v>593</v>
      </c>
      <c r="D74" s="4">
        <v>452</v>
      </c>
      <c r="E74" s="4">
        <v>280</v>
      </c>
      <c r="F74" s="4">
        <v>24</v>
      </c>
      <c r="G74" s="4">
        <v>82</v>
      </c>
      <c r="H74" s="4">
        <v>174</v>
      </c>
      <c r="I74" s="4">
        <v>214</v>
      </c>
      <c r="J74" s="4">
        <v>275</v>
      </c>
      <c r="K74" s="4">
        <v>321</v>
      </c>
      <c r="L74" s="4">
        <v>334</v>
      </c>
      <c r="M74" s="4">
        <v>287</v>
      </c>
      <c r="N74" s="4">
        <v>186</v>
      </c>
      <c r="O74" s="5">
        <f t="shared" si="1"/>
        <v>3222</v>
      </c>
    </row>
    <row r="75" spans="1:15" x14ac:dyDescent="0.25">
      <c r="A75" s="4" t="s">
        <v>149</v>
      </c>
      <c r="B75" s="4" t="s">
        <v>256</v>
      </c>
      <c r="C75" s="4">
        <v>755</v>
      </c>
      <c r="D75" s="4">
        <v>331</v>
      </c>
      <c r="E75" s="4">
        <v>167</v>
      </c>
      <c r="F75" s="4">
        <v>73</v>
      </c>
      <c r="G75" s="4">
        <v>166</v>
      </c>
      <c r="H75" s="4">
        <v>394</v>
      </c>
      <c r="I75" s="4">
        <v>387</v>
      </c>
      <c r="J75" s="4">
        <v>247</v>
      </c>
      <c r="K75" s="4">
        <v>177</v>
      </c>
      <c r="L75" s="4">
        <v>166</v>
      </c>
      <c r="M75" s="4">
        <v>146</v>
      </c>
      <c r="N75" s="4">
        <v>173</v>
      </c>
      <c r="O75" s="5">
        <f t="shared" si="1"/>
        <v>3182</v>
      </c>
    </row>
    <row r="76" spans="1:15" x14ac:dyDescent="0.25">
      <c r="A76" s="4" t="s">
        <v>151</v>
      </c>
      <c r="B76" s="4" t="s">
        <v>124</v>
      </c>
      <c r="C76" s="4">
        <v>201</v>
      </c>
      <c r="D76" s="4">
        <v>249</v>
      </c>
      <c r="E76" s="4">
        <v>223</v>
      </c>
      <c r="F76" s="4">
        <v>52</v>
      </c>
      <c r="G76" s="4">
        <v>97</v>
      </c>
      <c r="H76" s="4">
        <v>281</v>
      </c>
      <c r="I76" s="4">
        <v>410</v>
      </c>
      <c r="J76" s="4">
        <v>350</v>
      </c>
      <c r="K76" s="4">
        <v>316</v>
      </c>
      <c r="L76" s="4">
        <v>289</v>
      </c>
      <c r="M76" s="4">
        <v>361</v>
      </c>
      <c r="N76" s="4">
        <v>339</v>
      </c>
      <c r="O76" s="5">
        <f t="shared" si="1"/>
        <v>3168</v>
      </c>
    </row>
    <row r="77" spans="1:15" x14ac:dyDescent="0.25">
      <c r="A77" s="4" t="s">
        <v>153</v>
      </c>
      <c r="B77" s="4" t="s">
        <v>148</v>
      </c>
      <c r="C77" s="4">
        <v>231</v>
      </c>
      <c r="D77" s="4">
        <v>289</v>
      </c>
      <c r="E77" s="4">
        <v>245</v>
      </c>
      <c r="F77" s="4">
        <v>59</v>
      </c>
      <c r="G77" s="4">
        <v>77</v>
      </c>
      <c r="H77" s="4">
        <v>396</v>
      </c>
      <c r="I77" s="4">
        <v>438</v>
      </c>
      <c r="J77" s="4"/>
      <c r="K77" s="4">
        <v>310</v>
      </c>
      <c r="L77" s="4">
        <v>338</v>
      </c>
      <c r="M77" s="4">
        <v>334</v>
      </c>
      <c r="N77" s="4">
        <v>313</v>
      </c>
      <c r="O77" s="5">
        <f t="shared" si="1"/>
        <v>3030</v>
      </c>
    </row>
    <row r="78" spans="1:15" x14ac:dyDescent="0.25">
      <c r="A78" s="4" t="s">
        <v>155</v>
      </c>
      <c r="B78" s="4" t="s">
        <v>114</v>
      </c>
      <c r="C78" s="4">
        <v>227</v>
      </c>
      <c r="D78" s="4">
        <v>237</v>
      </c>
      <c r="E78" s="4">
        <v>190</v>
      </c>
      <c r="F78" s="4">
        <v>104</v>
      </c>
      <c r="G78" s="4">
        <v>86</v>
      </c>
      <c r="H78" s="4">
        <v>248</v>
      </c>
      <c r="I78" s="4">
        <v>281</v>
      </c>
      <c r="J78" s="4">
        <v>204</v>
      </c>
      <c r="K78" s="4">
        <v>291</v>
      </c>
      <c r="L78" s="4">
        <v>417</v>
      </c>
      <c r="M78" s="4">
        <v>337</v>
      </c>
      <c r="N78" s="4">
        <v>329</v>
      </c>
      <c r="O78" s="5">
        <f t="shared" si="1"/>
        <v>2951</v>
      </c>
    </row>
    <row r="79" spans="1:15" x14ac:dyDescent="0.25">
      <c r="A79" s="4" t="s">
        <v>157</v>
      </c>
      <c r="B79" s="4" t="s">
        <v>168</v>
      </c>
      <c r="C79" s="4">
        <v>234</v>
      </c>
      <c r="D79" s="4">
        <v>233</v>
      </c>
      <c r="E79" s="4">
        <v>188</v>
      </c>
      <c r="F79" s="4">
        <v>66</v>
      </c>
      <c r="G79" s="4">
        <v>102</v>
      </c>
      <c r="H79" s="4">
        <v>221</v>
      </c>
      <c r="I79" s="4">
        <v>243</v>
      </c>
      <c r="J79" s="4">
        <v>283</v>
      </c>
      <c r="K79" s="4">
        <v>280</v>
      </c>
      <c r="L79" s="4">
        <v>273</v>
      </c>
      <c r="M79" s="4">
        <v>421</v>
      </c>
      <c r="N79" s="4">
        <v>325</v>
      </c>
      <c r="O79" s="5">
        <f t="shared" si="1"/>
        <v>2869</v>
      </c>
    </row>
    <row r="80" spans="1:15" x14ac:dyDescent="0.25">
      <c r="A80" s="4" t="s">
        <v>159</v>
      </c>
      <c r="B80" s="4" t="s">
        <v>160</v>
      </c>
      <c r="C80" s="4">
        <v>164</v>
      </c>
      <c r="D80" s="4">
        <v>112</v>
      </c>
      <c r="E80" s="4">
        <v>100</v>
      </c>
      <c r="F80" s="4">
        <v>106</v>
      </c>
      <c r="G80" s="4">
        <v>123</v>
      </c>
      <c r="H80" s="4">
        <v>396</v>
      </c>
      <c r="I80" s="4">
        <v>557</v>
      </c>
      <c r="J80" s="4">
        <v>264</v>
      </c>
      <c r="K80" s="4">
        <v>254</v>
      </c>
      <c r="L80" s="4">
        <v>249</v>
      </c>
      <c r="M80" s="4">
        <v>94</v>
      </c>
      <c r="N80" s="4">
        <v>404</v>
      </c>
      <c r="O80" s="5">
        <f t="shared" si="1"/>
        <v>2823</v>
      </c>
    </row>
    <row r="81" spans="1:15" x14ac:dyDescent="0.25">
      <c r="A81" s="4" t="s">
        <v>163</v>
      </c>
      <c r="B81" s="4" t="s">
        <v>108</v>
      </c>
      <c r="C81" s="4">
        <v>181</v>
      </c>
      <c r="D81" s="4">
        <v>290</v>
      </c>
      <c r="E81" s="4">
        <v>245</v>
      </c>
      <c r="F81" s="4">
        <v>116</v>
      </c>
      <c r="G81" s="4">
        <v>131</v>
      </c>
      <c r="H81" s="4">
        <v>58</v>
      </c>
      <c r="I81" s="4">
        <v>129</v>
      </c>
      <c r="J81" s="4">
        <v>133</v>
      </c>
      <c r="K81" s="4">
        <v>321</v>
      </c>
      <c r="L81" s="4">
        <v>224</v>
      </c>
      <c r="M81" s="4">
        <v>383</v>
      </c>
      <c r="N81" s="4">
        <v>384</v>
      </c>
      <c r="O81" s="5">
        <f t="shared" si="1"/>
        <v>2595</v>
      </c>
    </row>
    <row r="82" spans="1:15" x14ac:dyDescent="0.25">
      <c r="A82" s="4" t="s">
        <v>161</v>
      </c>
      <c r="B82" s="4" t="s">
        <v>398</v>
      </c>
      <c r="C82" s="4">
        <v>328</v>
      </c>
      <c r="D82" s="4">
        <v>269</v>
      </c>
      <c r="E82" s="4">
        <v>324</v>
      </c>
      <c r="F82" s="4">
        <v>60</v>
      </c>
      <c r="G82" s="4">
        <v>59</v>
      </c>
      <c r="H82" s="4">
        <v>143</v>
      </c>
      <c r="I82" s="4">
        <v>415</v>
      </c>
      <c r="J82" s="4">
        <v>152</v>
      </c>
      <c r="K82" s="4">
        <v>261</v>
      </c>
      <c r="L82" s="4">
        <v>133</v>
      </c>
      <c r="M82" s="4">
        <v>168</v>
      </c>
      <c r="N82" s="4">
        <v>271</v>
      </c>
      <c r="O82" s="5">
        <f t="shared" si="1"/>
        <v>2583</v>
      </c>
    </row>
    <row r="83" spans="1:15" x14ac:dyDescent="0.25">
      <c r="A83" s="4" t="s">
        <v>165</v>
      </c>
      <c r="B83" s="4" t="s">
        <v>132</v>
      </c>
      <c r="C83" s="4">
        <v>191</v>
      </c>
      <c r="D83" s="4">
        <v>178</v>
      </c>
      <c r="E83" s="4">
        <v>219</v>
      </c>
      <c r="F83" s="4">
        <v>69</v>
      </c>
      <c r="G83" s="4">
        <v>86</v>
      </c>
      <c r="H83" s="4">
        <v>166</v>
      </c>
      <c r="I83" s="4">
        <v>175</v>
      </c>
      <c r="J83" s="4">
        <v>218</v>
      </c>
      <c r="K83" s="4">
        <v>352</v>
      </c>
      <c r="L83" s="4">
        <v>379</v>
      </c>
      <c r="M83" s="4">
        <v>285</v>
      </c>
      <c r="N83" s="4">
        <v>226</v>
      </c>
      <c r="O83" s="5">
        <f t="shared" si="1"/>
        <v>2544</v>
      </c>
    </row>
    <row r="84" spans="1:15" x14ac:dyDescent="0.25">
      <c r="A84" s="4" t="s">
        <v>167</v>
      </c>
      <c r="B84" s="4" t="s">
        <v>152</v>
      </c>
      <c r="C84" s="4">
        <v>221</v>
      </c>
      <c r="D84" s="4">
        <v>229</v>
      </c>
      <c r="E84" s="4">
        <v>197</v>
      </c>
      <c r="F84" s="4">
        <v>61</v>
      </c>
      <c r="G84" s="4">
        <v>65</v>
      </c>
      <c r="H84" s="4">
        <v>177</v>
      </c>
      <c r="I84" s="4">
        <v>299</v>
      </c>
      <c r="J84" s="4">
        <v>349</v>
      </c>
      <c r="K84" s="4">
        <v>292</v>
      </c>
      <c r="L84" s="4">
        <v>282</v>
      </c>
      <c r="M84" s="4">
        <v>172</v>
      </c>
      <c r="N84" s="4">
        <v>116</v>
      </c>
      <c r="O84" s="5">
        <f t="shared" si="1"/>
        <v>2460</v>
      </c>
    </row>
    <row r="85" spans="1:15" x14ac:dyDescent="0.25">
      <c r="A85" s="4" t="s">
        <v>169</v>
      </c>
      <c r="B85" s="4" t="s">
        <v>298</v>
      </c>
      <c r="C85" s="4">
        <v>181</v>
      </c>
      <c r="D85" s="4">
        <v>215</v>
      </c>
      <c r="E85" s="4">
        <v>163</v>
      </c>
      <c r="F85" s="4">
        <v>41</v>
      </c>
      <c r="G85" s="4">
        <v>76</v>
      </c>
      <c r="H85" s="4">
        <v>234</v>
      </c>
      <c r="I85" s="4">
        <v>269</v>
      </c>
      <c r="J85" s="4">
        <v>199</v>
      </c>
      <c r="K85" s="4">
        <v>233</v>
      </c>
      <c r="L85" s="4">
        <v>164</v>
      </c>
      <c r="M85" s="4">
        <v>176</v>
      </c>
      <c r="N85" s="4">
        <v>309</v>
      </c>
      <c r="O85" s="5">
        <f t="shared" si="1"/>
        <v>2260</v>
      </c>
    </row>
    <row r="86" spans="1:15" x14ac:dyDescent="0.25">
      <c r="A86" s="4" t="s">
        <v>171</v>
      </c>
      <c r="B86" s="4" t="s">
        <v>214</v>
      </c>
      <c r="C86" s="4">
        <v>198</v>
      </c>
      <c r="D86" s="4">
        <v>353</v>
      </c>
      <c r="E86" s="4">
        <v>217</v>
      </c>
      <c r="F86" s="4">
        <v>43</v>
      </c>
      <c r="G86" s="4">
        <v>66</v>
      </c>
      <c r="H86" s="4">
        <v>230</v>
      </c>
      <c r="I86" s="4">
        <v>129</v>
      </c>
      <c r="J86" s="4">
        <v>79</v>
      </c>
      <c r="K86" s="4">
        <v>114</v>
      </c>
      <c r="L86" s="4">
        <v>180</v>
      </c>
      <c r="M86" s="4">
        <v>203</v>
      </c>
      <c r="N86" s="4">
        <v>381</v>
      </c>
      <c r="O86" s="5">
        <f t="shared" si="1"/>
        <v>2193</v>
      </c>
    </row>
    <row r="87" spans="1:15" x14ac:dyDescent="0.25">
      <c r="A87" s="4" t="s">
        <v>173</v>
      </c>
      <c r="B87" s="4" t="s">
        <v>174</v>
      </c>
      <c r="C87" s="4">
        <v>42</v>
      </c>
      <c r="D87" s="4">
        <v>360</v>
      </c>
      <c r="E87" s="4">
        <v>115</v>
      </c>
      <c r="F87" s="4">
        <v>24</v>
      </c>
      <c r="G87" s="4">
        <v>64</v>
      </c>
      <c r="H87" s="4">
        <v>171</v>
      </c>
      <c r="I87" s="4">
        <v>166</v>
      </c>
      <c r="J87" s="4">
        <v>221</v>
      </c>
      <c r="K87" s="4">
        <v>307</v>
      </c>
      <c r="L87" s="4">
        <v>301</v>
      </c>
      <c r="M87" s="4">
        <v>220</v>
      </c>
      <c r="N87" s="4">
        <v>169</v>
      </c>
      <c r="O87" s="5">
        <f t="shared" si="1"/>
        <v>2160</v>
      </c>
    </row>
    <row r="88" spans="1:15" x14ac:dyDescent="0.25">
      <c r="A88" s="4" t="s">
        <v>175</v>
      </c>
      <c r="B88" s="4" t="s">
        <v>574</v>
      </c>
      <c r="C88" s="4"/>
      <c r="D88" s="4"/>
      <c r="E88" s="4"/>
      <c r="F88" s="4"/>
      <c r="G88" s="4"/>
      <c r="H88" s="4"/>
      <c r="I88" s="4"/>
      <c r="J88" s="4">
        <v>10</v>
      </c>
      <c r="K88" s="4">
        <v>378</v>
      </c>
      <c r="L88" s="4">
        <v>580</v>
      </c>
      <c r="M88" s="4">
        <v>508</v>
      </c>
      <c r="N88" s="4">
        <v>638</v>
      </c>
      <c r="O88" s="5">
        <f t="shared" si="1"/>
        <v>2114</v>
      </c>
    </row>
    <row r="89" spans="1:15" x14ac:dyDescent="0.25">
      <c r="A89" s="4" t="s">
        <v>177</v>
      </c>
      <c r="B89" s="4" t="s">
        <v>158</v>
      </c>
      <c r="C89" s="4">
        <v>202</v>
      </c>
      <c r="D89" s="4">
        <v>181</v>
      </c>
      <c r="E89" s="4">
        <v>143</v>
      </c>
      <c r="F89" s="4">
        <v>48</v>
      </c>
      <c r="G89" s="4">
        <v>50</v>
      </c>
      <c r="H89" s="4">
        <v>143</v>
      </c>
      <c r="I89" s="4">
        <v>172</v>
      </c>
      <c r="J89" s="4">
        <v>182</v>
      </c>
      <c r="K89" s="4">
        <v>174</v>
      </c>
      <c r="L89" s="4">
        <v>208</v>
      </c>
      <c r="M89" s="4">
        <v>197</v>
      </c>
      <c r="N89" s="4">
        <v>250</v>
      </c>
      <c r="O89" s="5">
        <f t="shared" si="1"/>
        <v>1950</v>
      </c>
    </row>
    <row r="90" spans="1:15" x14ac:dyDescent="0.25">
      <c r="A90" s="4" t="s">
        <v>179</v>
      </c>
      <c r="B90" s="4" t="s">
        <v>408</v>
      </c>
      <c r="C90" s="4">
        <v>112</v>
      </c>
      <c r="D90" s="4">
        <v>85</v>
      </c>
      <c r="E90" s="4">
        <v>66</v>
      </c>
      <c r="F90" s="4">
        <v>22</v>
      </c>
      <c r="G90" s="4">
        <v>66</v>
      </c>
      <c r="H90" s="4">
        <v>83</v>
      </c>
      <c r="I90" s="4">
        <v>186</v>
      </c>
      <c r="J90" s="4">
        <v>266</v>
      </c>
      <c r="K90" s="4">
        <v>200</v>
      </c>
      <c r="L90" s="4">
        <v>270</v>
      </c>
      <c r="M90" s="4">
        <v>281</v>
      </c>
      <c r="N90" s="4">
        <v>268</v>
      </c>
      <c r="O90" s="5">
        <f t="shared" si="1"/>
        <v>1905</v>
      </c>
    </row>
    <row r="91" spans="1:15" x14ac:dyDescent="0.25">
      <c r="A91" s="4" t="s">
        <v>181</v>
      </c>
      <c r="B91" s="4" t="s">
        <v>226</v>
      </c>
      <c r="C91" s="4">
        <v>189</v>
      </c>
      <c r="D91" s="4">
        <v>175</v>
      </c>
      <c r="E91" s="4">
        <v>101</v>
      </c>
      <c r="F91" s="4">
        <v>32</v>
      </c>
      <c r="G91" s="4">
        <v>46</v>
      </c>
      <c r="H91" s="4">
        <v>137</v>
      </c>
      <c r="I91" s="4">
        <v>166</v>
      </c>
      <c r="J91" s="4">
        <v>207</v>
      </c>
      <c r="K91" s="4">
        <v>242</v>
      </c>
      <c r="L91" s="4">
        <v>260</v>
      </c>
      <c r="M91" s="4">
        <v>193</v>
      </c>
      <c r="N91" s="4">
        <v>118</v>
      </c>
      <c r="O91" s="5">
        <f t="shared" si="1"/>
        <v>1866</v>
      </c>
    </row>
    <row r="92" spans="1:15" x14ac:dyDescent="0.25">
      <c r="A92" s="4" t="s">
        <v>183</v>
      </c>
      <c r="B92" s="4" t="s">
        <v>142</v>
      </c>
      <c r="C92" s="4">
        <v>100</v>
      </c>
      <c r="D92" s="4">
        <v>100</v>
      </c>
      <c r="E92" s="4">
        <v>100</v>
      </c>
      <c r="F92" s="4">
        <v>40</v>
      </c>
      <c r="G92" s="4">
        <v>55</v>
      </c>
      <c r="H92" s="4">
        <v>149</v>
      </c>
      <c r="I92" s="4">
        <v>200</v>
      </c>
      <c r="J92" s="4">
        <v>170</v>
      </c>
      <c r="K92" s="4">
        <v>200</v>
      </c>
      <c r="L92" s="4">
        <v>200</v>
      </c>
      <c r="M92" s="4">
        <v>230</v>
      </c>
      <c r="N92" s="4">
        <v>260</v>
      </c>
      <c r="O92" s="5">
        <f t="shared" si="1"/>
        <v>1804</v>
      </c>
    </row>
    <row r="93" spans="1:15" x14ac:dyDescent="0.25">
      <c r="A93" s="4" t="s">
        <v>185</v>
      </c>
      <c r="B93" s="4" t="s">
        <v>190</v>
      </c>
      <c r="C93" s="4">
        <v>242</v>
      </c>
      <c r="D93" s="4">
        <v>230</v>
      </c>
      <c r="E93" s="4">
        <v>150</v>
      </c>
      <c r="F93" s="4">
        <v>46</v>
      </c>
      <c r="G93" s="4">
        <v>39</v>
      </c>
      <c r="H93" s="4">
        <v>165</v>
      </c>
      <c r="I93" s="4">
        <v>139</v>
      </c>
      <c r="J93" s="4">
        <v>132</v>
      </c>
      <c r="K93" s="4">
        <v>70</v>
      </c>
      <c r="L93" s="4">
        <v>142</v>
      </c>
      <c r="M93" s="4">
        <v>154</v>
      </c>
      <c r="N93" s="4">
        <v>138</v>
      </c>
      <c r="O93" s="5">
        <f t="shared" si="1"/>
        <v>1647</v>
      </c>
    </row>
    <row r="94" spans="1:15" x14ac:dyDescent="0.25">
      <c r="A94" s="4" t="s">
        <v>187</v>
      </c>
      <c r="B94" s="4" t="s">
        <v>196</v>
      </c>
      <c r="C94" s="4">
        <v>229</v>
      </c>
      <c r="D94" s="4">
        <v>208</v>
      </c>
      <c r="E94" s="4">
        <v>159</v>
      </c>
      <c r="F94" s="4">
        <v>34</v>
      </c>
      <c r="G94" s="4">
        <v>61</v>
      </c>
      <c r="H94" s="4">
        <v>114</v>
      </c>
      <c r="I94" s="4">
        <v>146</v>
      </c>
      <c r="J94" s="4">
        <v>136</v>
      </c>
      <c r="K94" s="4">
        <v>149</v>
      </c>
      <c r="L94" s="4">
        <v>150</v>
      </c>
      <c r="M94" s="4">
        <v>119</v>
      </c>
      <c r="N94" s="4">
        <v>120</v>
      </c>
      <c r="O94" s="5">
        <f t="shared" si="1"/>
        <v>1625</v>
      </c>
    </row>
    <row r="95" spans="1:15" x14ac:dyDescent="0.25">
      <c r="A95" s="4" t="s">
        <v>189</v>
      </c>
      <c r="B95" s="4" t="s">
        <v>96</v>
      </c>
      <c r="C95" s="4"/>
      <c r="D95" s="4"/>
      <c r="E95" s="4"/>
      <c r="F95" s="4"/>
      <c r="G95" s="4"/>
      <c r="H95" s="4"/>
      <c r="I95" s="4"/>
      <c r="J95" s="4">
        <v>130</v>
      </c>
      <c r="K95" s="4">
        <v>330</v>
      </c>
      <c r="L95" s="4">
        <v>172</v>
      </c>
      <c r="M95" s="4">
        <v>339</v>
      </c>
      <c r="N95" s="4">
        <v>649</v>
      </c>
      <c r="O95" s="5">
        <f t="shared" si="1"/>
        <v>1620</v>
      </c>
    </row>
    <row r="96" spans="1:15" x14ac:dyDescent="0.25">
      <c r="A96" s="4" t="s">
        <v>191</v>
      </c>
      <c r="B96" s="4" t="s">
        <v>146</v>
      </c>
      <c r="C96" s="4">
        <v>195</v>
      </c>
      <c r="D96" s="4">
        <v>176</v>
      </c>
      <c r="E96" s="4">
        <v>162</v>
      </c>
      <c r="F96" s="4">
        <v>37</v>
      </c>
      <c r="G96" s="4">
        <v>58</v>
      </c>
      <c r="H96" s="4">
        <v>106</v>
      </c>
      <c r="I96" s="4">
        <v>95</v>
      </c>
      <c r="J96" s="4">
        <v>121</v>
      </c>
      <c r="K96" s="4">
        <v>140</v>
      </c>
      <c r="L96" s="4">
        <v>166</v>
      </c>
      <c r="M96" s="4">
        <v>141</v>
      </c>
      <c r="N96" s="4">
        <v>181</v>
      </c>
      <c r="O96" s="5">
        <f t="shared" si="1"/>
        <v>1578</v>
      </c>
    </row>
    <row r="97" spans="1:15" x14ac:dyDescent="0.25">
      <c r="A97" s="4" t="s">
        <v>193</v>
      </c>
      <c r="B97" s="4" t="s">
        <v>180</v>
      </c>
      <c r="C97" s="4"/>
      <c r="D97" s="4"/>
      <c r="E97" s="4"/>
      <c r="F97" s="4"/>
      <c r="G97" s="4"/>
      <c r="H97" s="4"/>
      <c r="I97" s="4"/>
      <c r="J97" s="4">
        <v>248</v>
      </c>
      <c r="K97" s="4">
        <v>370</v>
      </c>
      <c r="L97" s="4">
        <v>332</v>
      </c>
      <c r="M97" s="4">
        <v>273</v>
      </c>
      <c r="N97" s="4">
        <v>289</v>
      </c>
      <c r="O97" s="5">
        <f t="shared" si="1"/>
        <v>1512</v>
      </c>
    </row>
    <row r="98" spans="1:15" x14ac:dyDescent="0.25">
      <c r="A98" s="4" t="s">
        <v>195</v>
      </c>
      <c r="B98" s="4" t="s">
        <v>170</v>
      </c>
      <c r="C98" s="4">
        <v>284</v>
      </c>
      <c r="D98" s="4">
        <v>86</v>
      </c>
      <c r="E98" s="4">
        <v>15</v>
      </c>
      <c r="F98" s="4">
        <v>64</v>
      </c>
      <c r="G98" s="4">
        <v>124</v>
      </c>
      <c r="H98" s="4">
        <v>230</v>
      </c>
      <c r="I98" s="4">
        <v>105</v>
      </c>
      <c r="J98" s="4">
        <v>40</v>
      </c>
      <c r="K98" s="4">
        <v>22</v>
      </c>
      <c r="L98" s="4">
        <v>29</v>
      </c>
      <c r="M98" s="4">
        <v>194</v>
      </c>
      <c r="N98" s="4">
        <v>283</v>
      </c>
      <c r="O98" s="5">
        <f t="shared" si="1"/>
        <v>1476</v>
      </c>
    </row>
    <row r="99" spans="1:15" x14ac:dyDescent="0.25">
      <c r="A99" s="4" t="s">
        <v>197</v>
      </c>
      <c r="B99" s="4" t="s">
        <v>346</v>
      </c>
      <c r="C99" s="4">
        <v>170</v>
      </c>
      <c r="D99" s="4">
        <v>49</v>
      </c>
      <c r="E99" s="4">
        <v>139</v>
      </c>
      <c r="F99" s="4">
        <v>56</v>
      </c>
      <c r="G99" s="4">
        <v>58</v>
      </c>
      <c r="H99" s="4">
        <v>126</v>
      </c>
      <c r="I99" s="4">
        <v>137</v>
      </c>
      <c r="J99" s="4">
        <v>194</v>
      </c>
      <c r="K99" s="4">
        <v>173</v>
      </c>
      <c r="L99" s="4">
        <v>154</v>
      </c>
      <c r="M99" s="4">
        <v>99</v>
      </c>
      <c r="N99" s="4">
        <v>61</v>
      </c>
      <c r="O99" s="5">
        <f t="shared" si="1"/>
        <v>1416</v>
      </c>
    </row>
    <row r="100" spans="1:15" x14ac:dyDescent="0.25">
      <c r="A100" s="4" t="s">
        <v>199</v>
      </c>
      <c r="B100" s="4" t="s">
        <v>577</v>
      </c>
      <c r="C100" s="4">
        <v>113</v>
      </c>
      <c r="D100" s="4">
        <v>115</v>
      </c>
      <c r="E100" s="4">
        <v>73</v>
      </c>
      <c r="F100" s="4">
        <v>19</v>
      </c>
      <c r="G100" s="4">
        <v>40</v>
      </c>
      <c r="H100" s="4">
        <v>28</v>
      </c>
      <c r="I100" s="4">
        <v>74</v>
      </c>
      <c r="J100" s="4">
        <v>92</v>
      </c>
      <c r="K100" s="4">
        <v>198</v>
      </c>
      <c r="L100" s="4">
        <v>219</v>
      </c>
      <c r="M100" s="4">
        <v>188</v>
      </c>
      <c r="N100" s="4">
        <v>142</v>
      </c>
      <c r="O100" s="5">
        <f t="shared" si="1"/>
        <v>1301</v>
      </c>
    </row>
    <row r="101" spans="1:15" x14ac:dyDescent="0.25">
      <c r="A101" s="4" t="s">
        <v>201</v>
      </c>
      <c r="B101" s="4" t="s">
        <v>156</v>
      </c>
      <c r="C101" s="4">
        <v>52</v>
      </c>
      <c r="D101" s="4">
        <v>112</v>
      </c>
      <c r="E101" s="4">
        <v>68</v>
      </c>
      <c r="F101" s="4">
        <v>38</v>
      </c>
      <c r="G101" s="4">
        <v>58</v>
      </c>
      <c r="H101" s="4">
        <v>172</v>
      </c>
      <c r="I101" s="4">
        <v>134</v>
      </c>
      <c r="J101" s="4">
        <v>98</v>
      </c>
      <c r="K101" s="4">
        <v>126</v>
      </c>
      <c r="L101" s="4">
        <v>142</v>
      </c>
      <c r="M101" s="4">
        <v>99</v>
      </c>
      <c r="N101" s="4">
        <v>174</v>
      </c>
      <c r="O101" s="5">
        <f t="shared" si="1"/>
        <v>1273</v>
      </c>
    </row>
    <row r="102" spans="1:15" x14ac:dyDescent="0.25">
      <c r="A102" s="4" t="s">
        <v>203</v>
      </c>
      <c r="B102" s="4" t="s">
        <v>392</v>
      </c>
      <c r="C102" s="4">
        <v>78</v>
      </c>
      <c r="D102" s="4">
        <v>87</v>
      </c>
      <c r="E102" s="4">
        <v>60</v>
      </c>
      <c r="F102" s="4">
        <v>21</v>
      </c>
      <c r="G102" s="4">
        <v>28</v>
      </c>
      <c r="H102" s="4">
        <v>64</v>
      </c>
      <c r="I102" s="4">
        <v>89</v>
      </c>
      <c r="J102" s="4">
        <v>99</v>
      </c>
      <c r="K102" s="4">
        <v>160</v>
      </c>
      <c r="L102" s="4">
        <v>188</v>
      </c>
      <c r="M102" s="4">
        <v>219</v>
      </c>
      <c r="N102" s="4">
        <v>154</v>
      </c>
      <c r="O102" s="5">
        <f t="shared" si="1"/>
        <v>1247</v>
      </c>
    </row>
    <row r="103" spans="1:15" x14ac:dyDescent="0.25">
      <c r="A103" s="4" t="s">
        <v>205</v>
      </c>
      <c r="B103" s="4" t="s">
        <v>230</v>
      </c>
      <c r="C103" s="4">
        <v>133</v>
      </c>
      <c r="D103" s="4">
        <v>182</v>
      </c>
      <c r="E103" s="4">
        <v>115</v>
      </c>
      <c r="F103" s="4">
        <v>25</v>
      </c>
      <c r="G103" s="4">
        <v>30</v>
      </c>
      <c r="H103" s="4">
        <v>160</v>
      </c>
      <c r="I103" s="4">
        <v>216</v>
      </c>
      <c r="J103" s="4">
        <v>124</v>
      </c>
      <c r="K103" s="4">
        <v>122</v>
      </c>
      <c r="L103" s="4">
        <v>60</v>
      </c>
      <c r="M103" s="4">
        <v>39</v>
      </c>
      <c r="N103" s="4">
        <v>23</v>
      </c>
      <c r="O103" s="5">
        <f t="shared" si="1"/>
        <v>1229</v>
      </c>
    </row>
    <row r="104" spans="1:15" x14ac:dyDescent="0.25">
      <c r="A104" s="4" t="s">
        <v>207</v>
      </c>
      <c r="B104" s="4" t="s">
        <v>206</v>
      </c>
      <c r="C104" s="4"/>
      <c r="D104" s="4"/>
      <c r="E104" s="4"/>
      <c r="F104" s="4"/>
      <c r="G104" s="4"/>
      <c r="H104" s="4">
        <v>2</v>
      </c>
      <c r="I104" s="4">
        <v>111</v>
      </c>
      <c r="J104" s="4">
        <v>190</v>
      </c>
      <c r="K104" s="4">
        <v>228</v>
      </c>
      <c r="L104" s="4">
        <v>204</v>
      </c>
      <c r="M104" s="4">
        <v>220</v>
      </c>
      <c r="N104" s="4">
        <v>257</v>
      </c>
      <c r="O104" s="5">
        <f t="shared" si="1"/>
        <v>1212</v>
      </c>
    </row>
    <row r="105" spans="1:15" x14ac:dyDescent="0.25">
      <c r="A105" s="4" t="s">
        <v>209</v>
      </c>
      <c r="B105" s="4" t="s">
        <v>536</v>
      </c>
      <c r="C105" s="4">
        <v>211</v>
      </c>
      <c r="D105" s="4">
        <v>180</v>
      </c>
      <c r="E105" s="4">
        <v>157</v>
      </c>
      <c r="F105" s="4">
        <v>30</v>
      </c>
      <c r="G105" s="4">
        <v>38</v>
      </c>
      <c r="H105" s="4">
        <v>120</v>
      </c>
      <c r="I105" s="4">
        <v>135</v>
      </c>
      <c r="J105" s="4">
        <v>83</v>
      </c>
      <c r="K105" s="4">
        <v>65</v>
      </c>
      <c r="L105" s="4">
        <v>44</v>
      </c>
      <c r="M105" s="4">
        <v>47</v>
      </c>
      <c r="N105" s="4">
        <v>50</v>
      </c>
      <c r="O105" s="5">
        <f t="shared" si="1"/>
        <v>1160</v>
      </c>
    </row>
    <row r="106" spans="1:15" x14ac:dyDescent="0.25">
      <c r="A106" s="4" t="s">
        <v>211</v>
      </c>
      <c r="B106" s="4" t="s">
        <v>242</v>
      </c>
      <c r="C106" s="4">
        <v>147</v>
      </c>
      <c r="D106" s="4">
        <v>128</v>
      </c>
      <c r="E106" s="4">
        <v>122</v>
      </c>
      <c r="F106" s="4">
        <v>20</v>
      </c>
      <c r="G106" s="4">
        <v>36</v>
      </c>
      <c r="H106" s="4">
        <v>86</v>
      </c>
      <c r="I106" s="4">
        <v>96</v>
      </c>
      <c r="J106" s="4">
        <v>121</v>
      </c>
      <c r="K106" s="4">
        <v>81</v>
      </c>
      <c r="L106" s="4">
        <v>91</v>
      </c>
      <c r="M106" s="4">
        <v>80</v>
      </c>
      <c r="N106" s="4">
        <v>122</v>
      </c>
      <c r="O106" s="5">
        <f t="shared" si="1"/>
        <v>1130</v>
      </c>
    </row>
    <row r="107" spans="1:15" x14ac:dyDescent="0.25">
      <c r="A107" s="4" t="s">
        <v>213</v>
      </c>
      <c r="B107" s="4" t="s">
        <v>440</v>
      </c>
      <c r="C107" s="4">
        <v>127</v>
      </c>
      <c r="D107" s="4">
        <v>151</v>
      </c>
      <c r="E107" s="4">
        <v>85</v>
      </c>
      <c r="F107" s="4">
        <v>19</v>
      </c>
      <c r="G107" s="4">
        <v>15</v>
      </c>
      <c r="H107" s="4">
        <v>92</v>
      </c>
      <c r="I107" s="4">
        <v>87</v>
      </c>
      <c r="J107" s="4">
        <v>68</v>
      </c>
      <c r="K107" s="4">
        <v>109</v>
      </c>
      <c r="L107" s="4">
        <v>79</v>
      </c>
      <c r="M107" s="4">
        <v>105</v>
      </c>
      <c r="N107" s="4">
        <v>173</v>
      </c>
      <c r="O107" s="5">
        <f t="shared" si="1"/>
        <v>1110</v>
      </c>
    </row>
    <row r="108" spans="1:15" x14ac:dyDescent="0.25">
      <c r="A108" s="4" t="s">
        <v>215</v>
      </c>
      <c r="B108" s="4" t="s">
        <v>310</v>
      </c>
      <c r="C108" s="4">
        <v>102</v>
      </c>
      <c r="D108" s="4">
        <v>104</v>
      </c>
      <c r="E108" s="4">
        <v>76</v>
      </c>
      <c r="F108" s="4">
        <v>55</v>
      </c>
      <c r="G108" s="4">
        <v>45</v>
      </c>
      <c r="H108" s="4">
        <v>86</v>
      </c>
      <c r="I108" s="4">
        <v>118</v>
      </c>
      <c r="J108" s="4">
        <v>128</v>
      </c>
      <c r="K108" s="4">
        <v>112</v>
      </c>
      <c r="L108" s="4">
        <v>112</v>
      </c>
      <c r="M108" s="4">
        <v>83</v>
      </c>
      <c r="N108" s="4">
        <v>72</v>
      </c>
      <c r="O108" s="5">
        <f t="shared" si="1"/>
        <v>1093</v>
      </c>
    </row>
    <row r="109" spans="1:15" x14ac:dyDescent="0.25">
      <c r="A109" s="4" t="s">
        <v>217</v>
      </c>
      <c r="B109" s="4" t="s">
        <v>593</v>
      </c>
      <c r="C109" s="4">
        <v>470</v>
      </c>
      <c r="D109" s="4">
        <v>321</v>
      </c>
      <c r="E109" s="4">
        <v>57</v>
      </c>
      <c r="F109" s="4">
        <v>11</v>
      </c>
      <c r="G109" s="4">
        <v>13</v>
      </c>
      <c r="H109" s="4">
        <v>35</v>
      </c>
      <c r="I109" s="4">
        <v>26</v>
      </c>
      <c r="J109" s="4">
        <v>37</v>
      </c>
      <c r="K109" s="4">
        <v>13</v>
      </c>
      <c r="L109" s="4">
        <v>19</v>
      </c>
      <c r="M109" s="4">
        <v>20</v>
      </c>
      <c r="N109" s="4">
        <v>9</v>
      </c>
      <c r="O109" s="5">
        <f t="shared" si="1"/>
        <v>1031</v>
      </c>
    </row>
    <row r="110" spans="1:15" x14ac:dyDescent="0.25">
      <c r="A110" s="4" t="s">
        <v>219</v>
      </c>
      <c r="B110" s="4" t="s">
        <v>228</v>
      </c>
      <c r="C110" s="4">
        <v>86</v>
      </c>
      <c r="D110" s="4">
        <v>108</v>
      </c>
      <c r="E110" s="4">
        <v>125</v>
      </c>
      <c r="F110" s="4">
        <v>36</v>
      </c>
      <c r="G110" s="4">
        <v>61</v>
      </c>
      <c r="H110" s="4">
        <v>197</v>
      </c>
      <c r="I110" s="4">
        <v>185</v>
      </c>
      <c r="J110" s="4">
        <v>86</v>
      </c>
      <c r="K110" s="4">
        <v>65</v>
      </c>
      <c r="L110" s="4">
        <v>34</v>
      </c>
      <c r="M110" s="4">
        <v>10</v>
      </c>
      <c r="N110" s="4">
        <v>5</v>
      </c>
      <c r="O110" s="5">
        <f t="shared" si="1"/>
        <v>998</v>
      </c>
    </row>
    <row r="111" spans="1:15" x14ac:dyDescent="0.25">
      <c r="A111" s="4" t="s">
        <v>221</v>
      </c>
      <c r="B111" s="4" t="s">
        <v>60</v>
      </c>
      <c r="C111" s="4">
        <v>125</v>
      </c>
      <c r="D111" s="4">
        <v>166</v>
      </c>
      <c r="E111" s="4">
        <v>96</v>
      </c>
      <c r="F111" s="4">
        <v>15</v>
      </c>
      <c r="G111" s="4">
        <v>29</v>
      </c>
      <c r="H111" s="4">
        <v>67</v>
      </c>
      <c r="I111" s="4">
        <v>83</v>
      </c>
      <c r="J111" s="4">
        <v>133</v>
      </c>
      <c r="K111" s="4">
        <v>95</v>
      </c>
      <c r="L111" s="4">
        <v>75</v>
      </c>
      <c r="M111" s="4">
        <v>58</v>
      </c>
      <c r="N111" s="4">
        <v>26</v>
      </c>
      <c r="O111" s="5">
        <f t="shared" si="1"/>
        <v>968</v>
      </c>
    </row>
    <row r="112" spans="1:15" x14ac:dyDescent="0.25">
      <c r="A112" s="4" t="s">
        <v>223</v>
      </c>
      <c r="B112" s="4" t="s">
        <v>116</v>
      </c>
      <c r="C112" s="4">
        <v>195</v>
      </c>
      <c r="D112" s="4">
        <v>151</v>
      </c>
      <c r="E112" s="4">
        <v>123</v>
      </c>
      <c r="F112" s="4">
        <v>26</v>
      </c>
      <c r="G112" s="4">
        <v>31</v>
      </c>
      <c r="H112" s="4">
        <v>78</v>
      </c>
      <c r="I112" s="4">
        <v>99</v>
      </c>
      <c r="J112" s="4">
        <v>121</v>
      </c>
      <c r="K112" s="4">
        <v>87</v>
      </c>
      <c r="L112" s="4">
        <v>21</v>
      </c>
      <c r="M112" s="4">
        <v>12</v>
      </c>
      <c r="N112" s="4">
        <v>7</v>
      </c>
      <c r="O112" s="5">
        <f t="shared" si="1"/>
        <v>951</v>
      </c>
    </row>
    <row r="113" spans="1:15" x14ac:dyDescent="0.25">
      <c r="A113" s="4" t="s">
        <v>225</v>
      </c>
      <c r="B113" s="4" t="s">
        <v>176</v>
      </c>
      <c r="C113" s="4">
        <v>44</v>
      </c>
      <c r="D113" s="4">
        <v>82</v>
      </c>
      <c r="E113" s="4">
        <v>50</v>
      </c>
      <c r="F113" s="4">
        <v>26</v>
      </c>
      <c r="G113" s="4">
        <v>24</v>
      </c>
      <c r="H113" s="4">
        <v>69</v>
      </c>
      <c r="I113" s="4">
        <v>91</v>
      </c>
      <c r="J113" s="4">
        <v>72</v>
      </c>
      <c r="K113" s="4">
        <v>112</v>
      </c>
      <c r="L113" s="4">
        <v>85</v>
      </c>
      <c r="M113" s="4">
        <v>126</v>
      </c>
      <c r="N113" s="4">
        <v>104</v>
      </c>
      <c r="O113" s="5">
        <f t="shared" si="1"/>
        <v>885</v>
      </c>
    </row>
    <row r="114" spans="1:15" x14ac:dyDescent="0.25">
      <c r="A114" s="4" t="s">
        <v>229</v>
      </c>
      <c r="B114" s="4" t="s">
        <v>517</v>
      </c>
      <c r="C114" s="4">
        <v>95</v>
      </c>
      <c r="D114" s="4">
        <v>130</v>
      </c>
      <c r="E114" s="4">
        <v>75</v>
      </c>
      <c r="F114" s="4">
        <v>14</v>
      </c>
      <c r="G114" s="4">
        <v>37</v>
      </c>
      <c r="H114" s="4">
        <v>28</v>
      </c>
      <c r="I114" s="4">
        <v>115</v>
      </c>
      <c r="J114" s="4">
        <v>65</v>
      </c>
      <c r="K114" s="4">
        <v>59</v>
      </c>
      <c r="L114" s="4">
        <v>27</v>
      </c>
      <c r="M114" s="4">
        <v>204</v>
      </c>
      <c r="N114" s="4">
        <v>27</v>
      </c>
      <c r="O114" s="5">
        <f t="shared" si="1"/>
        <v>876</v>
      </c>
    </row>
    <row r="115" spans="1:15" x14ac:dyDescent="0.25">
      <c r="A115" s="4" t="s">
        <v>227</v>
      </c>
      <c r="B115" s="4" t="s">
        <v>540</v>
      </c>
      <c r="C115" s="4">
        <v>29</v>
      </c>
      <c r="D115" s="4">
        <v>76</v>
      </c>
      <c r="E115" s="4">
        <v>25</v>
      </c>
      <c r="F115" s="4">
        <v>7</v>
      </c>
      <c r="G115" s="4">
        <v>6</v>
      </c>
      <c r="H115" s="4">
        <v>38</v>
      </c>
      <c r="I115" s="4">
        <v>57</v>
      </c>
      <c r="J115" s="4">
        <v>64</v>
      </c>
      <c r="K115" s="4">
        <v>78</v>
      </c>
      <c r="L115" s="4">
        <v>136</v>
      </c>
      <c r="M115" s="4">
        <v>126</v>
      </c>
      <c r="N115" s="4">
        <v>150</v>
      </c>
      <c r="O115" s="5">
        <f t="shared" si="1"/>
        <v>792</v>
      </c>
    </row>
    <row r="116" spans="1:15" x14ac:dyDescent="0.25">
      <c r="A116" s="4" t="s">
        <v>231</v>
      </c>
      <c r="B116" s="4" t="s">
        <v>198</v>
      </c>
      <c r="C116" s="4">
        <v>72</v>
      </c>
      <c r="D116" s="4">
        <v>84</v>
      </c>
      <c r="E116" s="4">
        <v>57</v>
      </c>
      <c r="F116" s="4">
        <v>10</v>
      </c>
      <c r="G116" s="4">
        <v>30</v>
      </c>
      <c r="H116" s="4">
        <v>55</v>
      </c>
      <c r="I116" s="4">
        <v>98</v>
      </c>
      <c r="J116" s="4">
        <v>85</v>
      </c>
      <c r="K116" s="4">
        <v>84</v>
      </c>
      <c r="L116" s="4">
        <v>92</v>
      </c>
      <c r="M116" s="4">
        <v>53</v>
      </c>
      <c r="N116" s="4">
        <v>67</v>
      </c>
      <c r="O116" s="5">
        <f t="shared" si="1"/>
        <v>787</v>
      </c>
    </row>
    <row r="117" spans="1:15" x14ac:dyDescent="0.25">
      <c r="A117" s="4" t="s">
        <v>233</v>
      </c>
      <c r="B117" s="4" t="s">
        <v>270</v>
      </c>
      <c r="C117" s="4">
        <v>111</v>
      </c>
      <c r="D117" s="4">
        <v>79</v>
      </c>
      <c r="E117" s="4">
        <v>50</v>
      </c>
      <c r="F117" s="4">
        <v>25</v>
      </c>
      <c r="G117" s="4">
        <v>39</v>
      </c>
      <c r="H117" s="4">
        <v>106</v>
      </c>
      <c r="I117" s="4">
        <v>87</v>
      </c>
      <c r="J117" s="4">
        <v>87</v>
      </c>
      <c r="K117" s="4">
        <v>82</v>
      </c>
      <c r="L117" s="4">
        <v>59</v>
      </c>
      <c r="M117" s="4">
        <v>27</v>
      </c>
      <c r="N117" s="4">
        <v>9</v>
      </c>
      <c r="O117" s="5">
        <f t="shared" si="1"/>
        <v>761</v>
      </c>
    </row>
    <row r="118" spans="1:15" x14ac:dyDescent="0.25">
      <c r="A118" s="4" t="s">
        <v>235</v>
      </c>
      <c r="B118" s="4" t="s">
        <v>204</v>
      </c>
      <c r="C118" s="4">
        <v>73</v>
      </c>
      <c r="D118" s="4">
        <v>98</v>
      </c>
      <c r="E118" s="4">
        <v>91</v>
      </c>
      <c r="F118" s="4">
        <v>45</v>
      </c>
      <c r="G118" s="4">
        <v>61</v>
      </c>
      <c r="H118" s="4">
        <v>126</v>
      </c>
      <c r="I118" s="4">
        <v>60</v>
      </c>
      <c r="J118" s="4">
        <v>43</v>
      </c>
      <c r="K118" s="4">
        <v>55</v>
      </c>
      <c r="L118" s="4">
        <v>27</v>
      </c>
      <c r="M118" s="4">
        <v>60</v>
      </c>
      <c r="N118" s="4">
        <v>16</v>
      </c>
      <c r="O118" s="5">
        <f t="shared" si="1"/>
        <v>755</v>
      </c>
    </row>
    <row r="119" spans="1:15" x14ac:dyDescent="0.25">
      <c r="A119" s="4" t="s">
        <v>237</v>
      </c>
      <c r="B119" s="4" t="s">
        <v>224</v>
      </c>
      <c r="C119" s="4">
        <v>77</v>
      </c>
      <c r="D119" s="4">
        <v>62</v>
      </c>
      <c r="E119" s="4">
        <v>42</v>
      </c>
      <c r="F119" s="4">
        <v>16</v>
      </c>
      <c r="G119" s="4">
        <v>29</v>
      </c>
      <c r="H119" s="4">
        <v>79</v>
      </c>
      <c r="I119" s="4">
        <v>70</v>
      </c>
      <c r="J119" s="4">
        <v>67</v>
      </c>
      <c r="K119" s="4">
        <v>107</v>
      </c>
      <c r="L119" s="4">
        <v>79</v>
      </c>
      <c r="M119" s="4">
        <v>35</v>
      </c>
      <c r="N119" s="4">
        <v>80</v>
      </c>
      <c r="O119" s="5">
        <f t="shared" si="1"/>
        <v>743</v>
      </c>
    </row>
    <row r="120" spans="1:15" x14ac:dyDescent="0.25">
      <c r="A120" s="4" t="s">
        <v>239</v>
      </c>
      <c r="B120" s="4" t="s">
        <v>587</v>
      </c>
      <c r="C120" s="4">
        <v>102</v>
      </c>
      <c r="D120" s="4">
        <v>74</v>
      </c>
      <c r="E120" s="4">
        <v>57</v>
      </c>
      <c r="F120" s="4">
        <v>11</v>
      </c>
      <c r="G120" s="4">
        <v>18</v>
      </c>
      <c r="H120" s="4">
        <v>40</v>
      </c>
      <c r="I120" s="4">
        <v>75</v>
      </c>
      <c r="J120" s="4">
        <v>92</v>
      </c>
      <c r="K120" s="4">
        <v>82</v>
      </c>
      <c r="L120" s="4">
        <v>46</v>
      </c>
      <c r="M120" s="4">
        <v>38</v>
      </c>
      <c r="N120" s="4">
        <v>44</v>
      </c>
      <c r="O120" s="5">
        <f t="shared" si="1"/>
        <v>679</v>
      </c>
    </row>
    <row r="121" spans="1:15" x14ac:dyDescent="0.25">
      <c r="A121" s="4" t="s">
        <v>243</v>
      </c>
      <c r="B121" s="4" t="s">
        <v>144</v>
      </c>
      <c r="C121" s="4">
        <v>60</v>
      </c>
      <c r="D121" s="4">
        <v>81</v>
      </c>
      <c r="E121" s="4">
        <v>54</v>
      </c>
      <c r="F121" s="4">
        <v>19</v>
      </c>
      <c r="G121" s="4">
        <v>34</v>
      </c>
      <c r="H121" s="4">
        <v>100</v>
      </c>
      <c r="I121" s="4">
        <v>49</v>
      </c>
      <c r="J121" s="4">
        <v>46</v>
      </c>
      <c r="K121" s="4">
        <v>76</v>
      </c>
      <c r="L121" s="4">
        <v>106</v>
      </c>
      <c r="M121" s="4">
        <v>16</v>
      </c>
      <c r="N121" s="4">
        <v>5</v>
      </c>
      <c r="O121" s="5">
        <f t="shared" si="1"/>
        <v>646</v>
      </c>
    </row>
    <row r="122" spans="1:15" x14ac:dyDescent="0.25">
      <c r="A122" s="4" t="s">
        <v>241</v>
      </c>
      <c r="B122" s="4" t="s">
        <v>216</v>
      </c>
      <c r="C122" s="4">
        <v>51</v>
      </c>
      <c r="D122" s="4">
        <v>60</v>
      </c>
      <c r="E122" s="4">
        <v>62</v>
      </c>
      <c r="F122" s="4">
        <v>15</v>
      </c>
      <c r="G122" s="4">
        <v>23</v>
      </c>
      <c r="H122" s="4">
        <v>63</v>
      </c>
      <c r="I122" s="4">
        <v>61</v>
      </c>
      <c r="J122" s="4">
        <v>58</v>
      </c>
      <c r="K122" s="4">
        <v>63</v>
      </c>
      <c r="L122" s="4">
        <v>51</v>
      </c>
      <c r="M122" s="4">
        <v>52</v>
      </c>
      <c r="N122" s="4">
        <v>50</v>
      </c>
      <c r="O122" s="5">
        <f t="shared" si="1"/>
        <v>609</v>
      </c>
    </row>
    <row r="123" spans="1:15" x14ac:dyDescent="0.25">
      <c r="A123" s="4" t="s">
        <v>245</v>
      </c>
      <c r="B123" s="4" t="s">
        <v>212</v>
      </c>
      <c r="C123" s="4">
        <v>36</v>
      </c>
      <c r="D123" s="4">
        <v>43</v>
      </c>
      <c r="E123" s="4">
        <v>48</v>
      </c>
      <c r="F123" s="4">
        <v>33</v>
      </c>
      <c r="G123" s="4">
        <v>40</v>
      </c>
      <c r="H123" s="4">
        <v>69</v>
      </c>
      <c r="I123" s="4">
        <v>52</v>
      </c>
      <c r="J123" s="4">
        <v>33</v>
      </c>
      <c r="K123" s="4">
        <v>26</v>
      </c>
      <c r="L123" s="4">
        <v>23</v>
      </c>
      <c r="M123" s="4">
        <v>59</v>
      </c>
      <c r="N123" s="4">
        <v>134</v>
      </c>
      <c r="O123" s="5">
        <f t="shared" si="1"/>
        <v>596</v>
      </c>
    </row>
    <row r="124" spans="1:15" x14ac:dyDescent="0.25">
      <c r="A124" s="4" t="s">
        <v>247</v>
      </c>
      <c r="B124" s="4" t="s">
        <v>580</v>
      </c>
      <c r="C124" s="4">
        <v>61</v>
      </c>
      <c r="D124" s="4">
        <v>55</v>
      </c>
      <c r="E124" s="4">
        <v>41</v>
      </c>
      <c r="F124" s="4">
        <v>13</v>
      </c>
      <c r="G124" s="4">
        <v>20</v>
      </c>
      <c r="H124" s="4">
        <v>23</v>
      </c>
      <c r="I124" s="4">
        <v>50</v>
      </c>
      <c r="J124" s="4">
        <v>48</v>
      </c>
      <c r="K124" s="4">
        <v>71</v>
      </c>
      <c r="L124" s="4">
        <v>69</v>
      </c>
      <c r="M124" s="4">
        <v>70</v>
      </c>
      <c r="N124" s="4">
        <v>73</v>
      </c>
      <c r="O124" s="5">
        <f t="shared" si="1"/>
        <v>594</v>
      </c>
    </row>
    <row r="125" spans="1:15" x14ac:dyDescent="0.25">
      <c r="A125" s="4" t="s">
        <v>249</v>
      </c>
      <c r="B125" s="4" t="s">
        <v>518</v>
      </c>
      <c r="C125" s="4">
        <v>50</v>
      </c>
      <c r="D125" s="4">
        <v>93</v>
      </c>
      <c r="E125" s="4">
        <v>69</v>
      </c>
      <c r="F125" s="4">
        <v>20</v>
      </c>
      <c r="G125" s="4">
        <v>35</v>
      </c>
      <c r="H125" s="4">
        <v>79</v>
      </c>
      <c r="I125" s="4">
        <v>106</v>
      </c>
      <c r="J125" s="4">
        <v>55</v>
      </c>
      <c r="K125" s="4">
        <v>21</v>
      </c>
      <c r="L125" s="4">
        <v>7</v>
      </c>
      <c r="M125" s="4">
        <v>9</v>
      </c>
      <c r="N125" s="4">
        <v>31</v>
      </c>
      <c r="O125" s="5">
        <f t="shared" si="1"/>
        <v>575</v>
      </c>
    </row>
    <row r="126" spans="1:15" x14ac:dyDescent="0.25">
      <c r="A126" s="4" t="s">
        <v>253</v>
      </c>
      <c r="B126" s="4" t="s">
        <v>384</v>
      </c>
      <c r="C126" s="4">
        <v>65</v>
      </c>
      <c r="D126" s="4">
        <v>79</v>
      </c>
      <c r="E126" s="4">
        <v>60</v>
      </c>
      <c r="F126" s="4">
        <v>15</v>
      </c>
      <c r="G126" s="4">
        <v>9</v>
      </c>
      <c r="H126" s="4">
        <v>62</v>
      </c>
      <c r="I126" s="4">
        <v>82</v>
      </c>
      <c r="J126" s="4">
        <v>68</v>
      </c>
      <c r="K126" s="4">
        <v>69</v>
      </c>
      <c r="L126" s="4">
        <v>31</v>
      </c>
      <c r="M126" s="4">
        <v>17</v>
      </c>
      <c r="N126" s="4">
        <v>8</v>
      </c>
      <c r="O126" s="5">
        <f t="shared" si="1"/>
        <v>565</v>
      </c>
    </row>
    <row r="127" spans="1:15" x14ac:dyDescent="0.25">
      <c r="A127" s="4" t="s">
        <v>251</v>
      </c>
      <c r="B127" s="4" t="s">
        <v>186</v>
      </c>
      <c r="C127" s="4">
        <v>56</v>
      </c>
      <c r="D127" s="4">
        <v>47</v>
      </c>
      <c r="E127" s="4">
        <v>19</v>
      </c>
      <c r="F127" s="4">
        <v>5</v>
      </c>
      <c r="G127" s="4">
        <v>15</v>
      </c>
      <c r="H127" s="4">
        <v>45</v>
      </c>
      <c r="I127" s="4">
        <v>69</v>
      </c>
      <c r="J127" s="4">
        <v>66</v>
      </c>
      <c r="K127" s="4">
        <v>49</v>
      </c>
      <c r="L127" s="4">
        <v>46</v>
      </c>
      <c r="M127" s="4">
        <v>64</v>
      </c>
      <c r="N127" s="4">
        <v>81</v>
      </c>
      <c r="O127" s="5">
        <f t="shared" si="1"/>
        <v>562</v>
      </c>
    </row>
    <row r="128" spans="1:15" x14ac:dyDescent="0.25">
      <c r="A128" s="4" t="s">
        <v>255</v>
      </c>
      <c r="B128" s="4" t="s">
        <v>238</v>
      </c>
      <c r="C128" s="4">
        <v>63</v>
      </c>
      <c r="D128" s="4">
        <v>63</v>
      </c>
      <c r="E128" s="4">
        <v>47</v>
      </c>
      <c r="F128" s="4">
        <v>15</v>
      </c>
      <c r="G128" s="4">
        <v>13</v>
      </c>
      <c r="H128" s="4">
        <v>82</v>
      </c>
      <c r="I128" s="4">
        <v>95</v>
      </c>
      <c r="J128" s="4">
        <v>65</v>
      </c>
      <c r="K128" s="4">
        <v>56</v>
      </c>
      <c r="L128" s="4">
        <v>24</v>
      </c>
      <c r="M128" s="4">
        <v>20</v>
      </c>
      <c r="N128" s="4">
        <v>10</v>
      </c>
      <c r="O128" s="5">
        <f t="shared" si="1"/>
        <v>553</v>
      </c>
    </row>
    <row r="129" spans="1:15" x14ac:dyDescent="0.25">
      <c r="A129" s="4" t="s">
        <v>257</v>
      </c>
      <c r="B129" s="4" t="s">
        <v>604</v>
      </c>
      <c r="C129" s="4">
        <v>282</v>
      </c>
      <c r="D129" s="4">
        <v>123</v>
      </c>
      <c r="E129" s="4">
        <v>18</v>
      </c>
      <c r="F129" s="4">
        <v>4</v>
      </c>
      <c r="G129" s="4">
        <v>4</v>
      </c>
      <c r="H129" s="4">
        <v>18</v>
      </c>
      <c r="I129" s="4">
        <v>23</v>
      </c>
      <c r="J129" s="4">
        <v>20</v>
      </c>
      <c r="K129" s="4">
        <v>13</v>
      </c>
      <c r="L129" s="4">
        <v>12</v>
      </c>
      <c r="M129" s="4">
        <v>10</v>
      </c>
      <c r="N129" s="4">
        <v>10</v>
      </c>
      <c r="O129" s="5">
        <f t="shared" si="1"/>
        <v>537</v>
      </c>
    </row>
    <row r="130" spans="1:15" x14ac:dyDescent="0.25">
      <c r="A130" s="4" t="s">
        <v>259</v>
      </c>
      <c r="B130" s="4" t="s">
        <v>172</v>
      </c>
      <c r="C130" s="4">
        <v>41</v>
      </c>
      <c r="D130" s="4">
        <v>33</v>
      </c>
      <c r="E130" s="4">
        <v>23</v>
      </c>
      <c r="F130" s="4">
        <v>13</v>
      </c>
      <c r="G130" s="4">
        <v>29</v>
      </c>
      <c r="H130" s="4">
        <v>85</v>
      </c>
      <c r="I130" s="4">
        <v>65</v>
      </c>
      <c r="J130" s="4">
        <v>94</v>
      </c>
      <c r="K130" s="4">
        <v>51</v>
      </c>
      <c r="L130" s="4">
        <v>10</v>
      </c>
      <c r="M130" s="4">
        <v>39</v>
      </c>
      <c r="N130" s="4">
        <v>16</v>
      </c>
      <c r="O130" s="5">
        <f t="shared" si="1"/>
        <v>499</v>
      </c>
    </row>
    <row r="131" spans="1:15" x14ac:dyDescent="0.25">
      <c r="A131" s="4" t="s">
        <v>261</v>
      </c>
      <c r="B131" s="4" t="s">
        <v>246</v>
      </c>
      <c r="C131" s="4">
        <v>57</v>
      </c>
      <c r="D131" s="4">
        <v>52</v>
      </c>
      <c r="E131" s="4">
        <v>48</v>
      </c>
      <c r="F131" s="4">
        <v>20</v>
      </c>
      <c r="G131" s="4">
        <v>18</v>
      </c>
      <c r="H131" s="4">
        <v>46</v>
      </c>
      <c r="I131" s="4">
        <v>79</v>
      </c>
      <c r="J131" s="4">
        <v>44</v>
      </c>
      <c r="K131" s="4">
        <v>42</v>
      </c>
      <c r="L131" s="4">
        <v>24</v>
      </c>
      <c r="M131" s="4">
        <v>17</v>
      </c>
      <c r="N131" s="4">
        <v>29</v>
      </c>
      <c r="O131" s="5">
        <f t="shared" ref="O131:O194" si="2">SUM(C131:N131)</f>
        <v>476</v>
      </c>
    </row>
    <row r="132" spans="1:15" x14ac:dyDescent="0.25">
      <c r="A132" s="4" t="s">
        <v>265</v>
      </c>
      <c r="B132" s="4" t="s">
        <v>528</v>
      </c>
      <c r="C132" s="4">
        <v>69</v>
      </c>
      <c r="D132" s="4">
        <v>63</v>
      </c>
      <c r="E132" s="4">
        <v>46</v>
      </c>
      <c r="F132" s="4">
        <v>10</v>
      </c>
      <c r="G132" s="4">
        <v>22</v>
      </c>
      <c r="H132" s="4">
        <v>46</v>
      </c>
      <c r="I132" s="4">
        <v>61</v>
      </c>
      <c r="J132" s="4">
        <v>75</v>
      </c>
      <c r="K132" s="4">
        <v>43</v>
      </c>
      <c r="L132" s="4">
        <v>19</v>
      </c>
      <c r="M132" s="4">
        <v>5</v>
      </c>
      <c r="N132" s="4">
        <v>3</v>
      </c>
      <c r="O132" s="5">
        <f t="shared" si="2"/>
        <v>462</v>
      </c>
    </row>
    <row r="133" spans="1:15" x14ac:dyDescent="0.25">
      <c r="A133" s="4" t="s">
        <v>263</v>
      </c>
      <c r="B133" s="4" t="s">
        <v>268</v>
      </c>
      <c r="C133" s="4">
        <v>10</v>
      </c>
      <c r="D133" s="4">
        <v>25</v>
      </c>
      <c r="E133" s="4">
        <v>10</v>
      </c>
      <c r="F133" s="4">
        <v>8</v>
      </c>
      <c r="G133" s="4">
        <v>9</v>
      </c>
      <c r="H133" s="4">
        <v>24</v>
      </c>
      <c r="I133" s="4">
        <v>33</v>
      </c>
      <c r="J133" s="4">
        <v>58</v>
      </c>
      <c r="K133" s="4">
        <v>65</v>
      </c>
      <c r="L133" s="4">
        <v>84</v>
      </c>
      <c r="M133" s="4">
        <v>71</v>
      </c>
      <c r="N133" s="4">
        <v>49</v>
      </c>
      <c r="O133" s="5">
        <f t="shared" si="2"/>
        <v>446</v>
      </c>
    </row>
    <row r="134" spans="1:15" x14ac:dyDescent="0.25">
      <c r="A134" s="4" t="s">
        <v>267</v>
      </c>
      <c r="B134" s="4" t="s">
        <v>234</v>
      </c>
      <c r="C134" s="4">
        <v>36</v>
      </c>
      <c r="D134" s="4">
        <v>28</v>
      </c>
      <c r="E134" s="4">
        <v>29</v>
      </c>
      <c r="F134" s="4">
        <v>9</v>
      </c>
      <c r="G134" s="4">
        <v>13</v>
      </c>
      <c r="H134" s="4">
        <v>50</v>
      </c>
      <c r="I134" s="4">
        <v>46</v>
      </c>
      <c r="J134" s="4">
        <v>34</v>
      </c>
      <c r="K134" s="4">
        <v>36</v>
      </c>
      <c r="L134" s="4">
        <v>41</v>
      </c>
      <c r="M134" s="4">
        <v>59</v>
      </c>
      <c r="N134" s="4">
        <v>54</v>
      </c>
      <c r="O134" s="5">
        <f t="shared" si="2"/>
        <v>435</v>
      </c>
    </row>
    <row r="135" spans="1:15" x14ac:dyDescent="0.25">
      <c r="A135" s="4" t="s">
        <v>269</v>
      </c>
      <c r="B135" s="4" t="s">
        <v>579</v>
      </c>
      <c r="C135" s="4">
        <v>74</v>
      </c>
      <c r="D135" s="4">
        <v>25</v>
      </c>
      <c r="E135" s="4">
        <v>12</v>
      </c>
      <c r="F135" s="4">
        <v>102</v>
      </c>
      <c r="G135" s="4">
        <v>14</v>
      </c>
      <c r="H135" s="4">
        <v>6</v>
      </c>
      <c r="I135" s="4">
        <v>20</v>
      </c>
      <c r="J135" s="4">
        <v>11</v>
      </c>
      <c r="K135" s="4">
        <v>8</v>
      </c>
      <c r="L135" s="4">
        <v>45</v>
      </c>
      <c r="M135" s="4">
        <v>22</v>
      </c>
      <c r="N135" s="4">
        <v>91</v>
      </c>
      <c r="O135" s="5">
        <f t="shared" si="2"/>
        <v>430</v>
      </c>
    </row>
    <row r="136" spans="1:15" x14ac:dyDescent="0.25">
      <c r="A136" s="4" t="s">
        <v>271</v>
      </c>
      <c r="B136" s="4" t="s">
        <v>448</v>
      </c>
      <c r="C136" s="4">
        <v>71</v>
      </c>
      <c r="D136" s="4">
        <v>70</v>
      </c>
      <c r="E136" s="4">
        <v>62</v>
      </c>
      <c r="F136" s="4">
        <v>17</v>
      </c>
      <c r="G136" s="4">
        <v>30</v>
      </c>
      <c r="H136" s="4">
        <v>50</v>
      </c>
      <c r="I136" s="4">
        <v>52</v>
      </c>
      <c r="J136" s="4">
        <v>19</v>
      </c>
      <c r="K136" s="4">
        <v>10</v>
      </c>
      <c r="L136" s="4">
        <v>4</v>
      </c>
      <c r="M136" s="4">
        <v>2</v>
      </c>
      <c r="N136" s="4">
        <v>3</v>
      </c>
      <c r="O136" s="5">
        <f t="shared" si="2"/>
        <v>390</v>
      </c>
    </row>
    <row r="137" spans="1:15" x14ac:dyDescent="0.25">
      <c r="A137" s="4" t="s">
        <v>273</v>
      </c>
      <c r="B137" s="4" t="s">
        <v>490</v>
      </c>
      <c r="C137" s="4">
        <v>42</v>
      </c>
      <c r="D137" s="4">
        <v>32</v>
      </c>
      <c r="E137" s="4">
        <v>33</v>
      </c>
      <c r="F137" s="4">
        <v>13</v>
      </c>
      <c r="G137" s="4">
        <v>6</v>
      </c>
      <c r="H137" s="4">
        <v>25</v>
      </c>
      <c r="I137" s="4">
        <v>21</v>
      </c>
      <c r="J137" s="4">
        <v>39</v>
      </c>
      <c r="K137" s="4">
        <v>23</v>
      </c>
      <c r="L137" s="4">
        <v>40</v>
      </c>
      <c r="M137" s="4">
        <v>47</v>
      </c>
      <c r="N137" s="4">
        <v>49</v>
      </c>
      <c r="O137" s="5">
        <f t="shared" si="2"/>
        <v>370</v>
      </c>
    </row>
    <row r="138" spans="1:15" x14ac:dyDescent="0.25">
      <c r="A138" s="4" t="s">
        <v>275</v>
      </c>
      <c r="B138" s="4" t="s">
        <v>292</v>
      </c>
      <c r="C138" s="4">
        <v>48</v>
      </c>
      <c r="D138" s="4">
        <v>69</v>
      </c>
      <c r="E138" s="4">
        <v>23</v>
      </c>
      <c r="F138" s="4">
        <v>5</v>
      </c>
      <c r="G138" s="4">
        <v>6</v>
      </c>
      <c r="H138" s="4">
        <v>22</v>
      </c>
      <c r="I138" s="4">
        <v>19</v>
      </c>
      <c r="J138" s="4">
        <v>83</v>
      </c>
      <c r="K138" s="4">
        <v>39</v>
      </c>
      <c r="L138" s="4">
        <v>20</v>
      </c>
      <c r="M138" s="4">
        <v>21</v>
      </c>
      <c r="N138" s="4">
        <v>13</v>
      </c>
      <c r="O138" s="5">
        <f t="shared" si="2"/>
        <v>368</v>
      </c>
    </row>
    <row r="139" spans="1:15" x14ac:dyDescent="0.25">
      <c r="A139" s="4" t="s">
        <v>277</v>
      </c>
      <c r="B139" s="4" t="s">
        <v>300</v>
      </c>
      <c r="C139" s="4">
        <v>27</v>
      </c>
      <c r="D139" s="4">
        <v>68</v>
      </c>
      <c r="E139" s="4">
        <v>21</v>
      </c>
      <c r="F139" s="4">
        <v>32</v>
      </c>
      <c r="G139" s="4">
        <v>12</v>
      </c>
      <c r="H139" s="4">
        <v>16</v>
      </c>
      <c r="I139" s="4">
        <v>28</v>
      </c>
      <c r="J139" s="4">
        <v>67</v>
      </c>
      <c r="K139" s="4">
        <v>38</v>
      </c>
      <c r="L139" s="4">
        <v>32</v>
      </c>
      <c r="M139" s="4">
        <v>8</v>
      </c>
      <c r="N139" s="4">
        <v>13</v>
      </c>
      <c r="O139" s="5">
        <f t="shared" si="2"/>
        <v>362</v>
      </c>
    </row>
    <row r="140" spans="1:15" x14ac:dyDescent="0.25">
      <c r="A140" s="4" t="s">
        <v>279</v>
      </c>
      <c r="B140" s="4" t="s">
        <v>258</v>
      </c>
      <c r="C140" s="4">
        <v>28</v>
      </c>
      <c r="D140" s="4">
        <v>54</v>
      </c>
      <c r="E140" s="4">
        <v>43</v>
      </c>
      <c r="F140" s="4">
        <v>12</v>
      </c>
      <c r="G140" s="4">
        <v>12</v>
      </c>
      <c r="H140" s="4">
        <v>32</v>
      </c>
      <c r="I140" s="4">
        <v>45</v>
      </c>
      <c r="J140" s="4">
        <v>19</v>
      </c>
      <c r="K140" s="4">
        <v>19</v>
      </c>
      <c r="L140" s="4">
        <v>16</v>
      </c>
      <c r="M140" s="4">
        <v>26</v>
      </c>
      <c r="N140" s="4">
        <v>44</v>
      </c>
      <c r="O140" s="5">
        <f t="shared" si="2"/>
        <v>350</v>
      </c>
    </row>
    <row r="141" spans="1:15" x14ac:dyDescent="0.25">
      <c r="A141" s="4" t="s">
        <v>281</v>
      </c>
      <c r="B141" s="4" t="s">
        <v>188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>
        <v>161</v>
      </c>
      <c r="N141" s="4">
        <v>173</v>
      </c>
      <c r="O141" s="5">
        <f t="shared" si="2"/>
        <v>334</v>
      </c>
    </row>
    <row r="142" spans="1:15" x14ac:dyDescent="0.25">
      <c r="A142" s="4" t="s">
        <v>285</v>
      </c>
      <c r="B142" s="4" t="s">
        <v>396</v>
      </c>
      <c r="C142" s="4">
        <v>63</v>
      </c>
      <c r="D142" s="4">
        <v>68</v>
      </c>
      <c r="E142" s="4">
        <v>18</v>
      </c>
      <c r="F142" s="4">
        <v>11</v>
      </c>
      <c r="G142" s="4">
        <v>6</v>
      </c>
      <c r="H142" s="4">
        <v>13</v>
      </c>
      <c r="I142" s="4">
        <v>26</v>
      </c>
      <c r="J142" s="4">
        <v>19</v>
      </c>
      <c r="K142" s="4">
        <v>7</v>
      </c>
      <c r="L142" s="4">
        <v>24</v>
      </c>
      <c r="M142" s="4">
        <v>32</v>
      </c>
      <c r="N142" s="4">
        <v>37</v>
      </c>
      <c r="O142" s="5">
        <f t="shared" si="2"/>
        <v>324</v>
      </c>
    </row>
    <row r="143" spans="1:15" x14ac:dyDescent="0.25">
      <c r="A143" s="4" t="s">
        <v>283</v>
      </c>
      <c r="B143" s="4" t="s">
        <v>286</v>
      </c>
      <c r="C143" s="4">
        <v>33</v>
      </c>
      <c r="D143" s="4">
        <v>45</v>
      </c>
      <c r="E143" s="4">
        <v>35</v>
      </c>
      <c r="F143" s="4">
        <v>15</v>
      </c>
      <c r="G143" s="4">
        <v>16</v>
      </c>
      <c r="H143" s="4">
        <v>19</v>
      </c>
      <c r="I143" s="4">
        <v>23</v>
      </c>
      <c r="J143" s="4">
        <v>28</v>
      </c>
      <c r="K143" s="4">
        <v>28</v>
      </c>
      <c r="L143" s="4">
        <v>31</v>
      </c>
      <c r="M143" s="4">
        <v>29</v>
      </c>
      <c r="N143" s="4">
        <v>4</v>
      </c>
      <c r="O143" s="5">
        <f t="shared" si="2"/>
        <v>306</v>
      </c>
    </row>
    <row r="144" spans="1:15" x14ac:dyDescent="0.25">
      <c r="A144" s="4" t="s">
        <v>287</v>
      </c>
      <c r="B144" s="4" t="s">
        <v>182</v>
      </c>
      <c r="C144" s="4"/>
      <c r="D144" s="4"/>
      <c r="E144" s="4">
        <v>1</v>
      </c>
      <c r="F144" s="4"/>
      <c r="G144" s="4">
        <v>1</v>
      </c>
      <c r="H144" s="4"/>
      <c r="I144" s="4">
        <v>22</v>
      </c>
      <c r="J144" s="4">
        <v>94</v>
      </c>
      <c r="K144" s="4">
        <v>70</v>
      </c>
      <c r="L144" s="4">
        <v>30</v>
      </c>
      <c r="M144" s="4">
        <v>29</v>
      </c>
      <c r="N144" s="4">
        <v>58</v>
      </c>
      <c r="O144" s="5">
        <f t="shared" si="2"/>
        <v>305</v>
      </c>
    </row>
    <row r="145" spans="1:15" x14ac:dyDescent="0.25">
      <c r="A145" s="4" t="s">
        <v>289</v>
      </c>
      <c r="B145" s="4" t="s">
        <v>581</v>
      </c>
      <c r="C145" s="4">
        <v>44</v>
      </c>
      <c r="D145" s="4">
        <v>38</v>
      </c>
      <c r="E145" s="4">
        <v>30</v>
      </c>
      <c r="F145" s="4">
        <v>11</v>
      </c>
      <c r="G145" s="4">
        <v>22</v>
      </c>
      <c r="H145" s="4">
        <v>30</v>
      </c>
      <c r="I145" s="4">
        <v>11</v>
      </c>
      <c r="J145" s="4">
        <v>25</v>
      </c>
      <c r="K145" s="4">
        <v>15</v>
      </c>
      <c r="L145" s="4">
        <v>29</v>
      </c>
      <c r="M145" s="4">
        <v>29</v>
      </c>
      <c r="N145" s="4">
        <v>16</v>
      </c>
      <c r="O145" s="5">
        <f t="shared" si="2"/>
        <v>300</v>
      </c>
    </row>
    <row r="146" spans="1:15" x14ac:dyDescent="0.25">
      <c r="A146" s="4" t="s">
        <v>291</v>
      </c>
      <c r="B146" s="4" t="s">
        <v>280</v>
      </c>
      <c r="C146" s="4">
        <v>26</v>
      </c>
      <c r="D146" s="4">
        <v>20</v>
      </c>
      <c r="E146" s="4">
        <v>42</v>
      </c>
      <c r="F146" s="4">
        <v>5</v>
      </c>
      <c r="G146" s="4">
        <v>6</v>
      </c>
      <c r="H146" s="4">
        <v>20</v>
      </c>
      <c r="I146" s="4">
        <v>22</v>
      </c>
      <c r="J146" s="4">
        <v>36</v>
      </c>
      <c r="K146" s="4">
        <v>41</v>
      </c>
      <c r="L146" s="4">
        <v>30</v>
      </c>
      <c r="M146" s="4">
        <v>19</v>
      </c>
      <c r="N146" s="4">
        <v>16</v>
      </c>
      <c r="O146" s="5">
        <f t="shared" si="2"/>
        <v>283</v>
      </c>
    </row>
    <row r="147" spans="1:15" x14ac:dyDescent="0.25">
      <c r="A147" s="4" t="s">
        <v>293</v>
      </c>
      <c r="B147" s="4" t="s">
        <v>208</v>
      </c>
      <c r="C147" s="4">
        <v>19</v>
      </c>
      <c r="D147" s="4">
        <v>8</v>
      </c>
      <c r="E147" s="4">
        <v>12</v>
      </c>
      <c r="F147" s="4">
        <v>9</v>
      </c>
      <c r="G147" s="4">
        <v>7</v>
      </c>
      <c r="H147" s="4">
        <v>21</v>
      </c>
      <c r="I147" s="4">
        <v>1</v>
      </c>
      <c r="J147" s="4">
        <v>35</v>
      </c>
      <c r="K147" s="4">
        <v>36</v>
      </c>
      <c r="L147" s="4">
        <v>53</v>
      </c>
      <c r="M147" s="4">
        <v>41</v>
      </c>
      <c r="N147" s="4">
        <v>38</v>
      </c>
      <c r="O147" s="5">
        <f t="shared" si="2"/>
        <v>280</v>
      </c>
    </row>
    <row r="148" spans="1:15" x14ac:dyDescent="0.25">
      <c r="A148" s="4" t="s">
        <v>295</v>
      </c>
      <c r="B148" s="4" t="s">
        <v>364</v>
      </c>
      <c r="C148" s="4">
        <v>13</v>
      </c>
      <c r="D148" s="4">
        <v>30</v>
      </c>
      <c r="E148" s="4">
        <v>14</v>
      </c>
      <c r="F148" s="4">
        <v>11</v>
      </c>
      <c r="G148" s="4">
        <v>7</v>
      </c>
      <c r="H148" s="4">
        <v>14</v>
      </c>
      <c r="I148" s="4">
        <v>50</v>
      </c>
      <c r="J148" s="4">
        <v>54</v>
      </c>
      <c r="K148" s="4">
        <v>63</v>
      </c>
      <c r="L148" s="4">
        <v>14</v>
      </c>
      <c r="M148" s="4">
        <v>7</v>
      </c>
      <c r="N148" s="4"/>
      <c r="O148" s="5">
        <f t="shared" si="2"/>
        <v>277</v>
      </c>
    </row>
    <row r="149" spans="1:15" x14ac:dyDescent="0.25">
      <c r="A149" s="4" t="s">
        <v>297</v>
      </c>
      <c r="B149" s="4" t="s">
        <v>222</v>
      </c>
      <c r="C149" s="4">
        <v>2</v>
      </c>
      <c r="D149" s="4">
        <v>9</v>
      </c>
      <c r="E149" s="4">
        <v>50</v>
      </c>
      <c r="F149" s="4">
        <v>18</v>
      </c>
      <c r="G149" s="4">
        <v>14</v>
      </c>
      <c r="H149" s="4">
        <v>51</v>
      </c>
      <c r="I149" s="4">
        <v>77</v>
      </c>
      <c r="J149" s="4">
        <v>23</v>
      </c>
      <c r="K149" s="4">
        <v>13</v>
      </c>
      <c r="L149" s="4">
        <v>5</v>
      </c>
      <c r="M149" s="4">
        <v>2</v>
      </c>
      <c r="N149" s="4">
        <v>13</v>
      </c>
      <c r="O149" s="5">
        <f t="shared" si="2"/>
        <v>277</v>
      </c>
    </row>
    <row r="150" spans="1:15" x14ac:dyDescent="0.25">
      <c r="A150" s="4" t="s">
        <v>299</v>
      </c>
      <c r="B150" s="4" t="s">
        <v>352</v>
      </c>
      <c r="C150" s="4">
        <v>28</v>
      </c>
      <c r="D150" s="4">
        <v>32</v>
      </c>
      <c r="E150" s="4">
        <v>14</v>
      </c>
      <c r="F150" s="4">
        <v>14</v>
      </c>
      <c r="G150" s="4">
        <v>51</v>
      </c>
      <c r="H150" s="4">
        <v>22</v>
      </c>
      <c r="I150" s="4">
        <v>19</v>
      </c>
      <c r="J150" s="4">
        <v>32</v>
      </c>
      <c r="K150" s="4">
        <v>25</v>
      </c>
      <c r="L150" s="4">
        <v>21</v>
      </c>
      <c r="M150" s="4">
        <v>12</v>
      </c>
      <c r="N150" s="4">
        <v>3</v>
      </c>
      <c r="O150" s="5">
        <f t="shared" si="2"/>
        <v>273</v>
      </c>
    </row>
    <row r="151" spans="1:15" x14ac:dyDescent="0.25">
      <c r="A151" s="4" t="s">
        <v>301</v>
      </c>
      <c r="B151" s="4" t="s">
        <v>218</v>
      </c>
      <c r="C151" s="4"/>
      <c r="D151" s="4">
        <v>2</v>
      </c>
      <c r="E151" s="4">
        <v>16</v>
      </c>
      <c r="F151" s="4">
        <v>12</v>
      </c>
      <c r="G151" s="4">
        <v>17</v>
      </c>
      <c r="H151" s="4">
        <v>26</v>
      </c>
      <c r="I151" s="4">
        <v>12</v>
      </c>
      <c r="J151" s="4">
        <v>5</v>
      </c>
      <c r="K151" s="4">
        <v>9</v>
      </c>
      <c r="L151" s="4">
        <v>38</v>
      </c>
      <c r="M151" s="4">
        <v>30</v>
      </c>
      <c r="N151" s="4">
        <v>73</v>
      </c>
      <c r="O151" s="5">
        <f t="shared" si="2"/>
        <v>240</v>
      </c>
    </row>
    <row r="152" spans="1:15" x14ac:dyDescent="0.25">
      <c r="A152" s="4" t="s">
        <v>303</v>
      </c>
      <c r="B152" s="4" t="s">
        <v>290</v>
      </c>
      <c r="C152" s="4">
        <v>32</v>
      </c>
      <c r="D152" s="4">
        <v>34</v>
      </c>
      <c r="E152" s="4">
        <v>24</v>
      </c>
      <c r="F152" s="4">
        <v>4</v>
      </c>
      <c r="G152" s="4">
        <v>14</v>
      </c>
      <c r="H152" s="4">
        <v>22</v>
      </c>
      <c r="I152" s="4">
        <v>19</v>
      </c>
      <c r="J152" s="4">
        <v>15</v>
      </c>
      <c r="K152" s="4">
        <v>18</v>
      </c>
      <c r="L152" s="4">
        <v>21</v>
      </c>
      <c r="M152" s="4">
        <v>16</v>
      </c>
      <c r="N152" s="4">
        <v>17</v>
      </c>
      <c r="O152" s="5">
        <f t="shared" si="2"/>
        <v>236</v>
      </c>
    </row>
    <row r="153" spans="1:15" x14ac:dyDescent="0.25">
      <c r="A153" s="4" t="s">
        <v>305</v>
      </c>
      <c r="B153" s="4" t="s">
        <v>662</v>
      </c>
      <c r="C153" s="4">
        <v>40</v>
      </c>
      <c r="D153" s="4">
        <v>33</v>
      </c>
      <c r="E153" s="4">
        <v>23</v>
      </c>
      <c r="F153" s="4">
        <v>8</v>
      </c>
      <c r="G153" s="4"/>
      <c r="H153" s="4">
        <v>52</v>
      </c>
      <c r="I153" s="4">
        <v>29</v>
      </c>
      <c r="J153" s="4">
        <v>18</v>
      </c>
      <c r="K153" s="4">
        <v>8</v>
      </c>
      <c r="L153" s="4"/>
      <c r="M153" s="4"/>
      <c r="N153" s="4"/>
      <c r="O153" s="5">
        <f t="shared" si="2"/>
        <v>211</v>
      </c>
    </row>
    <row r="154" spans="1:15" x14ac:dyDescent="0.25">
      <c r="A154" s="4" t="s">
        <v>307</v>
      </c>
      <c r="B154" s="4" t="s">
        <v>288</v>
      </c>
      <c r="C154" s="4">
        <v>26</v>
      </c>
      <c r="D154" s="4">
        <v>25</v>
      </c>
      <c r="E154" s="4">
        <v>16</v>
      </c>
      <c r="F154" s="4">
        <v>9</v>
      </c>
      <c r="G154" s="4">
        <v>25</v>
      </c>
      <c r="H154" s="4">
        <v>34</v>
      </c>
      <c r="I154" s="4">
        <v>28</v>
      </c>
      <c r="J154" s="4">
        <v>15</v>
      </c>
      <c r="K154" s="4">
        <v>13</v>
      </c>
      <c r="L154" s="4">
        <v>7</v>
      </c>
      <c r="M154" s="4">
        <v>5</v>
      </c>
      <c r="N154" s="4">
        <v>3</v>
      </c>
      <c r="O154" s="5">
        <f t="shared" si="2"/>
        <v>206</v>
      </c>
    </row>
    <row r="155" spans="1:15" x14ac:dyDescent="0.25">
      <c r="A155" s="4" t="s">
        <v>311</v>
      </c>
      <c r="B155" s="4" t="s">
        <v>252</v>
      </c>
      <c r="C155" s="4">
        <v>3</v>
      </c>
      <c r="D155" s="4">
        <v>4</v>
      </c>
      <c r="E155" s="4">
        <v>16</v>
      </c>
      <c r="F155" s="4">
        <v>12</v>
      </c>
      <c r="G155" s="4">
        <v>10</v>
      </c>
      <c r="H155" s="4">
        <v>23</v>
      </c>
      <c r="I155" s="4">
        <v>38</v>
      </c>
      <c r="J155" s="4">
        <v>46</v>
      </c>
      <c r="K155" s="4">
        <v>22</v>
      </c>
      <c r="L155" s="4">
        <v>15</v>
      </c>
      <c r="M155" s="4">
        <v>5</v>
      </c>
      <c r="N155" s="4">
        <v>3</v>
      </c>
      <c r="O155" s="5">
        <f t="shared" si="2"/>
        <v>197</v>
      </c>
    </row>
    <row r="156" spans="1:15" x14ac:dyDescent="0.25">
      <c r="A156" s="4" t="s">
        <v>309</v>
      </c>
      <c r="B156" s="4" t="s">
        <v>496</v>
      </c>
      <c r="C156" s="4">
        <v>32</v>
      </c>
      <c r="D156" s="4">
        <v>15</v>
      </c>
      <c r="E156" s="4">
        <v>13</v>
      </c>
      <c r="F156" s="4">
        <v>3</v>
      </c>
      <c r="G156" s="4">
        <v>11</v>
      </c>
      <c r="H156" s="4">
        <v>25</v>
      </c>
      <c r="I156" s="4">
        <v>17</v>
      </c>
      <c r="J156" s="4">
        <v>10</v>
      </c>
      <c r="K156" s="4">
        <v>20</v>
      </c>
      <c r="L156" s="4">
        <v>11</v>
      </c>
      <c r="M156" s="4">
        <v>15</v>
      </c>
      <c r="N156" s="4">
        <v>24</v>
      </c>
      <c r="O156" s="5">
        <f t="shared" si="2"/>
        <v>196</v>
      </c>
    </row>
    <row r="157" spans="1:15" x14ac:dyDescent="0.25">
      <c r="A157" s="4" t="s">
        <v>313</v>
      </c>
      <c r="B157" s="4" t="s">
        <v>600</v>
      </c>
      <c r="C157" s="4">
        <v>56</v>
      </c>
      <c r="D157" s="4">
        <v>17</v>
      </c>
      <c r="E157" s="4">
        <v>13</v>
      </c>
      <c r="F157" s="4">
        <v>32</v>
      </c>
      <c r="G157" s="4">
        <v>2</v>
      </c>
      <c r="H157" s="4">
        <v>1</v>
      </c>
      <c r="I157" s="4">
        <v>9</v>
      </c>
      <c r="J157" s="4"/>
      <c r="K157" s="4">
        <v>1</v>
      </c>
      <c r="L157" s="4">
        <v>47</v>
      </c>
      <c r="M157" s="4">
        <v>2</v>
      </c>
      <c r="N157" s="4">
        <v>7</v>
      </c>
      <c r="O157" s="5">
        <f t="shared" si="2"/>
        <v>187</v>
      </c>
    </row>
    <row r="158" spans="1:15" x14ac:dyDescent="0.25">
      <c r="A158" s="4" t="s">
        <v>317</v>
      </c>
      <c r="B158" s="4" t="s">
        <v>508</v>
      </c>
      <c r="C158" s="4"/>
      <c r="D158" s="4">
        <v>1</v>
      </c>
      <c r="E158" s="4"/>
      <c r="F158" s="4"/>
      <c r="G158" s="4"/>
      <c r="H158" s="4"/>
      <c r="I158" s="4"/>
      <c r="J158" s="4"/>
      <c r="K158" s="4"/>
      <c r="L158" s="4">
        <v>102</v>
      </c>
      <c r="M158" s="4">
        <v>47</v>
      </c>
      <c r="N158" s="4">
        <v>35</v>
      </c>
      <c r="O158" s="5">
        <f t="shared" si="2"/>
        <v>185</v>
      </c>
    </row>
    <row r="159" spans="1:15" x14ac:dyDescent="0.25">
      <c r="A159" s="4" t="s">
        <v>315</v>
      </c>
      <c r="B159" s="4" t="s">
        <v>338</v>
      </c>
      <c r="C159" s="4"/>
      <c r="D159" s="4"/>
      <c r="E159" s="4"/>
      <c r="F159" s="4"/>
      <c r="G159" s="4">
        <v>5</v>
      </c>
      <c r="H159" s="4">
        <v>16</v>
      </c>
      <c r="I159" s="4">
        <v>18</v>
      </c>
      <c r="J159" s="4">
        <v>45</v>
      </c>
      <c r="K159" s="4">
        <v>51</v>
      </c>
      <c r="L159" s="4">
        <v>26</v>
      </c>
      <c r="M159" s="4">
        <v>12</v>
      </c>
      <c r="N159" s="4">
        <v>12</v>
      </c>
      <c r="O159" s="5">
        <f t="shared" si="2"/>
        <v>185</v>
      </c>
    </row>
    <row r="160" spans="1:15" x14ac:dyDescent="0.25">
      <c r="A160" s="4" t="s">
        <v>319</v>
      </c>
      <c r="B160" s="4" t="s">
        <v>458</v>
      </c>
      <c r="C160" s="4">
        <v>2</v>
      </c>
      <c r="D160" s="4">
        <v>7</v>
      </c>
      <c r="E160" s="4">
        <v>6</v>
      </c>
      <c r="F160" s="4">
        <v>1</v>
      </c>
      <c r="G160" s="4">
        <v>5</v>
      </c>
      <c r="H160" s="4">
        <v>20</v>
      </c>
      <c r="I160" s="4">
        <v>20</v>
      </c>
      <c r="J160" s="4">
        <v>27</v>
      </c>
      <c r="K160" s="4">
        <v>25</v>
      </c>
      <c r="L160" s="4">
        <v>13</v>
      </c>
      <c r="M160" s="4">
        <v>12</v>
      </c>
      <c r="N160" s="4">
        <v>20</v>
      </c>
      <c r="O160" s="5">
        <f t="shared" si="2"/>
        <v>158</v>
      </c>
    </row>
    <row r="161" spans="1:15" x14ac:dyDescent="0.25">
      <c r="A161" s="4" t="s">
        <v>321</v>
      </c>
      <c r="B161" s="4" t="s">
        <v>586</v>
      </c>
      <c r="C161" s="4">
        <v>14</v>
      </c>
      <c r="D161" s="4">
        <v>15</v>
      </c>
      <c r="E161" s="4">
        <v>13</v>
      </c>
      <c r="F161" s="4">
        <v>6</v>
      </c>
      <c r="G161" s="4">
        <v>4</v>
      </c>
      <c r="H161" s="4">
        <v>18</v>
      </c>
      <c r="I161" s="4">
        <v>17</v>
      </c>
      <c r="J161" s="4">
        <v>14</v>
      </c>
      <c r="K161" s="4">
        <v>17</v>
      </c>
      <c r="L161" s="4">
        <v>11</v>
      </c>
      <c r="M161" s="4">
        <v>13</v>
      </c>
      <c r="N161" s="4">
        <v>14</v>
      </c>
      <c r="O161" s="5">
        <f t="shared" si="2"/>
        <v>156</v>
      </c>
    </row>
    <row r="162" spans="1:15" x14ac:dyDescent="0.25">
      <c r="A162" s="4" t="s">
        <v>323</v>
      </c>
      <c r="B162" s="4" t="s">
        <v>388</v>
      </c>
      <c r="C162" s="4">
        <v>8</v>
      </c>
      <c r="D162" s="4">
        <v>12</v>
      </c>
      <c r="E162" s="4">
        <v>4</v>
      </c>
      <c r="F162" s="4">
        <v>6</v>
      </c>
      <c r="G162" s="4">
        <v>13</v>
      </c>
      <c r="H162" s="4">
        <v>12</v>
      </c>
      <c r="I162" s="4">
        <v>15</v>
      </c>
      <c r="J162" s="4">
        <v>11</v>
      </c>
      <c r="K162" s="4">
        <v>14</v>
      </c>
      <c r="L162" s="4">
        <v>14</v>
      </c>
      <c r="M162" s="4">
        <v>17</v>
      </c>
      <c r="N162" s="4">
        <v>23</v>
      </c>
      <c r="O162" s="5">
        <f t="shared" si="2"/>
        <v>149</v>
      </c>
    </row>
    <row r="163" spans="1:15" x14ac:dyDescent="0.25">
      <c r="A163" s="4" t="s">
        <v>325</v>
      </c>
      <c r="B163" s="4" t="s">
        <v>326</v>
      </c>
      <c r="C163" s="4">
        <v>17</v>
      </c>
      <c r="D163" s="4">
        <v>17</v>
      </c>
      <c r="E163" s="4">
        <v>28</v>
      </c>
      <c r="F163" s="4"/>
      <c r="G163" s="4">
        <v>1</v>
      </c>
      <c r="H163" s="4">
        <v>5</v>
      </c>
      <c r="I163" s="4">
        <v>34</v>
      </c>
      <c r="J163" s="4">
        <v>12</v>
      </c>
      <c r="K163" s="4">
        <v>13</v>
      </c>
      <c r="L163" s="4"/>
      <c r="M163" s="4">
        <v>22</v>
      </c>
      <c r="N163" s="4"/>
      <c r="O163" s="5">
        <f t="shared" si="2"/>
        <v>149</v>
      </c>
    </row>
    <row r="164" spans="1:15" x14ac:dyDescent="0.25">
      <c r="A164" s="4" t="s">
        <v>329</v>
      </c>
      <c r="B164" s="4" t="s">
        <v>294</v>
      </c>
      <c r="C164" s="4">
        <v>13</v>
      </c>
      <c r="D164" s="4">
        <v>6</v>
      </c>
      <c r="E164" s="4">
        <v>16</v>
      </c>
      <c r="F164" s="4"/>
      <c r="G164" s="4"/>
      <c r="H164" s="4">
        <v>23</v>
      </c>
      <c r="I164" s="4">
        <v>1</v>
      </c>
      <c r="J164" s="4">
        <v>25</v>
      </c>
      <c r="K164" s="4">
        <v>36</v>
      </c>
      <c r="L164" s="4"/>
      <c r="M164" s="4">
        <v>27</v>
      </c>
      <c r="N164" s="4"/>
      <c r="O164" s="5">
        <f t="shared" si="2"/>
        <v>147</v>
      </c>
    </row>
    <row r="165" spans="1:15" x14ac:dyDescent="0.25">
      <c r="A165" s="4" t="s">
        <v>327</v>
      </c>
      <c r="B165" s="4" t="s">
        <v>521</v>
      </c>
      <c r="C165" s="4">
        <v>4</v>
      </c>
      <c r="D165" s="4">
        <v>29</v>
      </c>
      <c r="E165" s="4">
        <v>16</v>
      </c>
      <c r="F165" s="4">
        <v>2</v>
      </c>
      <c r="G165" s="4">
        <v>8</v>
      </c>
      <c r="H165" s="4">
        <v>10</v>
      </c>
      <c r="I165" s="4">
        <v>14</v>
      </c>
      <c r="J165" s="4">
        <v>12</v>
      </c>
      <c r="K165" s="4">
        <v>6</v>
      </c>
      <c r="L165" s="4">
        <v>9</v>
      </c>
      <c r="M165" s="4">
        <v>8</v>
      </c>
      <c r="N165" s="4">
        <v>24</v>
      </c>
      <c r="O165" s="5">
        <f t="shared" si="2"/>
        <v>142</v>
      </c>
    </row>
    <row r="166" spans="1:15" x14ac:dyDescent="0.25">
      <c r="A166" s="4" t="s">
        <v>331</v>
      </c>
      <c r="B166" s="4" t="s">
        <v>622</v>
      </c>
      <c r="C166" s="4">
        <v>43</v>
      </c>
      <c r="D166" s="4">
        <v>24</v>
      </c>
      <c r="E166" s="4">
        <v>14</v>
      </c>
      <c r="F166" s="4">
        <v>2</v>
      </c>
      <c r="G166" s="4">
        <v>3</v>
      </c>
      <c r="H166" s="4">
        <v>12</v>
      </c>
      <c r="I166" s="4">
        <v>7</v>
      </c>
      <c r="J166" s="4">
        <v>16</v>
      </c>
      <c r="K166" s="4">
        <v>14</v>
      </c>
      <c r="L166" s="4">
        <v>2</v>
      </c>
      <c r="M166" s="4">
        <v>2</v>
      </c>
      <c r="N166" s="4">
        <v>2</v>
      </c>
      <c r="O166" s="5">
        <f t="shared" si="2"/>
        <v>141</v>
      </c>
    </row>
    <row r="167" spans="1:15" x14ac:dyDescent="0.25">
      <c r="A167" s="4" t="s">
        <v>335</v>
      </c>
      <c r="B167" s="4" t="s">
        <v>585</v>
      </c>
      <c r="C167" s="4">
        <v>14</v>
      </c>
      <c r="D167" s="4">
        <v>14</v>
      </c>
      <c r="E167" s="4">
        <v>7</v>
      </c>
      <c r="F167" s="4">
        <v>5</v>
      </c>
      <c r="G167" s="4">
        <v>7</v>
      </c>
      <c r="H167" s="4">
        <v>10</v>
      </c>
      <c r="I167" s="4">
        <v>12</v>
      </c>
      <c r="J167" s="4">
        <v>9</v>
      </c>
      <c r="K167" s="4">
        <v>13</v>
      </c>
      <c r="L167" s="4">
        <v>15</v>
      </c>
      <c r="M167" s="4">
        <v>21</v>
      </c>
      <c r="N167" s="4">
        <v>9</v>
      </c>
      <c r="O167" s="5">
        <f t="shared" si="2"/>
        <v>136</v>
      </c>
    </row>
    <row r="168" spans="1:15" x14ac:dyDescent="0.25">
      <c r="A168" s="4" t="s">
        <v>333</v>
      </c>
      <c r="B168" s="4" t="s">
        <v>652</v>
      </c>
      <c r="C168" s="4">
        <v>39</v>
      </c>
      <c r="D168" s="4">
        <v>28</v>
      </c>
      <c r="E168" s="4">
        <v>17</v>
      </c>
      <c r="F168" s="4">
        <v>3</v>
      </c>
      <c r="G168" s="4">
        <v>8</v>
      </c>
      <c r="H168" s="4">
        <v>14</v>
      </c>
      <c r="I168" s="4">
        <v>15</v>
      </c>
      <c r="J168" s="4">
        <v>1</v>
      </c>
      <c r="K168" s="4">
        <v>3</v>
      </c>
      <c r="L168" s="4">
        <v>3</v>
      </c>
      <c r="M168" s="4">
        <v>1</v>
      </c>
      <c r="N168" s="4"/>
      <c r="O168" s="5">
        <f t="shared" si="2"/>
        <v>132</v>
      </c>
    </row>
    <row r="169" spans="1:15" x14ac:dyDescent="0.25">
      <c r="A169" s="4" t="s">
        <v>337</v>
      </c>
      <c r="B169" s="4" t="s">
        <v>262</v>
      </c>
      <c r="C169" s="4">
        <v>8</v>
      </c>
      <c r="D169" s="4">
        <v>4</v>
      </c>
      <c r="E169" s="4">
        <v>5</v>
      </c>
      <c r="F169" s="4">
        <v>6</v>
      </c>
      <c r="G169" s="4">
        <v>6</v>
      </c>
      <c r="H169" s="4">
        <v>11</v>
      </c>
      <c r="I169" s="4">
        <v>15</v>
      </c>
      <c r="J169" s="4">
        <v>25</v>
      </c>
      <c r="K169" s="4">
        <v>20</v>
      </c>
      <c r="L169" s="4">
        <v>2</v>
      </c>
      <c r="M169" s="4">
        <v>20</v>
      </c>
      <c r="N169" s="4">
        <v>5</v>
      </c>
      <c r="O169" s="5">
        <f t="shared" si="2"/>
        <v>127</v>
      </c>
    </row>
    <row r="170" spans="1:15" x14ac:dyDescent="0.25">
      <c r="A170" s="4" t="s">
        <v>341</v>
      </c>
      <c r="B170" s="4" t="s">
        <v>663</v>
      </c>
      <c r="C170" s="4">
        <v>4</v>
      </c>
      <c r="D170" s="4">
        <v>25</v>
      </c>
      <c r="E170" s="4">
        <v>16</v>
      </c>
      <c r="F170" s="4">
        <v>3</v>
      </c>
      <c r="G170" s="4">
        <v>4</v>
      </c>
      <c r="H170" s="4">
        <v>15</v>
      </c>
      <c r="I170" s="4">
        <v>10</v>
      </c>
      <c r="J170" s="4">
        <v>5</v>
      </c>
      <c r="K170" s="4">
        <v>12</v>
      </c>
      <c r="L170" s="4">
        <v>13</v>
      </c>
      <c r="M170" s="4">
        <v>9</v>
      </c>
      <c r="N170" s="4">
        <v>7</v>
      </c>
      <c r="O170" s="5">
        <f t="shared" si="2"/>
        <v>123</v>
      </c>
    </row>
    <row r="171" spans="1:15" x14ac:dyDescent="0.25">
      <c r="A171" s="4" t="s">
        <v>339</v>
      </c>
      <c r="B171" s="4" t="s">
        <v>436</v>
      </c>
      <c r="C171" s="4">
        <v>9</v>
      </c>
      <c r="D171" s="4">
        <v>16</v>
      </c>
      <c r="E171" s="4">
        <v>17</v>
      </c>
      <c r="F171" s="4">
        <v>1</v>
      </c>
      <c r="G171" s="4">
        <v>2</v>
      </c>
      <c r="H171" s="4">
        <v>5</v>
      </c>
      <c r="I171" s="4">
        <v>12</v>
      </c>
      <c r="J171" s="4">
        <v>9</v>
      </c>
      <c r="K171" s="4">
        <v>16</v>
      </c>
      <c r="L171" s="4">
        <v>12</v>
      </c>
      <c r="M171" s="4">
        <v>16</v>
      </c>
      <c r="N171" s="4">
        <v>7</v>
      </c>
      <c r="O171" s="5">
        <f t="shared" si="2"/>
        <v>122</v>
      </c>
    </row>
    <row r="172" spans="1:15" x14ac:dyDescent="0.25">
      <c r="A172" s="4" t="s">
        <v>343</v>
      </c>
      <c r="B172" s="4" t="s">
        <v>368</v>
      </c>
      <c r="C172" s="4">
        <v>2</v>
      </c>
      <c r="D172" s="4">
        <v>5</v>
      </c>
      <c r="E172" s="4">
        <v>3</v>
      </c>
      <c r="F172" s="4"/>
      <c r="G172" s="4">
        <v>1</v>
      </c>
      <c r="H172" s="4">
        <v>14</v>
      </c>
      <c r="I172" s="4">
        <v>13</v>
      </c>
      <c r="J172" s="4">
        <v>1</v>
      </c>
      <c r="K172" s="4">
        <v>11</v>
      </c>
      <c r="L172" s="4">
        <v>31</v>
      </c>
      <c r="M172" s="4">
        <v>22</v>
      </c>
      <c r="N172" s="4">
        <v>17</v>
      </c>
      <c r="O172" s="5">
        <f t="shared" si="2"/>
        <v>120</v>
      </c>
    </row>
    <row r="173" spans="1:15" x14ac:dyDescent="0.25">
      <c r="A173" s="4" t="s">
        <v>345</v>
      </c>
      <c r="B173" s="4" t="s">
        <v>468</v>
      </c>
      <c r="C173" s="4">
        <v>10</v>
      </c>
      <c r="D173" s="4">
        <v>14</v>
      </c>
      <c r="E173" s="4">
        <v>8</v>
      </c>
      <c r="F173" s="4">
        <v>2</v>
      </c>
      <c r="G173" s="4">
        <v>2</v>
      </c>
      <c r="H173" s="4">
        <v>10</v>
      </c>
      <c r="I173" s="4">
        <v>20</v>
      </c>
      <c r="J173" s="4">
        <v>13</v>
      </c>
      <c r="K173" s="4">
        <v>9</v>
      </c>
      <c r="L173" s="4">
        <v>10</v>
      </c>
      <c r="M173" s="4">
        <v>8</v>
      </c>
      <c r="N173" s="4">
        <v>12</v>
      </c>
      <c r="O173" s="5">
        <f t="shared" si="2"/>
        <v>118</v>
      </c>
    </row>
    <row r="174" spans="1:15" x14ac:dyDescent="0.25">
      <c r="A174" s="4" t="s">
        <v>347</v>
      </c>
      <c r="B174" s="4" t="s">
        <v>514</v>
      </c>
      <c r="C174" s="4">
        <v>16</v>
      </c>
      <c r="D174" s="4">
        <v>10</v>
      </c>
      <c r="E174" s="4">
        <v>12</v>
      </c>
      <c r="F174" s="4">
        <v>1</v>
      </c>
      <c r="G174" s="4">
        <v>4</v>
      </c>
      <c r="H174" s="4">
        <v>14</v>
      </c>
      <c r="I174" s="4">
        <v>12</v>
      </c>
      <c r="J174" s="4">
        <v>38</v>
      </c>
      <c r="K174" s="4">
        <v>2</v>
      </c>
      <c r="L174" s="4">
        <v>2</v>
      </c>
      <c r="M174" s="4">
        <v>2</v>
      </c>
      <c r="N174" s="4">
        <v>1</v>
      </c>
      <c r="O174" s="5">
        <f t="shared" si="2"/>
        <v>114</v>
      </c>
    </row>
    <row r="175" spans="1:15" x14ac:dyDescent="0.25">
      <c r="A175" s="4" t="s">
        <v>353</v>
      </c>
      <c r="B175" s="4" t="s">
        <v>266</v>
      </c>
      <c r="C175" s="4">
        <v>7</v>
      </c>
      <c r="D175" s="4">
        <v>9</v>
      </c>
      <c r="E175" s="4">
        <v>4</v>
      </c>
      <c r="F175" s="4">
        <v>3</v>
      </c>
      <c r="G175" s="4">
        <v>5</v>
      </c>
      <c r="H175" s="4">
        <v>11</v>
      </c>
      <c r="I175" s="4">
        <v>12</v>
      </c>
      <c r="J175" s="4">
        <v>15</v>
      </c>
      <c r="K175" s="4">
        <v>16</v>
      </c>
      <c r="L175" s="4">
        <v>12</v>
      </c>
      <c r="M175" s="4">
        <v>10</v>
      </c>
      <c r="N175" s="4">
        <v>10</v>
      </c>
      <c r="O175" s="5">
        <f t="shared" si="2"/>
        <v>114</v>
      </c>
    </row>
    <row r="176" spans="1:15" x14ac:dyDescent="0.25">
      <c r="A176" s="4" t="s">
        <v>351</v>
      </c>
      <c r="B176" s="4" t="s">
        <v>304</v>
      </c>
      <c r="C176" s="4">
        <v>8</v>
      </c>
      <c r="D176" s="4">
        <v>18</v>
      </c>
      <c r="E176" s="4">
        <v>2</v>
      </c>
      <c r="F176" s="4"/>
      <c r="G176" s="4">
        <v>6</v>
      </c>
      <c r="H176" s="4">
        <v>9</v>
      </c>
      <c r="I176" s="4">
        <v>6</v>
      </c>
      <c r="J176" s="4">
        <v>13</v>
      </c>
      <c r="K176" s="4">
        <v>11</v>
      </c>
      <c r="L176" s="4">
        <v>10</v>
      </c>
      <c r="M176" s="4">
        <v>21</v>
      </c>
      <c r="N176" s="4">
        <v>5</v>
      </c>
      <c r="O176" s="5">
        <f t="shared" si="2"/>
        <v>109</v>
      </c>
    </row>
    <row r="177" spans="1:15" x14ac:dyDescent="0.25">
      <c r="A177" s="4" t="s">
        <v>349</v>
      </c>
      <c r="B177" s="4" t="s">
        <v>332</v>
      </c>
      <c r="C177" s="4">
        <v>13</v>
      </c>
      <c r="D177" s="4">
        <v>15</v>
      </c>
      <c r="E177" s="4">
        <v>6</v>
      </c>
      <c r="F177" s="4">
        <v>4</v>
      </c>
      <c r="G177" s="4">
        <v>5</v>
      </c>
      <c r="H177" s="4">
        <v>11</v>
      </c>
      <c r="I177" s="4">
        <v>12</v>
      </c>
      <c r="J177" s="4">
        <v>9</v>
      </c>
      <c r="K177" s="4">
        <v>7</v>
      </c>
      <c r="L177" s="4">
        <v>5</v>
      </c>
      <c r="M177" s="4">
        <v>4</v>
      </c>
      <c r="N177" s="4">
        <v>18</v>
      </c>
      <c r="O177" s="5">
        <f t="shared" si="2"/>
        <v>109</v>
      </c>
    </row>
    <row r="178" spans="1:15" x14ac:dyDescent="0.25">
      <c r="A178" s="4" t="s">
        <v>355</v>
      </c>
      <c r="B178" s="4" t="s">
        <v>601</v>
      </c>
      <c r="C178" s="4">
        <v>9</v>
      </c>
      <c r="D178" s="4">
        <v>2</v>
      </c>
      <c r="E178" s="4">
        <v>3</v>
      </c>
      <c r="F178" s="4">
        <v>5</v>
      </c>
      <c r="G178" s="4">
        <v>2</v>
      </c>
      <c r="H178" s="4">
        <v>1</v>
      </c>
      <c r="I178" s="4">
        <v>3</v>
      </c>
      <c r="J178" s="4">
        <v>3</v>
      </c>
      <c r="K178" s="4">
        <v>3</v>
      </c>
      <c r="L178" s="4">
        <v>70</v>
      </c>
      <c r="M178" s="4">
        <v>3</v>
      </c>
      <c r="N178" s="4">
        <v>1</v>
      </c>
      <c r="O178" s="5">
        <f t="shared" si="2"/>
        <v>105</v>
      </c>
    </row>
    <row r="179" spans="1:15" x14ac:dyDescent="0.25">
      <c r="A179" s="4" t="s">
        <v>357</v>
      </c>
      <c r="B179" s="4" t="s">
        <v>664</v>
      </c>
      <c r="C179" s="4">
        <v>6</v>
      </c>
      <c r="D179" s="4">
        <v>8</v>
      </c>
      <c r="E179" s="4">
        <v>7</v>
      </c>
      <c r="F179" s="4">
        <v>2</v>
      </c>
      <c r="G179" s="4">
        <v>2</v>
      </c>
      <c r="H179" s="4">
        <v>17</v>
      </c>
      <c r="I179" s="4">
        <v>14</v>
      </c>
      <c r="J179" s="4">
        <v>18</v>
      </c>
      <c r="K179" s="4">
        <v>17</v>
      </c>
      <c r="L179" s="4">
        <v>11</v>
      </c>
      <c r="M179" s="4">
        <v>1</v>
      </c>
      <c r="N179" s="4"/>
      <c r="O179" s="5">
        <f t="shared" si="2"/>
        <v>103</v>
      </c>
    </row>
    <row r="180" spans="1:15" x14ac:dyDescent="0.25">
      <c r="A180" s="4" t="s">
        <v>361</v>
      </c>
      <c r="B180" s="4" t="s">
        <v>665</v>
      </c>
      <c r="C180" s="4">
        <v>23</v>
      </c>
      <c r="D180" s="4">
        <v>32</v>
      </c>
      <c r="E180" s="4">
        <v>10</v>
      </c>
      <c r="F180" s="4">
        <v>3</v>
      </c>
      <c r="G180" s="4">
        <v>2</v>
      </c>
      <c r="H180" s="4">
        <v>22</v>
      </c>
      <c r="I180" s="4">
        <v>7</v>
      </c>
      <c r="J180" s="4">
        <v>3</v>
      </c>
      <c r="K180" s="4"/>
      <c r="L180" s="4"/>
      <c r="M180" s="4"/>
      <c r="N180" s="4"/>
      <c r="O180" s="5">
        <f t="shared" si="2"/>
        <v>102</v>
      </c>
    </row>
    <row r="181" spans="1:15" x14ac:dyDescent="0.25">
      <c r="A181" s="4" t="s">
        <v>359</v>
      </c>
      <c r="B181" s="4" t="s">
        <v>274</v>
      </c>
      <c r="C181" s="4"/>
      <c r="D181" s="4"/>
      <c r="E181" s="4"/>
      <c r="F181" s="4"/>
      <c r="G181" s="4">
        <v>1</v>
      </c>
      <c r="H181" s="4">
        <v>9</v>
      </c>
      <c r="I181" s="4">
        <v>12</v>
      </c>
      <c r="J181" s="4">
        <v>19</v>
      </c>
      <c r="K181" s="4">
        <v>25</v>
      </c>
      <c r="L181" s="4">
        <v>8</v>
      </c>
      <c r="M181" s="4">
        <v>12</v>
      </c>
      <c r="N181" s="4">
        <v>13</v>
      </c>
      <c r="O181" s="5">
        <f t="shared" si="2"/>
        <v>99</v>
      </c>
    </row>
    <row r="182" spans="1:15" x14ac:dyDescent="0.25">
      <c r="A182" s="4" t="s">
        <v>365</v>
      </c>
      <c r="B182" s="4" t="s">
        <v>480</v>
      </c>
      <c r="C182" s="4">
        <v>34</v>
      </c>
      <c r="D182" s="4">
        <v>22</v>
      </c>
      <c r="E182" s="4">
        <v>2</v>
      </c>
      <c r="F182" s="4">
        <v>3</v>
      </c>
      <c r="G182" s="4">
        <v>3</v>
      </c>
      <c r="H182" s="4">
        <v>4</v>
      </c>
      <c r="I182" s="4">
        <v>1</v>
      </c>
      <c r="J182" s="4">
        <v>6</v>
      </c>
      <c r="K182" s="4">
        <v>3</v>
      </c>
      <c r="L182" s="4">
        <v>5</v>
      </c>
      <c r="M182" s="4">
        <v>8</v>
      </c>
      <c r="N182" s="4">
        <v>7</v>
      </c>
      <c r="O182" s="5">
        <f t="shared" si="2"/>
        <v>98</v>
      </c>
    </row>
    <row r="183" spans="1:15" x14ac:dyDescent="0.25">
      <c r="A183" s="4" t="s">
        <v>363</v>
      </c>
      <c r="B183" s="4" t="s">
        <v>400</v>
      </c>
      <c r="C183" s="4">
        <v>8</v>
      </c>
      <c r="D183" s="4">
        <v>22</v>
      </c>
      <c r="E183" s="4">
        <v>7</v>
      </c>
      <c r="F183" s="4">
        <v>4</v>
      </c>
      <c r="G183" s="4"/>
      <c r="H183" s="4">
        <v>5</v>
      </c>
      <c r="I183" s="4">
        <v>6</v>
      </c>
      <c r="J183" s="4">
        <v>6</v>
      </c>
      <c r="K183" s="4">
        <v>9</v>
      </c>
      <c r="L183" s="4">
        <v>15</v>
      </c>
      <c r="M183" s="4">
        <v>7</v>
      </c>
      <c r="N183" s="4">
        <v>9</v>
      </c>
      <c r="O183" s="5">
        <f t="shared" si="2"/>
        <v>98</v>
      </c>
    </row>
    <row r="184" spans="1:15" x14ac:dyDescent="0.25">
      <c r="A184" s="4" t="s">
        <v>369</v>
      </c>
      <c r="B184" s="4" t="s">
        <v>532</v>
      </c>
      <c r="C184" s="4">
        <v>3</v>
      </c>
      <c r="D184" s="4">
        <v>13</v>
      </c>
      <c r="E184" s="4">
        <v>5</v>
      </c>
      <c r="F184" s="4">
        <v>3</v>
      </c>
      <c r="G184" s="4">
        <v>1</v>
      </c>
      <c r="H184" s="4">
        <v>6</v>
      </c>
      <c r="I184" s="4">
        <v>5</v>
      </c>
      <c r="J184" s="4">
        <v>3</v>
      </c>
      <c r="K184" s="4">
        <v>10</v>
      </c>
      <c r="L184" s="4">
        <v>10</v>
      </c>
      <c r="M184" s="4">
        <v>22</v>
      </c>
      <c r="N184" s="4">
        <v>15</v>
      </c>
      <c r="O184" s="5">
        <f t="shared" si="2"/>
        <v>96</v>
      </c>
    </row>
    <row r="185" spans="1:15" x14ac:dyDescent="0.25">
      <c r="A185" s="4" t="s">
        <v>367</v>
      </c>
      <c r="B185" s="4" t="s">
        <v>312</v>
      </c>
      <c r="C185" s="4"/>
      <c r="D185" s="4"/>
      <c r="E185" s="4"/>
      <c r="F185" s="4"/>
      <c r="G185" s="4"/>
      <c r="H185" s="4">
        <v>28</v>
      </c>
      <c r="I185" s="4">
        <v>7</v>
      </c>
      <c r="J185" s="4">
        <v>4</v>
      </c>
      <c r="K185" s="4">
        <v>9</v>
      </c>
      <c r="L185" s="4">
        <v>14</v>
      </c>
      <c r="M185" s="4">
        <v>16</v>
      </c>
      <c r="N185" s="4">
        <v>18</v>
      </c>
      <c r="O185" s="5">
        <f t="shared" si="2"/>
        <v>96</v>
      </c>
    </row>
    <row r="186" spans="1:15" x14ac:dyDescent="0.25">
      <c r="A186" s="4" t="s">
        <v>371</v>
      </c>
      <c r="B186" s="4" t="s">
        <v>386</v>
      </c>
      <c r="C186" s="4">
        <v>3</v>
      </c>
      <c r="D186" s="4">
        <v>4</v>
      </c>
      <c r="E186" s="4">
        <v>11</v>
      </c>
      <c r="F186" s="4">
        <v>1</v>
      </c>
      <c r="G186" s="4">
        <v>5</v>
      </c>
      <c r="H186" s="4">
        <v>7</v>
      </c>
      <c r="I186" s="4">
        <v>10</v>
      </c>
      <c r="J186" s="4">
        <v>9</v>
      </c>
      <c r="K186" s="4">
        <v>12</v>
      </c>
      <c r="L186" s="4">
        <v>10</v>
      </c>
      <c r="M186" s="4">
        <v>12</v>
      </c>
      <c r="N186" s="4">
        <v>11</v>
      </c>
      <c r="O186" s="5">
        <f t="shared" si="2"/>
        <v>95</v>
      </c>
    </row>
    <row r="187" spans="1:15" x14ac:dyDescent="0.25">
      <c r="A187" s="4" t="s">
        <v>373</v>
      </c>
      <c r="B187" s="4" t="s">
        <v>522</v>
      </c>
      <c r="C187" s="4"/>
      <c r="D187" s="4"/>
      <c r="E187" s="4"/>
      <c r="F187" s="4"/>
      <c r="G187" s="4"/>
      <c r="H187" s="4"/>
      <c r="I187" s="4"/>
      <c r="J187" s="4"/>
      <c r="K187" s="4">
        <v>93</v>
      </c>
      <c r="L187" s="4"/>
      <c r="M187" s="4"/>
      <c r="N187" s="4"/>
      <c r="O187" s="5">
        <f t="shared" si="2"/>
        <v>93</v>
      </c>
    </row>
    <row r="188" spans="1:15" x14ac:dyDescent="0.25">
      <c r="A188" s="4" t="s">
        <v>375</v>
      </c>
      <c r="B188" s="4" t="s">
        <v>588</v>
      </c>
      <c r="C188" s="4">
        <v>3</v>
      </c>
      <c r="D188" s="4">
        <v>8</v>
      </c>
      <c r="E188" s="4">
        <v>4</v>
      </c>
      <c r="F188" s="4">
        <v>5</v>
      </c>
      <c r="G188" s="4">
        <v>9</v>
      </c>
      <c r="H188" s="4">
        <v>8</v>
      </c>
      <c r="I188" s="4">
        <v>9</v>
      </c>
      <c r="J188" s="4">
        <v>7</v>
      </c>
      <c r="K188" s="4">
        <v>11</v>
      </c>
      <c r="L188" s="4">
        <v>7</v>
      </c>
      <c r="M188" s="4">
        <v>13</v>
      </c>
      <c r="N188" s="4">
        <v>9</v>
      </c>
      <c r="O188" s="5">
        <f t="shared" si="2"/>
        <v>93</v>
      </c>
    </row>
    <row r="189" spans="1:15" x14ac:dyDescent="0.25">
      <c r="A189" s="4" t="s">
        <v>377</v>
      </c>
      <c r="B189" s="4" t="s">
        <v>545</v>
      </c>
      <c r="C189" s="4">
        <v>5</v>
      </c>
      <c r="D189" s="4">
        <v>10</v>
      </c>
      <c r="E189" s="4">
        <v>6</v>
      </c>
      <c r="F189" s="4">
        <v>5</v>
      </c>
      <c r="G189" s="4">
        <v>2</v>
      </c>
      <c r="H189" s="4">
        <v>5</v>
      </c>
      <c r="I189" s="4">
        <v>8</v>
      </c>
      <c r="J189" s="4">
        <v>8</v>
      </c>
      <c r="K189" s="4">
        <v>6</v>
      </c>
      <c r="L189" s="4">
        <v>8</v>
      </c>
      <c r="M189" s="4">
        <v>14</v>
      </c>
      <c r="N189" s="4">
        <v>13</v>
      </c>
      <c r="O189" s="5">
        <f t="shared" si="2"/>
        <v>90</v>
      </c>
    </row>
    <row r="190" spans="1:15" x14ac:dyDescent="0.25">
      <c r="A190" s="4" t="s">
        <v>379</v>
      </c>
      <c r="B190" s="4" t="s">
        <v>582</v>
      </c>
      <c r="C190" s="4">
        <v>1</v>
      </c>
      <c r="D190" s="4"/>
      <c r="E190" s="4">
        <v>12</v>
      </c>
      <c r="F190" s="4">
        <v>3</v>
      </c>
      <c r="G190" s="4">
        <v>4</v>
      </c>
      <c r="H190" s="4">
        <v>15</v>
      </c>
      <c r="I190" s="4">
        <v>10</v>
      </c>
      <c r="J190" s="4">
        <v>17</v>
      </c>
      <c r="K190" s="4">
        <v>5</v>
      </c>
      <c r="L190" s="4">
        <v>4</v>
      </c>
      <c r="M190" s="4">
        <v>10</v>
      </c>
      <c r="N190" s="4">
        <v>7</v>
      </c>
      <c r="O190" s="5">
        <f t="shared" si="2"/>
        <v>88</v>
      </c>
    </row>
    <row r="191" spans="1:15" x14ac:dyDescent="0.25">
      <c r="A191" s="4" t="s">
        <v>383</v>
      </c>
      <c r="B191" s="4" t="s">
        <v>666</v>
      </c>
      <c r="C191" s="4">
        <v>14</v>
      </c>
      <c r="D191" s="4">
        <v>6</v>
      </c>
      <c r="E191" s="4">
        <v>7</v>
      </c>
      <c r="F191" s="4">
        <v>5</v>
      </c>
      <c r="G191" s="4">
        <v>4</v>
      </c>
      <c r="H191" s="4">
        <v>10</v>
      </c>
      <c r="I191" s="4">
        <v>20</v>
      </c>
      <c r="J191" s="4">
        <v>10</v>
      </c>
      <c r="K191" s="4">
        <v>6</v>
      </c>
      <c r="L191" s="4"/>
      <c r="M191" s="4">
        <v>1</v>
      </c>
      <c r="N191" s="4">
        <v>1</v>
      </c>
      <c r="O191" s="5">
        <f t="shared" si="2"/>
        <v>84</v>
      </c>
    </row>
    <row r="192" spans="1:15" x14ac:dyDescent="0.25">
      <c r="A192" s="4" t="s">
        <v>381</v>
      </c>
      <c r="B192" s="4" t="s">
        <v>394</v>
      </c>
      <c r="C192" s="4">
        <v>6</v>
      </c>
      <c r="D192" s="4">
        <v>6</v>
      </c>
      <c r="E192" s="4">
        <v>3</v>
      </c>
      <c r="F192" s="4"/>
      <c r="G192" s="4">
        <v>6</v>
      </c>
      <c r="H192" s="4">
        <v>8</v>
      </c>
      <c r="I192" s="4">
        <v>13</v>
      </c>
      <c r="J192" s="4">
        <v>10</v>
      </c>
      <c r="K192" s="4">
        <v>8</v>
      </c>
      <c r="L192" s="4">
        <v>4</v>
      </c>
      <c r="M192" s="4">
        <v>7</v>
      </c>
      <c r="N192" s="4">
        <v>10</v>
      </c>
      <c r="O192" s="5">
        <f t="shared" si="2"/>
        <v>81</v>
      </c>
    </row>
    <row r="193" spans="1:15" x14ac:dyDescent="0.25">
      <c r="A193" s="4" t="s">
        <v>385</v>
      </c>
      <c r="B193" s="4" t="s">
        <v>547</v>
      </c>
      <c r="C193" s="4">
        <v>5</v>
      </c>
      <c r="D193" s="4">
        <v>8</v>
      </c>
      <c r="E193" s="4">
        <v>2</v>
      </c>
      <c r="F193" s="4">
        <v>2</v>
      </c>
      <c r="G193" s="4">
        <v>3</v>
      </c>
      <c r="H193" s="4">
        <v>10</v>
      </c>
      <c r="I193" s="4">
        <v>10</v>
      </c>
      <c r="J193" s="4">
        <v>4</v>
      </c>
      <c r="K193" s="4">
        <v>7</v>
      </c>
      <c r="L193" s="4">
        <v>2</v>
      </c>
      <c r="M193" s="4">
        <v>9</v>
      </c>
      <c r="N193" s="4">
        <v>15</v>
      </c>
      <c r="O193" s="5">
        <f t="shared" si="2"/>
        <v>77</v>
      </c>
    </row>
    <row r="194" spans="1:15" x14ac:dyDescent="0.25">
      <c r="A194" s="4" t="s">
        <v>389</v>
      </c>
      <c r="B194" s="4" t="s">
        <v>667</v>
      </c>
      <c r="C194" s="4"/>
      <c r="D194" s="4">
        <v>23</v>
      </c>
      <c r="E194" s="4"/>
      <c r="F194" s="4">
        <v>3</v>
      </c>
      <c r="G194" s="4">
        <v>4</v>
      </c>
      <c r="H194" s="4">
        <v>11</v>
      </c>
      <c r="I194" s="4">
        <v>20</v>
      </c>
      <c r="J194" s="4">
        <v>10</v>
      </c>
      <c r="K194" s="4"/>
      <c r="L194" s="4"/>
      <c r="M194" s="4"/>
      <c r="N194" s="4"/>
      <c r="O194" s="5">
        <f t="shared" si="2"/>
        <v>71</v>
      </c>
    </row>
    <row r="195" spans="1:15" x14ac:dyDescent="0.25">
      <c r="A195" s="4" t="s">
        <v>387</v>
      </c>
      <c r="B195" s="4" t="s">
        <v>424</v>
      </c>
      <c r="C195" s="4">
        <v>10</v>
      </c>
      <c r="D195" s="4"/>
      <c r="E195" s="4"/>
      <c r="F195" s="4"/>
      <c r="G195" s="4"/>
      <c r="H195" s="4"/>
      <c r="I195" s="4">
        <v>1</v>
      </c>
      <c r="J195" s="4"/>
      <c r="K195" s="4">
        <v>7</v>
      </c>
      <c r="L195" s="4">
        <v>44</v>
      </c>
      <c r="M195" s="4">
        <v>3</v>
      </c>
      <c r="N195" s="4">
        <v>1</v>
      </c>
      <c r="O195" s="5">
        <f t="shared" ref="O195:O258" si="3">SUM(C195:N195)</f>
        <v>66</v>
      </c>
    </row>
    <row r="196" spans="1:15" x14ac:dyDescent="0.25">
      <c r="A196" s="4" t="s">
        <v>391</v>
      </c>
      <c r="B196" s="4" t="s">
        <v>194</v>
      </c>
      <c r="C196" s="4">
        <v>6</v>
      </c>
      <c r="D196" s="4">
        <v>8</v>
      </c>
      <c r="E196" s="4">
        <v>10</v>
      </c>
      <c r="F196" s="4">
        <v>3</v>
      </c>
      <c r="G196" s="4">
        <v>5</v>
      </c>
      <c r="H196" s="4">
        <v>10</v>
      </c>
      <c r="I196" s="4">
        <v>8</v>
      </c>
      <c r="J196" s="4">
        <v>6</v>
      </c>
      <c r="K196" s="4">
        <v>4</v>
      </c>
      <c r="L196" s="4">
        <v>1</v>
      </c>
      <c r="M196" s="4">
        <v>3</v>
      </c>
      <c r="N196" s="4">
        <v>1</v>
      </c>
      <c r="O196" s="5">
        <f t="shared" si="3"/>
        <v>65</v>
      </c>
    </row>
    <row r="197" spans="1:15" x14ac:dyDescent="0.25">
      <c r="A197" s="4" t="s">
        <v>393</v>
      </c>
      <c r="B197" s="4" t="s">
        <v>525</v>
      </c>
      <c r="C197" s="4">
        <v>2</v>
      </c>
      <c r="D197" s="4">
        <v>10</v>
      </c>
      <c r="E197" s="4">
        <v>3</v>
      </c>
      <c r="F197" s="4"/>
      <c r="G197" s="4">
        <v>4</v>
      </c>
      <c r="H197" s="4">
        <v>7</v>
      </c>
      <c r="I197" s="4">
        <v>5</v>
      </c>
      <c r="J197" s="4">
        <v>4</v>
      </c>
      <c r="K197" s="4">
        <v>3</v>
      </c>
      <c r="L197" s="4">
        <v>10</v>
      </c>
      <c r="M197" s="4">
        <v>8</v>
      </c>
      <c r="N197" s="4">
        <v>9</v>
      </c>
      <c r="O197" s="5">
        <f t="shared" si="3"/>
        <v>65</v>
      </c>
    </row>
    <row r="198" spans="1:15" x14ac:dyDescent="0.25">
      <c r="A198" s="4" t="s">
        <v>397</v>
      </c>
      <c r="B198" s="4" t="s">
        <v>594</v>
      </c>
      <c r="C198" s="4">
        <v>9</v>
      </c>
      <c r="D198" s="4">
        <v>11</v>
      </c>
      <c r="E198" s="4">
        <v>9</v>
      </c>
      <c r="F198" s="4">
        <v>1</v>
      </c>
      <c r="G198" s="4">
        <v>1</v>
      </c>
      <c r="H198" s="4">
        <v>1</v>
      </c>
      <c r="I198" s="4">
        <v>1</v>
      </c>
      <c r="J198" s="4">
        <v>2</v>
      </c>
      <c r="K198" s="4"/>
      <c r="L198" s="4">
        <v>17</v>
      </c>
      <c r="M198" s="4"/>
      <c r="N198" s="4">
        <v>11</v>
      </c>
      <c r="O198" s="5">
        <f t="shared" si="3"/>
        <v>63</v>
      </c>
    </row>
    <row r="199" spans="1:15" x14ac:dyDescent="0.25">
      <c r="A199" s="4" t="s">
        <v>395</v>
      </c>
      <c r="B199" s="4" t="s">
        <v>308</v>
      </c>
      <c r="C199" s="4">
        <v>5</v>
      </c>
      <c r="D199" s="4">
        <v>9</v>
      </c>
      <c r="E199" s="4">
        <v>1</v>
      </c>
      <c r="F199" s="4"/>
      <c r="G199" s="4">
        <v>1</v>
      </c>
      <c r="H199" s="4">
        <v>1</v>
      </c>
      <c r="I199" s="4">
        <v>1</v>
      </c>
      <c r="J199" s="4">
        <v>7</v>
      </c>
      <c r="K199" s="4">
        <v>1</v>
      </c>
      <c r="L199" s="4">
        <v>2</v>
      </c>
      <c r="M199" s="4">
        <v>13</v>
      </c>
      <c r="N199" s="4">
        <v>19</v>
      </c>
      <c r="O199" s="5">
        <f t="shared" si="3"/>
        <v>60</v>
      </c>
    </row>
    <row r="200" spans="1:15" x14ac:dyDescent="0.25">
      <c r="A200" s="4" t="s">
        <v>399</v>
      </c>
      <c r="B200" s="4" t="s">
        <v>350</v>
      </c>
      <c r="C200" s="4"/>
      <c r="D200" s="4"/>
      <c r="E200" s="4"/>
      <c r="F200" s="4"/>
      <c r="G200" s="4"/>
      <c r="H200" s="4"/>
      <c r="I200" s="4"/>
      <c r="J200" s="4"/>
      <c r="K200" s="4"/>
      <c r="L200" s="4">
        <v>17</v>
      </c>
      <c r="M200" s="4">
        <v>25</v>
      </c>
      <c r="N200" s="4">
        <v>18</v>
      </c>
      <c r="O200" s="5">
        <f t="shared" si="3"/>
        <v>60</v>
      </c>
    </row>
    <row r="201" spans="1:15" x14ac:dyDescent="0.25">
      <c r="A201" s="4" t="s">
        <v>401</v>
      </c>
      <c r="B201" s="4" t="s">
        <v>450</v>
      </c>
      <c r="C201" s="4">
        <v>5</v>
      </c>
      <c r="D201" s="4">
        <v>11</v>
      </c>
      <c r="E201" s="4"/>
      <c r="F201" s="4"/>
      <c r="G201" s="4">
        <v>1</v>
      </c>
      <c r="H201" s="4">
        <v>4</v>
      </c>
      <c r="I201" s="4">
        <v>11</v>
      </c>
      <c r="J201" s="4">
        <v>7</v>
      </c>
      <c r="K201" s="4">
        <v>4</v>
      </c>
      <c r="L201" s="4">
        <v>5</v>
      </c>
      <c r="M201" s="4">
        <v>8</v>
      </c>
      <c r="N201" s="4">
        <v>1</v>
      </c>
      <c r="O201" s="5">
        <f t="shared" si="3"/>
        <v>57</v>
      </c>
    </row>
    <row r="202" spans="1:15" x14ac:dyDescent="0.25">
      <c r="A202" s="4" t="s">
        <v>409</v>
      </c>
      <c r="B202" s="4" t="s">
        <v>610</v>
      </c>
      <c r="C202" s="4">
        <v>14</v>
      </c>
      <c r="D202" s="4">
        <v>5</v>
      </c>
      <c r="E202" s="4">
        <v>4</v>
      </c>
      <c r="F202" s="4">
        <v>1</v>
      </c>
      <c r="G202" s="4">
        <v>2</v>
      </c>
      <c r="H202" s="4">
        <v>3</v>
      </c>
      <c r="I202" s="4">
        <v>12</v>
      </c>
      <c r="J202" s="4">
        <v>8</v>
      </c>
      <c r="K202" s="4">
        <v>2</v>
      </c>
      <c r="L202" s="4">
        <v>2</v>
      </c>
      <c r="M202" s="4"/>
      <c r="N202" s="4">
        <v>1</v>
      </c>
      <c r="O202" s="5">
        <f t="shared" si="3"/>
        <v>54</v>
      </c>
    </row>
    <row r="203" spans="1:15" x14ac:dyDescent="0.25">
      <c r="A203" s="4" t="s">
        <v>407</v>
      </c>
      <c r="B203" s="4" t="s">
        <v>428</v>
      </c>
      <c r="C203" s="4">
        <v>4</v>
      </c>
      <c r="D203" s="4"/>
      <c r="E203" s="4">
        <v>9</v>
      </c>
      <c r="F203" s="4"/>
      <c r="G203" s="4"/>
      <c r="H203" s="4"/>
      <c r="I203" s="4"/>
      <c r="J203" s="4">
        <v>8</v>
      </c>
      <c r="K203" s="4">
        <v>14</v>
      </c>
      <c r="L203" s="4">
        <v>8</v>
      </c>
      <c r="M203" s="4">
        <v>5</v>
      </c>
      <c r="N203" s="4">
        <v>2</v>
      </c>
      <c r="O203" s="5">
        <f t="shared" si="3"/>
        <v>50</v>
      </c>
    </row>
    <row r="204" spans="1:15" x14ac:dyDescent="0.25">
      <c r="A204" s="4" t="s">
        <v>405</v>
      </c>
      <c r="B204" s="4" t="s">
        <v>548</v>
      </c>
      <c r="C204" s="4">
        <v>2</v>
      </c>
      <c r="D204" s="4">
        <v>2</v>
      </c>
      <c r="E204" s="4">
        <v>3</v>
      </c>
      <c r="F204" s="4">
        <v>1</v>
      </c>
      <c r="G204" s="4">
        <v>1</v>
      </c>
      <c r="H204" s="4">
        <v>2</v>
      </c>
      <c r="I204" s="4">
        <v>5</v>
      </c>
      <c r="J204" s="4">
        <v>7</v>
      </c>
      <c r="K204" s="4">
        <v>11</v>
      </c>
      <c r="L204" s="4">
        <v>5</v>
      </c>
      <c r="M204" s="4">
        <v>2</v>
      </c>
      <c r="N204" s="4">
        <v>1</v>
      </c>
      <c r="O204" s="5">
        <f t="shared" si="3"/>
        <v>42</v>
      </c>
    </row>
    <row r="205" spans="1:15" x14ac:dyDescent="0.25">
      <c r="A205" s="4" t="s">
        <v>403</v>
      </c>
      <c r="B205" s="4" t="s">
        <v>583</v>
      </c>
      <c r="C205" s="4"/>
      <c r="D205" s="4">
        <v>7</v>
      </c>
      <c r="E205" s="4">
        <v>2</v>
      </c>
      <c r="F205" s="4">
        <v>2</v>
      </c>
      <c r="G205" s="4">
        <v>2</v>
      </c>
      <c r="H205" s="4">
        <v>4</v>
      </c>
      <c r="I205" s="4">
        <v>4</v>
      </c>
      <c r="J205" s="4">
        <v>5</v>
      </c>
      <c r="K205" s="4">
        <v>8</v>
      </c>
      <c r="L205" s="4">
        <v>3</v>
      </c>
      <c r="M205" s="4">
        <v>4</v>
      </c>
      <c r="N205" s="4">
        <v>1</v>
      </c>
      <c r="O205" s="5">
        <f t="shared" si="3"/>
        <v>42</v>
      </c>
    </row>
    <row r="206" spans="1:15" x14ac:dyDescent="0.25">
      <c r="A206" s="4" t="s">
        <v>413</v>
      </c>
      <c r="B206" s="4" t="s">
        <v>340</v>
      </c>
      <c r="C206" s="4">
        <v>6</v>
      </c>
      <c r="D206" s="4">
        <v>3</v>
      </c>
      <c r="E206" s="4">
        <v>11</v>
      </c>
      <c r="F206" s="4">
        <v>2</v>
      </c>
      <c r="G206" s="4">
        <v>2</v>
      </c>
      <c r="H206" s="4">
        <v>6</v>
      </c>
      <c r="I206" s="4">
        <v>3</v>
      </c>
      <c r="J206" s="4">
        <v>3</v>
      </c>
      <c r="K206" s="4">
        <v>2</v>
      </c>
      <c r="L206" s="4">
        <v>1</v>
      </c>
      <c r="M206" s="4">
        <v>2</v>
      </c>
      <c r="N206" s="4">
        <v>1</v>
      </c>
      <c r="O206" s="5">
        <f t="shared" si="3"/>
        <v>42</v>
      </c>
    </row>
    <row r="207" spans="1:15" x14ac:dyDescent="0.25">
      <c r="A207" s="4" t="s">
        <v>411</v>
      </c>
      <c r="B207" s="4" t="s">
        <v>592</v>
      </c>
      <c r="C207" s="4">
        <v>6</v>
      </c>
      <c r="D207" s="4">
        <v>4</v>
      </c>
      <c r="E207" s="4">
        <v>1</v>
      </c>
      <c r="F207" s="4"/>
      <c r="G207" s="4">
        <v>1</v>
      </c>
      <c r="H207" s="4">
        <v>3</v>
      </c>
      <c r="I207" s="4">
        <v>6</v>
      </c>
      <c r="J207" s="4">
        <v>2</v>
      </c>
      <c r="K207" s="4">
        <v>3</v>
      </c>
      <c r="L207" s="4">
        <v>4</v>
      </c>
      <c r="M207" s="4">
        <v>4</v>
      </c>
      <c r="N207" s="4">
        <v>4</v>
      </c>
      <c r="O207" s="5">
        <f t="shared" si="3"/>
        <v>38</v>
      </c>
    </row>
    <row r="208" spans="1:15" x14ac:dyDescent="0.25">
      <c r="A208" s="4" t="s">
        <v>417</v>
      </c>
      <c r="B208" s="4" t="s">
        <v>523</v>
      </c>
      <c r="C208" s="4">
        <v>5</v>
      </c>
      <c r="D208" s="4">
        <v>6</v>
      </c>
      <c r="E208" s="4">
        <v>5</v>
      </c>
      <c r="F208" s="4"/>
      <c r="G208" s="4">
        <v>2</v>
      </c>
      <c r="H208" s="4">
        <v>1</v>
      </c>
      <c r="I208" s="4">
        <v>4</v>
      </c>
      <c r="J208" s="4">
        <v>5</v>
      </c>
      <c r="K208" s="4">
        <v>1</v>
      </c>
      <c r="L208" s="4">
        <v>4</v>
      </c>
      <c r="M208" s="4">
        <v>3</v>
      </c>
      <c r="N208" s="4">
        <v>2</v>
      </c>
      <c r="O208" s="5">
        <f t="shared" si="3"/>
        <v>38</v>
      </c>
    </row>
    <row r="209" spans="1:15" x14ac:dyDescent="0.25">
      <c r="A209" s="4" t="s">
        <v>415</v>
      </c>
      <c r="B209" s="4" t="s">
        <v>552</v>
      </c>
      <c r="C209" s="4"/>
      <c r="D209" s="4">
        <v>2</v>
      </c>
      <c r="E209" s="4">
        <v>1</v>
      </c>
      <c r="F209" s="4"/>
      <c r="G209" s="4">
        <v>2</v>
      </c>
      <c r="H209" s="4">
        <v>10</v>
      </c>
      <c r="I209" s="4"/>
      <c r="J209" s="4">
        <v>10</v>
      </c>
      <c r="K209" s="4">
        <v>1</v>
      </c>
      <c r="L209" s="4"/>
      <c r="M209" s="4">
        <v>9</v>
      </c>
      <c r="N209" s="4"/>
      <c r="O209" s="5">
        <f t="shared" si="3"/>
        <v>35</v>
      </c>
    </row>
    <row r="210" spans="1:15" x14ac:dyDescent="0.25">
      <c r="A210" s="4" t="s">
        <v>421</v>
      </c>
      <c r="B210" s="4" t="s">
        <v>520</v>
      </c>
      <c r="C210" s="4">
        <v>12</v>
      </c>
      <c r="D210" s="4">
        <v>4</v>
      </c>
      <c r="E210" s="4"/>
      <c r="F210" s="4"/>
      <c r="G210" s="4"/>
      <c r="H210" s="4">
        <v>5</v>
      </c>
      <c r="I210" s="4"/>
      <c r="J210" s="4"/>
      <c r="K210" s="4">
        <v>11</v>
      </c>
      <c r="L210" s="4">
        <v>1</v>
      </c>
      <c r="M210" s="4"/>
      <c r="N210" s="4"/>
      <c r="O210" s="5">
        <f t="shared" si="3"/>
        <v>33</v>
      </c>
    </row>
    <row r="211" spans="1:15" x14ac:dyDescent="0.25">
      <c r="A211" s="4" t="s">
        <v>419</v>
      </c>
      <c r="B211" s="4" t="s">
        <v>613</v>
      </c>
      <c r="C211" s="4">
        <v>11</v>
      </c>
      <c r="D211" s="4">
        <v>13</v>
      </c>
      <c r="E211" s="4">
        <v>2</v>
      </c>
      <c r="F211" s="4"/>
      <c r="G211" s="4"/>
      <c r="H211" s="4">
        <v>4</v>
      </c>
      <c r="I211" s="4">
        <v>1</v>
      </c>
      <c r="J211" s="4">
        <v>1</v>
      </c>
      <c r="K211" s="4">
        <v>1</v>
      </c>
      <c r="L211" s="4"/>
      <c r="M211" s="4"/>
      <c r="N211" s="4"/>
      <c r="O211" s="5">
        <f t="shared" si="3"/>
        <v>33</v>
      </c>
    </row>
    <row r="212" spans="1:15" x14ac:dyDescent="0.25">
      <c r="A212" s="4" t="s">
        <v>423</v>
      </c>
      <c r="B212" s="4" t="s">
        <v>527</v>
      </c>
      <c r="C212" s="4"/>
      <c r="D212" s="4">
        <v>1</v>
      </c>
      <c r="E212" s="4">
        <v>5</v>
      </c>
      <c r="F212" s="4">
        <v>2</v>
      </c>
      <c r="G212" s="4">
        <v>3</v>
      </c>
      <c r="H212" s="4">
        <v>4</v>
      </c>
      <c r="I212" s="4">
        <v>3</v>
      </c>
      <c r="J212" s="4">
        <v>2</v>
      </c>
      <c r="K212" s="4">
        <v>2</v>
      </c>
      <c r="L212" s="4"/>
      <c r="M212" s="4">
        <v>3</v>
      </c>
      <c r="N212" s="4">
        <v>4</v>
      </c>
      <c r="O212" s="5">
        <f t="shared" si="3"/>
        <v>29</v>
      </c>
    </row>
    <row r="213" spans="1:15" x14ac:dyDescent="0.25">
      <c r="A213" s="4" t="s">
        <v>427</v>
      </c>
      <c r="B213" s="4" t="s">
        <v>634</v>
      </c>
      <c r="C213" s="4">
        <v>6</v>
      </c>
      <c r="D213" s="4">
        <v>1</v>
      </c>
      <c r="E213" s="4">
        <v>4</v>
      </c>
      <c r="F213" s="4"/>
      <c r="G213" s="4"/>
      <c r="H213" s="4">
        <v>3</v>
      </c>
      <c r="I213" s="4">
        <v>6</v>
      </c>
      <c r="J213" s="4">
        <v>1</v>
      </c>
      <c r="K213" s="4">
        <v>4</v>
      </c>
      <c r="L213" s="4">
        <v>1</v>
      </c>
      <c r="M213" s="4">
        <v>1</v>
      </c>
      <c r="N213" s="4">
        <v>2</v>
      </c>
      <c r="O213" s="5">
        <f t="shared" si="3"/>
        <v>29</v>
      </c>
    </row>
    <row r="214" spans="1:15" x14ac:dyDescent="0.25">
      <c r="A214" s="4" t="s">
        <v>425</v>
      </c>
      <c r="B214" s="4" t="s">
        <v>342</v>
      </c>
      <c r="C214" s="4">
        <v>6</v>
      </c>
      <c r="D214" s="4">
        <v>7</v>
      </c>
      <c r="E214" s="4">
        <v>3</v>
      </c>
      <c r="F214" s="4"/>
      <c r="G214" s="4"/>
      <c r="H214" s="4">
        <v>3</v>
      </c>
      <c r="I214" s="4">
        <v>2</v>
      </c>
      <c r="J214" s="4"/>
      <c r="K214" s="4">
        <v>2</v>
      </c>
      <c r="L214" s="4">
        <v>1</v>
      </c>
      <c r="M214" s="4"/>
      <c r="N214" s="4">
        <v>3</v>
      </c>
      <c r="O214" s="5">
        <f t="shared" si="3"/>
        <v>27</v>
      </c>
    </row>
    <row r="215" spans="1:15" x14ac:dyDescent="0.25">
      <c r="A215" s="4" t="s">
        <v>445</v>
      </c>
      <c r="B215" s="4" t="s">
        <v>543</v>
      </c>
      <c r="C215" s="4"/>
      <c r="D215" s="4"/>
      <c r="E215" s="4"/>
      <c r="F215" s="4"/>
      <c r="G215" s="4"/>
      <c r="H215" s="4"/>
      <c r="I215" s="4"/>
      <c r="J215" s="4"/>
      <c r="K215" s="4">
        <v>2</v>
      </c>
      <c r="L215" s="4">
        <v>12</v>
      </c>
      <c r="M215" s="4">
        <v>3</v>
      </c>
      <c r="N215" s="4">
        <v>10</v>
      </c>
      <c r="O215" s="5">
        <f t="shared" si="3"/>
        <v>27</v>
      </c>
    </row>
    <row r="216" spans="1:15" x14ac:dyDescent="0.25">
      <c r="A216" s="4" t="s">
        <v>443</v>
      </c>
      <c r="B216" s="4" t="s">
        <v>668</v>
      </c>
      <c r="C216" s="4">
        <v>1</v>
      </c>
      <c r="D216" s="4">
        <v>5</v>
      </c>
      <c r="E216" s="4">
        <v>4</v>
      </c>
      <c r="F216" s="4">
        <v>2</v>
      </c>
      <c r="G216" s="4">
        <v>1</v>
      </c>
      <c r="H216" s="4">
        <v>3</v>
      </c>
      <c r="I216" s="4">
        <v>4</v>
      </c>
      <c r="J216" s="4">
        <v>4</v>
      </c>
      <c r="K216" s="4"/>
      <c r="L216" s="4"/>
      <c r="M216" s="4">
        <v>1</v>
      </c>
      <c r="N216" s="4">
        <v>1</v>
      </c>
      <c r="O216" s="5">
        <f t="shared" si="3"/>
        <v>26</v>
      </c>
    </row>
    <row r="217" spans="1:15" x14ac:dyDescent="0.25">
      <c r="A217" s="4" t="s">
        <v>441</v>
      </c>
      <c r="B217" s="4" t="s">
        <v>570</v>
      </c>
      <c r="C217" s="4">
        <v>10</v>
      </c>
      <c r="D217" s="4">
        <v>2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8</v>
      </c>
      <c r="L217" s="4"/>
      <c r="M217" s="4"/>
      <c r="N217" s="4"/>
      <c r="O217" s="5">
        <f t="shared" si="3"/>
        <v>26</v>
      </c>
    </row>
    <row r="218" spans="1:15" x14ac:dyDescent="0.25">
      <c r="A218" s="4" t="s">
        <v>439</v>
      </c>
      <c r="B218" s="4" t="s">
        <v>573</v>
      </c>
      <c r="C218" s="4">
        <v>3</v>
      </c>
      <c r="D218" s="4">
        <v>4</v>
      </c>
      <c r="E218" s="4">
        <v>4</v>
      </c>
      <c r="F218" s="4">
        <v>1</v>
      </c>
      <c r="G218" s="4">
        <v>1</v>
      </c>
      <c r="H218" s="4">
        <v>2</v>
      </c>
      <c r="I218" s="4">
        <v>3</v>
      </c>
      <c r="J218" s="4">
        <v>2</v>
      </c>
      <c r="K218" s="4">
        <v>4</v>
      </c>
      <c r="L218" s="4"/>
      <c r="M218" s="4">
        <v>1</v>
      </c>
      <c r="N218" s="4">
        <v>1</v>
      </c>
      <c r="O218" s="5">
        <f t="shared" si="3"/>
        <v>26</v>
      </c>
    </row>
    <row r="219" spans="1:15" x14ac:dyDescent="0.25">
      <c r="A219" s="4" t="s">
        <v>437</v>
      </c>
      <c r="B219" s="4" t="s">
        <v>240</v>
      </c>
      <c r="C219" s="4"/>
      <c r="D219" s="4"/>
      <c r="E219" s="4"/>
      <c r="F219" s="4"/>
      <c r="G219" s="4">
        <v>19</v>
      </c>
      <c r="H219" s="4"/>
      <c r="I219" s="4"/>
      <c r="J219" s="4"/>
      <c r="K219" s="4"/>
      <c r="L219" s="4">
        <v>1</v>
      </c>
      <c r="M219" s="4">
        <v>2</v>
      </c>
      <c r="N219" s="4">
        <v>2</v>
      </c>
      <c r="O219" s="5">
        <f t="shared" si="3"/>
        <v>24</v>
      </c>
    </row>
    <row r="220" spans="1:15" x14ac:dyDescent="0.25">
      <c r="A220" s="4" t="s">
        <v>435</v>
      </c>
      <c r="B220" s="4" t="s">
        <v>568</v>
      </c>
      <c r="C220" s="4">
        <v>4</v>
      </c>
      <c r="D220" s="4">
        <v>1</v>
      </c>
      <c r="E220" s="4">
        <v>2</v>
      </c>
      <c r="F220" s="4">
        <v>1</v>
      </c>
      <c r="G220" s="4"/>
      <c r="H220" s="4"/>
      <c r="I220" s="4">
        <v>3</v>
      </c>
      <c r="J220" s="4">
        <v>1</v>
      </c>
      <c r="K220" s="4">
        <v>3</v>
      </c>
      <c r="L220" s="4">
        <v>1</v>
      </c>
      <c r="M220" s="4">
        <v>4</v>
      </c>
      <c r="N220" s="4">
        <v>4</v>
      </c>
      <c r="O220" s="5">
        <f t="shared" si="3"/>
        <v>24</v>
      </c>
    </row>
    <row r="221" spans="1:15" x14ac:dyDescent="0.25">
      <c r="A221" s="4" t="s">
        <v>433</v>
      </c>
      <c r="B221" s="4" t="s">
        <v>591</v>
      </c>
      <c r="C221" s="4">
        <v>4</v>
      </c>
      <c r="D221" s="4">
        <v>4</v>
      </c>
      <c r="E221" s="4">
        <v>3</v>
      </c>
      <c r="F221" s="4"/>
      <c r="G221" s="4"/>
      <c r="H221" s="4">
        <v>2</v>
      </c>
      <c r="I221" s="4"/>
      <c r="J221" s="4"/>
      <c r="K221" s="4">
        <v>3</v>
      </c>
      <c r="L221" s="4"/>
      <c r="M221" s="4">
        <v>2</v>
      </c>
      <c r="N221" s="4">
        <v>5</v>
      </c>
      <c r="O221" s="5">
        <f t="shared" si="3"/>
        <v>23</v>
      </c>
    </row>
    <row r="222" spans="1:15" x14ac:dyDescent="0.25">
      <c r="A222" s="4" t="s">
        <v>431</v>
      </c>
      <c r="B222" s="4" t="s">
        <v>645</v>
      </c>
      <c r="C222" s="4">
        <v>13</v>
      </c>
      <c r="D222" s="4">
        <v>2</v>
      </c>
      <c r="E222" s="4">
        <v>2</v>
      </c>
      <c r="F222" s="4">
        <v>1</v>
      </c>
      <c r="G222" s="4">
        <v>2</v>
      </c>
      <c r="H222" s="4">
        <v>1</v>
      </c>
      <c r="I222" s="4"/>
      <c r="J222" s="4">
        <v>1</v>
      </c>
      <c r="K222" s="4">
        <v>1</v>
      </c>
      <c r="L222" s="4"/>
      <c r="M222" s="4"/>
      <c r="N222" s="4"/>
      <c r="O222" s="5">
        <f t="shared" si="3"/>
        <v>23</v>
      </c>
    </row>
    <row r="223" spans="1:15" x14ac:dyDescent="0.25">
      <c r="A223" s="4" t="s">
        <v>429</v>
      </c>
      <c r="B223" s="4" t="s">
        <v>358</v>
      </c>
      <c r="C223" s="4">
        <v>4</v>
      </c>
      <c r="D223" s="4">
        <v>4</v>
      </c>
      <c r="E223" s="4">
        <v>1</v>
      </c>
      <c r="F223" s="4"/>
      <c r="G223" s="4">
        <v>5</v>
      </c>
      <c r="H223" s="4">
        <v>1</v>
      </c>
      <c r="I223" s="4">
        <v>1</v>
      </c>
      <c r="J223" s="4"/>
      <c r="K223" s="4">
        <v>5</v>
      </c>
      <c r="L223" s="4">
        <v>1</v>
      </c>
      <c r="M223" s="4"/>
      <c r="N223" s="4">
        <v>1</v>
      </c>
      <c r="O223" s="5">
        <f t="shared" si="3"/>
        <v>23</v>
      </c>
    </row>
    <row r="224" spans="1:15" x14ac:dyDescent="0.25">
      <c r="A224" s="4" t="s">
        <v>473</v>
      </c>
      <c r="B224" s="4" t="s">
        <v>549</v>
      </c>
      <c r="C224" s="4">
        <v>3</v>
      </c>
      <c r="D224" s="4">
        <v>3</v>
      </c>
      <c r="E224" s="4"/>
      <c r="F224" s="4"/>
      <c r="G224" s="4">
        <v>1</v>
      </c>
      <c r="H224" s="4">
        <v>3</v>
      </c>
      <c r="I224" s="4">
        <v>3</v>
      </c>
      <c r="J224" s="4">
        <v>3</v>
      </c>
      <c r="K224" s="4"/>
      <c r="L224" s="4">
        <v>2</v>
      </c>
      <c r="M224" s="4">
        <v>2</v>
      </c>
      <c r="N224" s="4">
        <v>1</v>
      </c>
      <c r="O224" s="5">
        <f t="shared" si="3"/>
        <v>21</v>
      </c>
    </row>
    <row r="225" spans="1:15" x14ac:dyDescent="0.25">
      <c r="A225" s="4" t="s">
        <v>471</v>
      </c>
      <c r="B225" s="4" t="s">
        <v>606</v>
      </c>
      <c r="C225" s="4">
        <v>6</v>
      </c>
      <c r="D225" s="4">
        <v>2</v>
      </c>
      <c r="E225" s="4"/>
      <c r="F225" s="4"/>
      <c r="G225" s="4">
        <v>3</v>
      </c>
      <c r="H225" s="4"/>
      <c r="I225" s="4">
        <v>1</v>
      </c>
      <c r="J225" s="4">
        <v>4</v>
      </c>
      <c r="K225" s="4">
        <v>3</v>
      </c>
      <c r="L225" s="4">
        <v>1</v>
      </c>
      <c r="M225" s="4"/>
      <c r="N225" s="4"/>
      <c r="O225" s="5">
        <f t="shared" si="3"/>
        <v>20</v>
      </c>
    </row>
    <row r="226" spans="1:15" x14ac:dyDescent="0.25">
      <c r="A226" s="4" t="s">
        <v>469</v>
      </c>
      <c r="B226" s="4" t="s">
        <v>356</v>
      </c>
      <c r="C226" s="4"/>
      <c r="D226" s="4"/>
      <c r="E226" s="4"/>
      <c r="F226" s="4"/>
      <c r="G226" s="4"/>
      <c r="H226" s="4">
        <v>4</v>
      </c>
      <c r="I226" s="4"/>
      <c r="J226" s="4">
        <v>1</v>
      </c>
      <c r="K226" s="4">
        <v>4</v>
      </c>
      <c r="L226" s="4">
        <v>6</v>
      </c>
      <c r="M226" s="4">
        <v>1</v>
      </c>
      <c r="N226" s="4">
        <v>3</v>
      </c>
      <c r="O226" s="5">
        <f t="shared" si="3"/>
        <v>19</v>
      </c>
    </row>
    <row r="227" spans="1:15" x14ac:dyDescent="0.25">
      <c r="A227" s="4" t="s">
        <v>467</v>
      </c>
      <c r="B227" s="4" t="s">
        <v>533</v>
      </c>
      <c r="C227" s="4"/>
      <c r="D227" s="4"/>
      <c r="E227" s="4"/>
      <c r="F227" s="4"/>
      <c r="G227" s="4"/>
      <c r="H227" s="4"/>
      <c r="I227" s="4"/>
      <c r="J227" s="4"/>
      <c r="K227" s="4">
        <v>4</v>
      </c>
      <c r="L227" s="4">
        <v>4</v>
      </c>
      <c r="M227" s="4">
        <v>3</v>
      </c>
      <c r="N227" s="4">
        <v>6</v>
      </c>
      <c r="O227" s="5">
        <f t="shared" si="3"/>
        <v>17</v>
      </c>
    </row>
    <row r="228" spans="1:15" x14ac:dyDescent="0.25">
      <c r="A228" s="4" t="s">
        <v>465</v>
      </c>
      <c r="B228" s="4" t="s">
        <v>538</v>
      </c>
      <c r="C228" s="4">
        <v>10</v>
      </c>
      <c r="D228" s="4">
        <v>2</v>
      </c>
      <c r="E228" s="4"/>
      <c r="F228" s="4">
        <v>1</v>
      </c>
      <c r="G228" s="4"/>
      <c r="H228" s="4"/>
      <c r="I228" s="4"/>
      <c r="J228" s="4">
        <v>1</v>
      </c>
      <c r="K228" s="4">
        <v>1</v>
      </c>
      <c r="L228" s="4"/>
      <c r="M228" s="4"/>
      <c r="N228" s="4">
        <v>2</v>
      </c>
      <c r="O228" s="5">
        <f t="shared" si="3"/>
        <v>17</v>
      </c>
    </row>
    <row r="229" spans="1:15" x14ac:dyDescent="0.25">
      <c r="A229" s="4" t="s">
        <v>463</v>
      </c>
      <c r="B229" s="4" t="s">
        <v>640</v>
      </c>
      <c r="C229" s="4">
        <v>8</v>
      </c>
      <c r="D229" s="4">
        <v>2</v>
      </c>
      <c r="E229" s="4">
        <v>2</v>
      </c>
      <c r="F229" s="4"/>
      <c r="G229" s="4"/>
      <c r="H229" s="4">
        <v>1</v>
      </c>
      <c r="I229" s="4">
        <v>2</v>
      </c>
      <c r="J229" s="4">
        <v>1</v>
      </c>
      <c r="K229" s="4">
        <v>1</v>
      </c>
      <c r="L229" s="4"/>
      <c r="M229" s="4"/>
      <c r="N229" s="4"/>
      <c r="O229" s="5">
        <f t="shared" si="3"/>
        <v>17</v>
      </c>
    </row>
    <row r="230" spans="1:15" x14ac:dyDescent="0.25">
      <c r="A230" s="4" t="s">
        <v>461</v>
      </c>
      <c r="B230" s="4" t="s">
        <v>596</v>
      </c>
      <c r="C230" s="4">
        <v>1</v>
      </c>
      <c r="D230" s="4">
        <v>1</v>
      </c>
      <c r="E230" s="4">
        <v>12</v>
      </c>
      <c r="F230" s="4"/>
      <c r="G230" s="4"/>
      <c r="H230" s="4"/>
      <c r="I230" s="4"/>
      <c r="J230" s="4"/>
      <c r="K230" s="4">
        <v>2</v>
      </c>
      <c r="L230" s="4"/>
      <c r="M230" s="4"/>
      <c r="N230" s="4"/>
      <c r="O230" s="5">
        <f t="shared" si="3"/>
        <v>16</v>
      </c>
    </row>
    <row r="231" spans="1:15" x14ac:dyDescent="0.25">
      <c r="A231" s="4" t="s">
        <v>459</v>
      </c>
      <c r="B231" s="4" t="s">
        <v>530</v>
      </c>
      <c r="C231" s="4">
        <v>6</v>
      </c>
      <c r="D231" s="4">
        <v>2</v>
      </c>
      <c r="E231" s="4">
        <v>5</v>
      </c>
      <c r="F231" s="4">
        <v>2</v>
      </c>
      <c r="G231" s="4"/>
      <c r="H231" s="4">
        <v>1</v>
      </c>
      <c r="I231" s="4"/>
      <c r="J231" s="4"/>
      <c r="K231" s="4"/>
      <c r="L231" s="4"/>
      <c r="M231" s="4"/>
      <c r="N231" s="4"/>
      <c r="O231" s="5">
        <f t="shared" si="3"/>
        <v>16</v>
      </c>
    </row>
    <row r="232" spans="1:15" x14ac:dyDescent="0.25">
      <c r="A232" s="4" t="s">
        <v>457</v>
      </c>
      <c r="B232" s="4" t="s">
        <v>354</v>
      </c>
      <c r="C232" s="4"/>
      <c r="D232" s="4"/>
      <c r="E232" s="4"/>
      <c r="F232" s="4"/>
      <c r="G232" s="4">
        <v>1</v>
      </c>
      <c r="H232" s="4">
        <v>3</v>
      </c>
      <c r="I232" s="4">
        <v>2</v>
      </c>
      <c r="J232" s="4">
        <v>3</v>
      </c>
      <c r="K232" s="4">
        <v>2</v>
      </c>
      <c r="L232" s="4"/>
      <c r="M232" s="4">
        <v>3</v>
      </c>
      <c r="N232" s="4">
        <v>2</v>
      </c>
      <c r="O232" s="5">
        <f t="shared" si="3"/>
        <v>16</v>
      </c>
    </row>
    <row r="233" spans="1:15" x14ac:dyDescent="0.25">
      <c r="A233" s="4" t="s">
        <v>455</v>
      </c>
      <c r="B233" s="4" t="s">
        <v>595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>
        <v>15</v>
      </c>
      <c r="O233" s="5">
        <f t="shared" si="3"/>
        <v>15</v>
      </c>
    </row>
    <row r="234" spans="1:15" x14ac:dyDescent="0.25">
      <c r="A234" s="4" t="s">
        <v>453</v>
      </c>
      <c r="B234" s="4" t="s">
        <v>669</v>
      </c>
      <c r="C234" s="4"/>
      <c r="D234" s="4">
        <v>3</v>
      </c>
      <c r="E234" s="4">
        <v>1</v>
      </c>
      <c r="F234" s="4"/>
      <c r="G234" s="4">
        <v>1</v>
      </c>
      <c r="H234" s="4">
        <v>2</v>
      </c>
      <c r="I234" s="4">
        <v>1</v>
      </c>
      <c r="J234" s="4">
        <v>1</v>
      </c>
      <c r="K234" s="4">
        <v>5</v>
      </c>
      <c r="L234" s="4"/>
      <c r="M234" s="4"/>
      <c r="N234" s="4">
        <v>1</v>
      </c>
      <c r="O234" s="5">
        <f t="shared" si="3"/>
        <v>15</v>
      </c>
    </row>
    <row r="235" spans="1:15" x14ac:dyDescent="0.25">
      <c r="A235" s="4" t="s">
        <v>451</v>
      </c>
      <c r="B235" s="4" t="s">
        <v>535</v>
      </c>
      <c r="C235" s="4">
        <v>4</v>
      </c>
      <c r="D235" s="4">
        <v>2</v>
      </c>
      <c r="E235" s="4"/>
      <c r="F235" s="4"/>
      <c r="G235" s="4"/>
      <c r="H235" s="4">
        <v>3</v>
      </c>
      <c r="I235" s="4"/>
      <c r="J235" s="4">
        <v>1</v>
      </c>
      <c r="K235" s="4"/>
      <c r="L235" s="4">
        <v>4</v>
      </c>
      <c r="M235" s="4"/>
      <c r="N235" s="4"/>
      <c r="O235" s="5">
        <f t="shared" si="3"/>
        <v>14</v>
      </c>
    </row>
    <row r="236" spans="1:15" x14ac:dyDescent="0.25">
      <c r="A236" s="4" t="s">
        <v>449</v>
      </c>
      <c r="B236" s="4" t="s">
        <v>370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>
        <v>1</v>
      </c>
      <c r="N236" s="4">
        <v>13</v>
      </c>
      <c r="O236" s="5">
        <f t="shared" si="3"/>
        <v>14</v>
      </c>
    </row>
    <row r="237" spans="1:15" x14ac:dyDescent="0.25">
      <c r="A237" s="4" t="s">
        <v>447</v>
      </c>
      <c r="B237" s="4" t="s">
        <v>670</v>
      </c>
      <c r="C237" s="4"/>
      <c r="D237" s="4">
        <v>2</v>
      </c>
      <c r="E237" s="4">
        <v>4</v>
      </c>
      <c r="F237" s="4"/>
      <c r="G237" s="4"/>
      <c r="H237" s="4">
        <v>2</v>
      </c>
      <c r="I237" s="4">
        <v>1</v>
      </c>
      <c r="J237" s="4"/>
      <c r="K237" s="4">
        <v>1</v>
      </c>
      <c r="L237" s="4">
        <v>3</v>
      </c>
      <c r="M237" s="4"/>
      <c r="N237" s="4"/>
      <c r="O237" s="5">
        <f t="shared" si="3"/>
        <v>13</v>
      </c>
    </row>
    <row r="238" spans="1:15" x14ac:dyDescent="0.25">
      <c r="A238" s="4" t="s">
        <v>515</v>
      </c>
      <c r="B238" s="4" t="s">
        <v>603</v>
      </c>
      <c r="C238" s="4">
        <v>2</v>
      </c>
      <c r="D238" s="4"/>
      <c r="E238" s="4">
        <v>6</v>
      </c>
      <c r="F238" s="4"/>
      <c r="G238" s="4"/>
      <c r="H238" s="4">
        <v>5</v>
      </c>
      <c r="I238" s="4"/>
      <c r="J238" s="4"/>
      <c r="K238" s="4"/>
      <c r="L238" s="4"/>
      <c r="M238" s="4"/>
      <c r="N238" s="4"/>
      <c r="O238" s="5">
        <f t="shared" si="3"/>
        <v>13</v>
      </c>
    </row>
    <row r="239" spans="1:15" x14ac:dyDescent="0.25">
      <c r="A239" s="4" t="s">
        <v>513</v>
      </c>
      <c r="B239" s="4" t="s">
        <v>562</v>
      </c>
      <c r="C239" s="4"/>
      <c r="D239" s="4"/>
      <c r="E239" s="4">
        <v>4</v>
      </c>
      <c r="F239" s="4"/>
      <c r="G239" s="4"/>
      <c r="H239" s="4">
        <v>5</v>
      </c>
      <c r="I239" s="4">
        <v>2</v>
      </c>
      <c r="J239" s="4"/>
      <c r="K239" s="4"/>
      <c r="L239" s="4"/>
      <c r="M239" s="4">
        <v>1</v>
      </c>
      <c r="N239" s="4"/>
      <c r="O239" s="5">
        <f t="shared" si="3"/>
        <v>12</v>
      </c>
    </row>
    <row r="240" spans="1:15" x14ac:dyDescent="0.25">
      <c r="A240" s="4" t="s">
        <v>511</v>
      </c>
      <c r="B240" s="4" t="s">
        <v>464</v>
      </c>
      <c r="C240" s="4"/>
      <c r="D240" s="4">
        <v>2</v>
      </c>
      <c r="E240" s="4">
        <v>1</v>
      </c>
      <c r="F240" s="4"/>
      <c r="G240" s="4"/>
      <c r="H240" s="4">
        <v>1</v>
      </c>
      <c r="I240" s="4">
        <v>1</v>
      </c>
      <c r="J240" s="4">
        <v>1</v>
      </c>
      <c r="K240" s="4"/>
      <c r="L240" s="4">
        <v>2</v>
      </c>
      <c r="M240" s="4">
        <v>1</v>
      </c>
      <c r="N240" s="4">
        <v>2</v>
      </c>
      <c r="O240" s="5">
        <f t="shared" si="3"/>
        <v>11</v>
      </c>
    </row>
    <row r="241" spans="1:15" x14ac:dyDescent="0.25">
      <c r="A241" s="4" t="s">
        <v>509</v>
      </c>
      <c r="B241" s="4" t="s">
        <v>484</v>
      </c>
      <c r="C241" s="4">
        <v>1</v>
      </c>
      <c r="D241" s="4">
        <v>3</v>
      </c>
      <c r="E241" s="4"/>
      <c r="F241" s="4"/>
      <c r="G241" s="4"/>
      <c r="H241" s="4"/>
      <c r="I241" s="4">
        <v>1</v>
      </c>
      <c r="J241" s="4">
        <v>2</v>
      </c>
      <c r="K241" s="4">
        <v>3</v>
      </c>
      <c r="L241" s="4">
        <v>1</v>
      </c>
      <c r="M241" s="4"/>
      <c r="N241" s="4"/>
      <c r="O241" s="5">
        <f t="shared" si="3"/>
        <v>11</v>
      </c>
    </row>
    <row r="242" spans="1:15" x14ac:dyDescent="0.25">
      <c r="A242" s="4" t="s">
        <v>507</v>
      </c>
      <c r="B242" s="4" t="s">
        <v>589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>
        <v>10</v>
      </c>
      <c r="O242" s="5">
        <f t="shared" si="3"/>
        <v>10</v>
      </c>
    </row>
    <row r="243" spans="1:15" x14ac:dyDescent="0.25">
      <c r="A243" s="4" t="s">
        <v>505</v>
      </c>
      <c r="B243" s="4" t="s">
        <v>560</v>
      </c>
      <c r="C243" s="4">
        <v>2</v>
      </c>
      <c r="D243" s="4"/>
      <c r="E243" s="4"/>
      <c r="F243" s="4"/>
      <c r="G243" s="4"/>
      <c r="H243" s="4"/>
      <c r="I243" s="4"/>
      <c r="J243" s="4">
        <v>2</v>
      </c>
      <c r="K243" s="4"/>
      <c r="L243" s="4">
        <v>2</v>
      </c>
      <c r="M243" s="4">
        <v>2</v>
      </c>
      <c r="N243" s="4">
        <v>2</v>
      </c>
      <c r="O243" s="5">
        <f t="shared" si="3"/>
        <v>10</v>
      </c>
    </row>
    <row r="244" spans="1:15" x14ac:dyDescent="0.25">
      <c r="A244" s="4" t="s">
        <v>503</v>
      </c>
      <c r="B244" s="4" t="s">
        <v>647</v>
      </c>
      <c r="C244" s="4">
        <v>2</v>
      </c>
      <c r="D244" s="4">
        <v>6</v>
      </c>
      <c r="E244" s="4"/>
      <c r="F244" s="4"/>
      <c r="G244" s="4"/>
      <c r="H244" s="4"/>
      <c r="I244" s="4"/>
      <c r="J244" s="4"/>
      <c r="K244" s="4">
        <v>2</v>
      </c>
      <c r="L244" s="4"/>
      <c r="M244" s="4"/>
      <c r="N244" s="4"/>
      <c r="O244" s="5">
        <f t="shared" si="3"/>
        <v>10</v>
      </c>
    </row>
    <row r="245" spans="1:15" x14ac:dyDescent="0.25">
      <c r="A245" s="4" t="s">
        <v>501</v>
      </c>
      <c r="B245" s="4" t="s">
        <v>531</v>
      </c>
      <c r="C245" s="4"/>
      <c r="D245" s="4"/>
      <c r="E245" s="4"/>
      <c r="F245" s="4"/>
      <c r="G245" s="4"/>
      <c r="H245" s="4">
        <v>1</v>
      </c>
      <c r="I245" s="4">
        <v>1</v>
      </c>
      <c r="J245" s="4">
        <v>1</v>
      </c>
      <c r="K245" s="4">
        <v>3</v>
      </c>
      <c r="L245" s="4">
        <v>2</v>
      </c>
      <c r="M245" s="4"/>
      <c r="N245" s="4">
        <v>1</v>
      </c>
      <c r="O245" s="5">
        <f t="shared" si="3"/>
        <v>9</v>
      </c>
    </row>
    <row r="246" spans="1:15" x14ac:dyDescent="0.25">
      <c r="A246" s="4" t="s">
        <v>499</v>
      </c>
      <c r="B246" s="4" t="s">
        <v>605</v>
      </c>
      <c r="C246" s="4"/>
      <c r="D246" s="4">
        <v>1</v>
      </c>
      <c r="E246" s="4">
        <v>1</v>
      </c>
      <c r="F246" s="4"/>
      <c r="G246" s="4">
        <v>2</v>
      </c>
      <c r="H246" s="4"/>
      <c r="I246" s="4"/>
      <c r="J246" s="4">
        <v>1</v>
      </c>
      <c r="K246" s="4"/>
      <c r="L246" s="4">
        <v>2</v>
      </c>
      <c r="M246" s="4">
        <v>1</v>
      </c>
      <c r="N246" s="4"/>
      <c r="O246" s="5">
        <f t="shared" si="3"/>
        <v>8</v>
      </c>
    </row>
    <row r="247" spans="1:15" x14ac:dyDescent="0.25">
      <c r="A247" s="4" t="s">
        <v>497</v>
      </c>
      <c r="B247" s="4" t="s">
        <v>510</v>
      </c>
      <c r="C247" s="4"/>
      <c r="D247" s="4">
        <v>3</v>
      </c>
      <c r="E247" s="4"/>
      <c r="F247" s="4">
        <v>1</v>
      </c>
      <c r="G247" s="4"/>
      <c r="H247" s="4"/>
      <c r="I247" s="4">
        <v>1</v>
      </c>
      <c r="J247" s="4">
        <v>2</v>
      </c>
      <c r="K247" s="4"/>
      <c r="L247" s="4"/>
      <c r="M247" s="4">
        <v>1</v>
      </c>
      <c r="N247" s="4"/>
      <c r="O247" s="5">
        <f t="shared" si="3"/>
        <v>8</v>
      </c>
    </row>
    <row r="248" spans="1:15" x14ac:dyDescent="0.25">
      <c r="A248" s="4" t="s">
        <v>495</v>
      </c>
      <c r="B248" s="4" t="s">
        <v>550</v>
      </c>
      <c r="C248" s="4"/>
      <c r="D248" s="4"/>
      <c r="E248" s="4"/>
      <c r="F248" s="4"/>
      <c r="G248" s="4"/>
      <c r="H248" s="4">
        <v>1</v>
      </c>
      <c r="I248" s="4"/>
      <c r="J248" s="4">
        <v>3</v>
      </c>
      <c r="K248" s="4">
        <v>1</v>
      </c>
      <c r="L248" s="4">
        <v>1</v>
      </c>
      <c r="M248" s="4">
        <v>1</v>
      </c>
      <c r="N248" s="4"/>
      <c r="O248" s="5">
        <f t="shared" si="3"/>
        <v>7</v>
      </c>
    </row>
    <row r="249" spans="1:15" x14ac:dyDescent="0.25">
      <c r="A249" s="4" t="s">
        <v>493</v>
      </c>
      <c r="B249" s="4" t="s">
        <v>418</v>
      </c>
      <c r="C249" s="4">
        <v>2</v>
      </c>
      <c r="D249" s="4">
        <v>1</v>
      </c>
      <c r="E249" s="4"/>
      <c r="F249" s="4"/>
      <c r="G249" s="4"/>
      <c r="H249" s="4">
        <v>1</v>
      </c>
      <c r="I249" s="4"/>
      <c r="J249" s="4"/>
      <c r="K249" s="4">
        <v>2</v>
      </c>
      <c r="L249" s="4"/>
      <c r="M249" s="4">
        <v>1</v>
      </c>
      <c r="N249" s="4"/>
      <c r="O249" s="5">
        <f t="shared" si="3"/>
        <v>7</v>
      </c>
    </row>
    <row r="250" spans="1:15" x14ac:dyDescent="0.25">
      <c r="A250" s="4" t="s">
        <v>491</v>
      </c>
      <c r="B250" s="4" t="s">
        <v>671</v>
      </c>
      <c r="C250" s="4">
        <v>1</v>
      </c>
      <c r="D250" s="4"/>
      <c r="E250" s="4">
        <v>1</v>
      </c>
      <c r="F250" s="4"/>
      <c r="G250" s="4">
        <v>1</v>
      </c>
      <c r="H250" s="4"/>
      <c r="I250" s="4"/>
      <c r="J250" s="4">
        <v>2</v>
      </c>
      <c r="K250" s="4"/>
      <c r="L250" s="4">
        <v>2</v>
      </c>
      <c r="M250" s="4"/>
      <c r="N250" s="4"/>
      <c r="O250" s="5">
        <f t="shared" si="3"/>
        <v>7</v>
      </c>
    </row>
    <row r="251" spans="1:15" x14ac:dyDescent="0.25">
      <c r="A251" s="4" t="s">
        <v>489</v>
      </c>
      <c r="B251" s="4" t="s">
        <v>672</v>
      </c>
      <c r="C251" s="4">
        <v>3</v>
      </c>
      <c r="D251" s="4"/>
      <c r="E251" s="4">
        <v>1</v>
      </c>
      <c r="F251" s="4"/>
      <c r="G251" s="4"/>
      <c r="H251" s="4"/>
      <c r="I251" s="4"/>
      <c r="J251" s="4"/>
      <c r="K251" s="4"/>
      <c r="L251" s="4">
        <v>2</v>
      </c>
      <c r="M251" s="4"/>
      <c r="N251" s="4"/>
      <c r="O251" s="5">
        <f t="shared" si="3"/>
        <v>6</v>
      </c>
    </row>
    <row r="252" spans="1:15" x14ac:dyDescent="0.25">
      <c r="A252" s="4" t="s">
        <v>487</v>
      </c>
      <c r="B252" s="4" t="s">
        <v>673</v>
      </c>
      <c r="C252" s="4">
        <v>3</v>
      </c>
      <c r="D252" s="4">
        <v>2</v>
      </c>
      <c r="E252" s="4"/>
      <c r="F252" s="4"/>
      <c r="G252" s="4"/>
      <c r="H252" s="4"/>
      <c r="I252" s="4"/>
      <c r="J252" s="4"/>
      <c r="K252" s="4"/>
      <c r="L252" s="4"/>
      <c r="M252" s="4"/>
      <c r="N252" s="4">
        <v>1</v>
      </c>
      <c r="O252" s="5">
        <f t="shared" si="3"/>
        <v>6</v>
      </c>
    </row>
    <row r="253" spans="1:15" x14ac:dyDescent="0.25">
      <c r="A253" s="4" t="s">
        <v>485</v>
      </c>
      <c r="B253" s="4" t="s">
        <v>607</v>
      </c>
      <c r="C253" s="4"/>
      <c r="D253" s="4">
        <v>4</v>
      </c>
      <c r="E253" s="4"/>
      <c r="F253" s="4"/>
      <c r="G253" s="4">
        <v>1</v>
      </c>
      <c r="H253" s="4"/>
      <c r="I253" s="4"/>
      <c r="J253" s="4"/>
      <c r="K253" s="4">
        <v>1</v>
      </c>
      <c r="L253" s="4"/>
      <c r="M253" s="4"/>
      <c r="N253" s="4"/>
      <c r="O253" s="5">
        <f t="shared" si="3"/>
        <v>6</v>
      </c>
    </row>
    <row r="254" spans="1:15" x14ac:dyDescent="0.25">
      <c r="A254" s="4" t="s">
        <v>483</v>
      </c>
      <c r="B254" s="4" t="s">
        <v>602</v>
      </c>
      <c r="C254" s="4">
        <v>4</v>
      </c>
      <c r="D254" s="4">
        <v>1</v>
      </c>
      <c r="E254" s="4"/>
      <c r="F254" s="4"/>
      <c r="G254" s="4"/>
      <c r="H254" s="4"/>
      <c r="I254" s="4"/>
      <c r="J254" s="4"/>
      <c r="K254" s="4">
        <v>1</v>
      </c>
      <c r="L254" s="4"/>
      <c r="M254" s="4"/>
      <c r="N254" s="4"/>
      <c r="O254" s="5">
        <f t="shared" si="3"/>
        <v>6</v>
      </c>
    </row>
    <row r="255" spans="1:15" x14ac:dyDescent="0.25">
      <c r="A255" s="4" t="s">
        <v>481</v>
      </c>
      <c r="B255" s="4" t="s">
        <v>608</v>
      </c>
      <c r="C255" s="4"/>
      <c r="D255" s="4"/>
      <c r="E255" s="4"/>
      <c r="F255" s="4"/>
      <c r="G255" s="4">
        <v>1</v>
      </c>
      <c r="H255" s="4"/>
      <c r="I255" s="4">
        <v>2</v>
      </c>
      <c r="J255" s="4">
        <v>1</v>
      </c>
      <c r="K255" s="4"/>
      <c r="L255" s="4">
        <v>1</v>
      </c>
      <c r="M255" s="4"/>
      <c r="N255" s="4">
        <v>1</v>
      </c>
      <c r="O255" s="5">
        <f t="shared" si="3"/>
        <v>6</v>
      </c>
    </row>
    <row r="256" spans="1:15" x14ac:dyDescent="0.25">
      <c r="A256" s="4" t="s">
        <v>479</v>
      </c>
      <c r="B256" s="4" t="s">
        <v>674</v>
      </c>
      <c r="C256" s="4"/>
      <c r="D256" s="4"/>
      <c r="E256" s="4">
        <v>3</v>
      </c>
      <c r="F256" s="4">
        <v>1</v>
      </c>
      <c r="G256" s="4"/>
      <c r="H256" s="4"/>
      <c r="I256" s="4">
        <v>1</v>
      </c>
      <c r="J256" s="4">
        <v>1</v>
      </c>
      <c r="K256" s="4"/>
      <c r="L256" s="4"/>
      <c r="M256" s="4"/>
      <c r="N256" s="4"/>
      <c r="O256" s="5">
        <f t="shared" si="3"/>
        <v>6</v>
      </c>
    </row>
    <row r="257" spans="1:15" x14ac:dyDescent="0.25">
      <c r="A257" s="4" t="s">
        <v>477</v>
      </c>
      <c r="B257" s="4" t="s">
        <v>675</v>
      </c>
      <c r="C257" s="4"/>
      <c r="D257" s="4">
        <v>1</v>
      </c>
      <c r="E257" s="4">
        <v>4</v>
      </c>
      <c r="F257" s="4">
        <v>1</v>
      </c>
      <c r="G257" s="4"/>
      <c r="H257" s="4"/>
      <c r="I257" s="4"/>
      <c r="J257" s="4"/>
      <c r="K257" s="4"/>
      <c r="L257" s="4"/>
      <c r="M257" s="4"/>
      <c r="N257" s="4"/>
      <c r="O257" s="5">
        <f t="shared" si="3"/>
        <v>6</v>
      </c>
    </row>
    <row r="258" spans="1:15" x14ac:dyDescent="0.25">
      <c r="A258" s="4" t="s">
        <v>475</v>
      </c>
      <c r="B258" s="4" t="s">
        <v>643</v>
      </c>
      <c r="C258" s="4"/>
      <c r="D258" s="4"/>
      <c r="E258" s="4"/>
      <c r="F258" s="4">
        <v>2</v>
      </c>
      <c r="G258" s="4"/>
      <c r="H258" s="4">
        <v>1</v>
      </c>
      <c r="I258" s="4">
        <v>1</v>
      </c>
      <c r="J258" s="4"/>
      <c r="K258" s="4"/>
      <c r="L258" s="4"/>
      <c r="M258" s="4"/>
      <c r="N258" s="4">
        <v>1</v>
      </c>
      <c r="O258" s="5">
        <f t="shared" si="3"/>
        <v>5</v>
      </c>
    </row>
    <row r="259" spans="1:15" x14ac:dyDescent="0.25">
      <c r="A259" s="4" t="s">
        <v>555</v>
      </c>
      <c r="B259" s="4" t="s">
        <v>654</v>
      </c>
      <c r="C259" s="4">
        <v>2</v>
      </c>
      <c r="D259" s="4"/>
      <c r="E259" s="4">
        <v>1</v>
      </c>
      <c r="F259" s="4"/>
      <c r="G259" s="4"/>
      <c r="H259" s="4">
        <v>1</v>
      </c>
      <c r="I259" s="4">
        <v>1</v>
      </c>
      <c r="J259" s="4"/>
      <c r="K259" s="4"/>
      <c r="L259" s="4"/>
      <c r="M259" s="4"/>
      <c r="N259" s="4"/>
      <c r="O259" s="5">
        <f t="shared" ref="O259:O300" si="4">SUM(C259:N259)</f>
        <v>5</v>
      </c>
    </row>
    <row r="260" spans="1:15" x14ac:dyDescent="0.25">
      <c r="A260" s="4" t="s">
        <v>556</v>
      </c>
      <c r="B260" s="4" t="s">
        <v>616</v>
      </c>
      <c r="C260" s="4">
        <v>2</v>
      </c>
      <c r="D260" s="4"/>
      <c r="E260" s="4"/>
      <c r="F260" s="4"/>
      <c r="G260" s="4"/>
      <c r="H260" s="4">
        <v>1</v>
      </c>
      <c r="I260" s="4">
        <v>2</v>
      </c>
      <c r="J260" s="4"/>
      <c r="K260" s="4"/>
      <c r="L260" s="4"/>
      <c r="M260" s="4"/>
      <c r="N260" s="4"/>
      <c r="O260" s="5">
        <f t="shared" si="4"/>
        <v>5</v>
      </c>
    </row>
    <row r="261" spans="1:15" x14ac:dyDescent="0.25">
      <c r="A261" s="4" t="s">
        <v>557</v>
      </c>
      <c r="B261" s="4" t="s">
        <v>599</v>
      </c>
      <c r="C261" s="4"/>
      <c r="D261" s="4"/>
      <c r="E261" s="4">
        <v>1</v>
      </c>
      <c r="F261" s="4"/>
      <c r="G261" s="4"/>
      <c r="H261" s="4"/>
      <c r="I261" s="4"/>
      <c r="J261" s="4"/>
      <c r="K261" s="4"/>
      <c r="L261" s="4">
        <v>1</v>
      </c>
      <c r="M261" s="4">
        <v>1</v>
      </c>
      <c r="N261" s="4">
        <v>1</v>
      </c>
      <c r="O261" s="5">
        <f t="shared" si="4"/>
        <v>4</v>
      </c>
    </row>
    <row r="262" spans="1:15" x14ac:dyDescent="0.25">
      <c r="A262" s="4" t="s">
        <v>558</v>
      </c>
      <c r="B262" s="4" t="s">
        <v>276</v>
      </c>
      <c r="C262" s="4"/>
      <c r="D262" s="4"/>
      <c r="E262" s="4"/>
      <c r="F262" s="4"/>
      <c r="G262" s="4">
        <v>2</v>
      </c>
      <c r="H262" s="4"/>
      <c r="I262" s="4"/>
      <c r="J262" s="4"/>
      <c r="K262" s="4"/>
      <c r="L262" s="4"/>
      <c r="M262" s="4">
        <v>1</v>
      </c>
      <c r="N262" s="4">
        <v>1</v>
      </c>
      <c r="O262" s="5">
        <f t="shared" si="4"/>
        <v>4</v>
      </c>
    </row>
    <row r="263" spans="1:15" x14ac:dyDescent="0.25">
      <c r="A263" s="4" t="s">
        <v>559</v>
      </c>
      <c r="B263" s="4" t="s">
        <v>551</v>
      </c>
      <c r="C263" s="4"/>
      <c r="D263" s="4"/>
      <c r="E263" s="4"/>
      <c r="F263" s="4">
        <v>2</v>
      </c>
      <c r="G263" s="4"/>
      <c r="H263" s="4"/>
      <c r="I263" s="4"/>
      <c r="J263" s="4"/>
      <c r="K263" s="4">
        <v>2</v>
      </c>
      <c r="L263" s="4"/>
      <c r="M263" s="4"/>
      <c r="N263" s="4"/>
      <c r="O263" s="5">
        <f t="shared" si="4"/>
        <v>4</v>
      </c>
    </row>
    <row r="264" spans="1:15" x14ac:dyDescent="0.25">
      <c r="A264" s="4" t="s">
        <v>561</v>
      </c>
      <c r="B264" s="4" t="s">
        <v>542</v>
      </c>
      <c r="C264" s="4"/>
      <c r="D264" s="4"/>
      <c r="E264" s="4">
        <v>1</v>
      </c>
      <c r="F264" s="4"/>
      <c r="G264" s="4"/>
      <c r="H264" s="4">
        <v>2</v>
      </c>
      <c r="I264" s="4"/>
      <c r="J264" s="4">
        <v>1</v>
      </c>
      <c r="K264" s="4"/>
      <c r="L264" s="4"/>
      <c r="M264" s="4"/>
      <c r="N264" s="4"/>
      <c r="O264" s="5">
        <f t="shared" si="4"/>
        <v>4</v>
      </c>
    </row>
    <row r="265" spans="1:15" x14ac:dyDescent="0.25">
      <c r="A265" s="4" t="s">
        <v>563</v>
      </c>
      <c r="B265" s="4" t="s">
        <v>676</v>
      </c>
      <c r="C265" s="4"/>
      <c r="D265" s="4"/>
      <c r="E265" s="4"/>
      <c r="F265" s="4"/>
      <c r="G265" s="4"/>
      <c r="H265" s="4"/>
      <c r="I265" s="4">
        <v>1</v>
      </c>
      <c r="J265" s="4"/>
      <c r="K265" s="4">
        <v>2</v>
      </c>
      <c r="L265" s="4"/>
      <c r="M265" s="4"/>
      <c r="N265" s="4"/>
      <c r="O265" s="5">
        <f t="shared" si="4"/>
        <v>3</v>
      </c>
    </row>
    <row r="266" spans="1:15" x14ac:dyDescent="0.25">
      <c r="A266" s="4" t="s">
        <v>564</v>
      </c>
      <c r="B266" s="4" t="s">
        <v>565</v>
      </c>
      <c r="C266" s="4"/>
      <c r="D266" s="4">
        <v>1</v>
      </c>
      <c r="E266" s="4">
        <v>1</v>
      </c>
      <c r="F266" s="4"/>
      <c r="G266" s="4"/>
      <c r="H266" s="4"/>
      <c r="I266" s="4"/>
      <c r="J266" s="4"/>
      <c r="K266" s="4"/>
      <c r="L266" s="4"/>
      <c r="M266" s="4">
        <v>1</v>
      </c>
      <c r="N266" s="4"/>
      <c r="O266" s="5">
        <f t="shared" si="4"/>
        <v>3</v>
      </c>
    </row>
    <row r="267" spans="1:15" x14ac:dyDescent="0.25">
      <c r="A267" s="4" t="s">
        <v>566</v>
      </c>
      <c r="B267" s="4" t="s">
        <v>539</v>
      </c>
      <c r="C267" s="4">
        <v>1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>
        <v>2</v>
      </c>
      <c r="O267" s="5">
        <f t="shared" si="4"/>
        <v>3</v>
      </c>
    </row>
    <row r="268" spans="1:15" x14ac:dyDescent="0.25">
      <c r="A268" s="4" t="s">
        <v>567</v>
      </c>
      <c r="B268" s="4" t="s">
        <v>677</v>
      </c>
      <c r="C268" s="4"/>
      <c r="D268" s="4"/>
      <c r="E268" s="4"/>
      <c r="F268" s="4"/>
      <c r="G268" s="4"/>
      <c r="H268" s="4"/>
      <c r="I268" s="4">
        <v>2</v>
      </c>
      <c r="J268" s="4"/>
      <c r="K268" s="4"/>
      <c r="L268" s="4"/>
      <c r="M268" s="4"/>
      <c r="N268" s="4"/>
      <c r="O268" s="5">
        <f t="shared" si="4"/>
        <v>2</v>
      </c>
    </row>
    <row r="269" spans="1:15" x14ac:dyDescent="0.25">
      <c r="A269" s="4" t="s">
        <v>569</v>
      </c>
      <c r="B269" s="4" t="s">
        <v>402</v>
      </c>
      <c r="C269" s="4"/>
      <c r="D269" s="4"/>
      <c r="E269" s="4">
        <v>1</v>
      </c>
      <c r="F269" s="4"/>
      <c r="G269" s="4"/>
      <c r="H269" s="4"/>
      <c r="I269" s="4"/>
      <c r="J269" s="4"/>
      <c r="K269" s="4"/>
      <c r="L269" s="4"/>
      <c r="M269" s="4">
        <v>1</v>
      </c>
      <c r="N269" s="4"/>
      <c r="O269" s="5">
        <f t="shared" si="4"/>
        <v>2</v>
      </c>
    </row>
    <row r="270" spans="1:15" x14ac:dyDescent="0.25">
      <c r="A270" s="4" t="s">
        <v>571</v>
      </c>
      <c r="B270" s="4" t="s">
        <v>678</v>
      </c>
      <c r="C270" s="4">
        <v>1</v>
      </c>
      <c r="D270" s="4"/>
      <c r="E270" s="4"/>
      <c r="F270" s="4"/>
      <c r="G270" s="4"/>
      <c r="H270" s="4"/>
      <c r="I270" s="4">
        <v>1</v>
      </c>
      <c r="J270" s="4"/>
      <c r="K270" s="4"/>
      <c r="L270" s="4"/>
      <c r="M270" s="4"/>
      <c r="N270" s="4"/>
      <c r="O270" s="5">
        <f t="shared" si="4"/>
        <v>2</v>
      </c>
    </row>
    <row r="271" spans="1:15" x14ac:dyDescent="0.25">
      <c r="A271" s="4" t="s">
        <v>572</v>
      </c>
      <c r="B271" s="4" t="s">
        <v>679</v>
      </c>
      <c r="C271" s="4"/>
      <c r="D271" s="4"/>
      <c r="E271" s="4"/>
      <c r="F271" s="4"/>
      <c r="G271" s="4">
        <v>1</v>
      </c>
      <c r="H271" s="4"/>
      <c r="I271" s="4">
        <v>1</v>
      </c>
      <c r="J271" s="4"/>
      <c r="K271" s="4"/>
      <c r="L271" s="4"/>
      <c r="M271" s="4"/>
      <c r="N271" s="4"/>
      <c r="O271" s="5">
        <f t="shared" si="4"/>
        <v>2</v>
      </c>
    </row>
    <row r="272" spans="1:15" x14ac:dyDescent="0.25">
      <c r="A272" s="4" t="s">
        <v>617</v>
      </c>
      <c r="B272" s="4" t="s">
        <v>625</v>
      </c>
      <c r="C272" s="4"/>
      <c r="D272" s="4"/>
      <c r="E272" s="4"/>
      <c r="F272" s="4"/>
      <c r="G272" s="4"/>
      <c r="H272" s="4"/>
      <c r="I272" s="4"/>
      <c r="J272" s="4">
        <v>1</v>
      </c>
      <c r="K272" s="4"/>
      <c r="L272" s="4"/>
      <c r="M272" s="4">
        <v>1</v>
      </c>
      <c r="N272" s="4"/>
      <c r="O272" s="5">
        <f t="shared" si="4"/>
        <v>2</v>
      </c>
    </row>
    <row r="273" spans="1:15" x14ac:dyDescent="0.25">
      <c r="A273" s="4" t="s">
        <v>618</v>
      </c>
      <c r="B273" s="4" t="s">
        <v>492</v>
      </c>
      <c r="C273" s="4"/>
      <c r="D273" s="4"/>
      <c r="E273" s="4">
        <v>1</v>
      </c>
      <c r="F273" s="4"/>
      <c r="G273" s="4"/>
      <c r="H273" s="4"/>
      <c r="I273" s="4"/>
      <c r="J273" s="4"/>
      <c r="K273" s="4"/>
      <c r="L273" s="4"/>
      <c r="M273" s="4"/>
      <c r="N273" s="4">
        <v>1</v>
      </c>
      <c r="O273" s="5">
        <f t="shared" si="4"/>
        <v>2</v>
      </c>
    </row>
    <row r="274" spans="1:15" x14ac:dyDescent="0.25">
      <c r="A274" s="4" t="s">
        <v>619</v>
      </c>
      <c r="B274" s="4" t="s">
        <v>406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>
        <v>2</v>
      </c>
      <c r="O274" s="5">
        <f t="shared" si="4"/>
        <v>2</v>
      </c>
    </row>
    <row r="275" spans="1:15" x14ac:dyDescent="0.25">
      <c r="A275" s="4" t="s">
        <v>620</v>
      </c>
      <c r="B275" s="4" t="s">
        <v>680</v>
      </c>
      <c r="C275" s="4"/>
      <c r="D275" s="4"/>
      <c r="E275" s="4"/>
      <c r="F275" s="4"/>
      <c r="G275" s="4"/>
      <c r="H275" s="4"/>
      <c r="I275" s="4"/>
      <c r="J275" s="4"/>
      <c r="K275" s="4"/>
      <c r="L275" s="4">
        <v>1</v>
      </c>
      <c r="M275" s="4">
        <v>1</v>
      </c>
      <c r="N275" s="4"/>
      <c r="O275" s="5">
        <f t="shared" si="4"/>
        <v>2</v>
      </c>
    </row>
    <row r="276" spans="1:15" x14ac:dyDescent="0.25">
      <c r="A276" s="4" t="s">
        <v>621</v>
      </c>
      <c r="B276" s="4" t="s">
        <v>661</v>
      </c>
      <c r="C276" s="4"/>
      <c r="D276" s="4">
        <v>1</v>
      </c>
      <c r="E276" s="4"/>
      <c r="F276" s="4"/>
      <c r="G276" s="4"/>
      <c r="H276" s="4"/>
      <c r="I276" s="4"/>
      <c r="J276" s="4"/>
      <c r="K276" s="4"/>
      <c r="L276" s="4"/>
      <c r="M276" s="4"/>
      <c r="N276" s="4">
        <v>1</v>
      </c>
      <c r="O276" s="5">
        <f t="shared" si="4"/>
        <v>2</v>
      </c>
    </row>
    <row r="277" spans="1:15" x14ac:dyDescent="0.25">
      <c r="A277" s="4" t="s">
        <v>623</v>
      </c>
      <c r="B277" s="4" t="s">
        <v>611</v>
      </c>
      <c r="C277" s="4"/>
      <c r="D277" s="4">
        <v>1</v>
      </c>
      <c r="E277" s="4"/>
      <c r="F277" s="4"/>
      <c r="G277" s="4"/>
      <c r="H277" s="4">
        <v>1</v>
      </c>
      <c r="I277" s="4"/>
      <c r="J277" s="4"/>
      <c r="K277" s="4"/>
      <c r="L277" s="4"/>
      <c r="M277" s="4"/>
      <c r="N277" s="4"/>
      <c r="O277" s="5">
        <f t="shared" si="4"/>
        <v>2</v>
      </c>
    </row>
    <row r="278" spans="1:15" x14ac:dyDescent="0.25">
      <c r="A278" s="4" t="s">
        <v>624</v>
      </c>
      <c r="B278" s="4" t="s">
        <v>681</v>
      </c>
      <c r="C278" s="4">
        <v>1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>
        <f t="shared" si="4"/>
        <v>1</v>
      </c>
    </row>
    <row r="279" spans="1:15" x14ac:dyDescent="0.25">
      <c r="A279" s="4" t="s">
        <v>626</v>
      </c>
      <c r="B279" s="4" t="s">
        <v>615</v>
      </c>
      <c r="C279" s="4"/>
      <c r="D279" s="4"/>
      <c r="E279" s="4"/>
      <c r="F279" s="4"/>
      <c r="G279" s="4"/>
      <c r="H279" s="4"/>
      <c r="I279" s="4"/>
      <c r="J279" s="4">
        <v>1</v>
      </c>
      <c r="K279" s="4"/>
      <c r="L279" s="4"/>
      <c r="M279" s="4"/>
      <c r="N279" s="4"/>
      <c r="O279" s="5">
        <f t="shared" si="4"/>
        <v>1</v>
      </c>
    </row>
    <row r="280" spans="1:15" x14ac:dyDescent="0.25">
      <c r="A280" s="4" t="s">
        <v>628</v>
      </c>
      <c r="B280" s="4" t="s">
        <v>614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>
        <v>1</v>
      </c>
      <c r="N280" s="4"/>
      <c r="O280" s="5">
        <f t="shared" si="4"/>
        <v>1</v>
      </c>
    </row>
    <row r="281" spans="1:15" x14ac:dyDescent="0.25">
      <c r="A281" s="4" t="s">
        <v>630</v>
      </c>
      <c r="B281" s="4" t="s">
        <v>682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>
        <v>1</v>
      </c>
      <c r="N281" s="4"/>
      <c r="O281" s="5">
        <f t="shared" si="4"/>
        <v>1</v>
      </c>
    </row>
    <row r="282" spans="1:15" x14ac:dyDescent="0.25">
      <c r="A282" s="4" t="s">
        <v>631</v>
      </c>
      <c r="B282" s="4" t="s">
        <v>683</v>
      </c>
      <c r="C282" s="4"/>
      <c r="D282" s="4"/>
      <c r="E282" s="4">
        <v>1</v>
      </c>
      <c r="F282" s="4"/>
      <c r="G282" s="4"/>
      <c r="H282" s="4"/>
      <c r="I282" s="4"/>
      <c r="J282" s="4"/>
      <c r="K282" s="4"/>
      <c r="L282" s="4"/>
      <c r="M282" s="4"/>
      <c r="N282" s="4"/>
      <c r="O282" s="5">
        <f t="shared" si="4"/>
        <v>1</v>
      </c>
    </row>
    <row r="283" spans="1:15" x14ac:dyDescent="0.25">
      <c r="A283" s="4" t="s">
        <v>633</v>
      </c>
      <c r="B283" s="4" t="s">
        <v>284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>
        <v>1</v>
      </c>
      <c r="N283" s="4"/>
      <c r="O283" s="5">
        <f t="shared" si="4"/>
        <v>1</v>
      </c>
    </row>
    <row r="284" spans="1:15" x14ac:dyDescent="0.25">
      <c r="A284" s="4" t="s">
        <v>635</v>
      </c>
      <c r="B284" s="4" t="s">
        <v>684</v>
      </c>
      <c r="C284" s="4"/>
      <c r="D284" s="4"/>
      <c r="E284" s="4"/>
      <c r="F284" s="4"/>
      <c r="G284" s="4"/>
      <c r="H284" s="4"/>
      <c r="I284" s="4">
        <v>1</v>
      </c>
      <c r="J284" s="4"/>
      <c r="K284" s="4"/>
      <c r="L284" s="4"/>
      <c r="M284" s="4"/>
      <c r="N284" s="4"/>
      <c r="O284" s="5">
        <f t="shared" si="4"/>
        <v>1</v>
      </c>
    </row>
    <row r="285" spans="1:15" x14ac:dyDescent="0.25">
      <c r="A285" s="4" t="s">
        <v>637</v>
      </c>
      <c r="B285" s="4" t="s">
        <v>685</v>
      </c>
      <c r="C285" s="4"/>
      <c r="D285" s="4"/>
      <c r="E285" s="4"/>
      <c r="F285" s="4"/>
      <c r="G285" s="4"/>
      <c r="H285" s="4">
        <v>1</v>
      </c>
      <c r="I285" s="4"/>
      <c r="J285" s="4"/>
      <c r="K285" s="4"/>
      <c r="L285" s="4"/>
      <c r="M285" s="4"/>
      <c r="N285" s="4"/>
      <c r="O285" s="5">
        <f t="shared" si="4"/>
        <v>1</v>
      </c>
    </row>
    <row r="286" spans="1:15" x14ac:dyDescent="0.25">
      <c r="A286" s="4" t="s">
        <v>638</v>
      </c>
      <c r="B286" s="4" t="s">
        <v>686</v>
      </c>
      <c r="C286" s="4"/>
      <c r="D286" s="4"/>
      <c r="E286" s="4"/>
      <c r="F286" s="4"/>
      <c r="G286" s="4"/>
      <c r="H286" s="4"/>
      <c r="I286" s="4"/>
      <c r="J286" s="4"/>
      <c r="K286" s="4"/>
      <c r="L286" s="4">
        <v>1</v>
      </c>
      <c r="M286" s="4"/>
      <c r="N286" s="4"/>
      <c r="O286" s="5">
        <f t="shared" si="4"/>
        <v>1</v>
      </c>
    </row>
    <row r="287" spans="1:15" x14ac:dyDescent="0.25">
      <c r="A287" s="4" t="s">
        <v>639</v>
      </c>
      <c r="B287" s="4" t="s">
        <v>597</v>
      </c>
      <c r="C287" s="4"/>
      <c r="D287" s="4"/>
      <c r="E287" s="4"/>
      <c r="F287" s="4"/>
      <c r="G287" s="4">
        <v>1</v>
      </c>
      <c r="H287" s="4"/>
      <c r="I287" s="4"/>
      <c r="J287" s="4"/>
      <c r="K287" s="4"/>
      <c r="L287" s="4"/>
      <c r="M287" s="4"/>
      <c r="N287" s="4"/>
      <c r="O287" s="5">
        <f t="shared" si="4"/>
        <v>1</v>
      </c>
    </row>
    <row r="288" spans="1:15" x14ac:dyDescent="0.25">
      <c r="A288" s="4" t="s">
        <v>641</v>
      </c>
      <c r="B288" s="4" t="s">
        <v>504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>
        <v>1</v>
      </c>
      <c r="O288" s="5">
        <f t="shared" si="4"/>
        <v>1</v>
      </c>
    </row>
    <row r="289" spans="1:15" x14ac:dyDescent="0.25">
      <c r="A289" s="4" t="s">
        <v>642</v>
      </c>
      <c r="B289" s="4" t="s">
        <v>687</v>
      </c>
      <c r="C289" s="4"/>
      <c r="D289" s="4">
        <v>1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>
        <f t="shared" si="4"/>
        <v>1</v>
      </c>
    </row>
    <row r="290" spans="1:15" x14ac:dyDescent="0.25">
      <c r="A290" s="4" t="s">
        <v>644</v>
      </c>
      <c r="B290" s="4" t="s">
        <v>688</v>
      </c>
      <c r="C290" s="4"/>
      <c r="D290" s="4"/>
      <c r="E290" s="4">
        <v>1</v>
      </c>
      <c r="F290" s="4"/>
      <c r="G290" s="4"/>
      <c r="H290" s="4"/>
      <c r="I290" s="4"/>
      <c r="J290" s="4"/>
      <c r="K290" s="4"/>
      <c r="L290" s="4"/>
      <c r="M290" s="4"/>
      <c r="N290" s="4"/>
      <c r="O290" s="5">
        <f t="shared" si="4"/>
        <v>1</v>
      </c>
    </row>
    <row r="291" spans="1:15" x14ac:dyDescent="0.25">
      <c r="A291" s="4" t="s">
        <v>646</v>
      </c>
      <c r="B291" s="4" t="s">
        <v>689</v>
      </c>
      <c r="C291" s="4"/>
      <c r="D291" s="4"/>
      <c r="E291" s="4"/>
      <c r="F291" s="4">
        <v>1</v>
      </c>
      <c r="G291" s="4"/>
      <c r="H291" s="4"/>
      <c r="I291" s="4"/>
      <c r="J291" s="4"/>
      <c r="K291" s="4"/>
      <c r="L291" s="4"/>
      <c r="M291" s="4"/>
      <c r="N291" s="4"/>
      <c r="O291" s="5">
        <f t="shared" si="4"/>
        <v>1</v>
      </c>
    </row>
    <row r="292" spans="1:15" x14ac:dyDescent="0.25">
      <c r="A292" s="4" t="s">
        <v>648</v>
      </c>
      <c r="B292" s="4" t="s">
        <v>690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>
        <v>1</v>
      </c>
      <c r="N292" s="4"/>
      <c r="O292" s="5">
        <f t="shared" si="4"/>
        <v>1</v>
      </c>
    </row>
    <row r="293" spans="1:15" x14ac:dyDescent="0.25">
      <c r="A293" s="4" t="s">
        <v>650</v>
      </c>
      <c r="B293" s="4" t="s">
        <v>598</v>
      </c>
      <c r="C293" s="4"/>
      <c r="D293" s="4"/>
      <c r="E293" s="4"/>
      <c r="F293" s="4"/>
      <c r="G293" s="4">
        <v>1</v>
      </c>
      <c r="H293" s="4"/>
      <c r="I293" s="4"/>
      <c r="J293" s="4"/>
      <c r="K293" s="4"/>
      <c r="L293" s="4"/>
      <c r="M293" s="4"/>
      <c r="N293" s="4"/>
      <c r="O293" s="5">
        <f t="shared" si="4"/>
        <v>1</v>
      </c>
    </row>
    <row r="294" spans="1:15" x14ac:dyDescent="0.25">
      <c r="A294" s="4" t="s">
        <v>651</v>
      </c>
      <c r="B294" s="4" t="s">
        <v>636</v>
      </c>
      <c r="C294" s="4"/>
      <c r="D294" s="4"/>
      <c r="E294" s="4"/>
      <c r="F294" s="4"/>
      <c r="G294" s="4"/>
      <c r="H294" s="4"/>
      <c r="I294" s="4">
        <v>1</v>
      </c>
      <c r="J294" s="4"/>
      <c r="K294" s="4"/>
      <c r="L294" s="4"/>
      <c r="M294" s="4"/>
      <c r="N294" s="4"/>
      <c r="O294" s="5">
        <f t="shared" si="4"/>
        <v>1</v>
      </c>
    </row>
    <row r="295" spans="1:15" x14ac:dyDescent="0.25">
      <c r="A295" s="4" t="s">
        <v>653</v>
      </c>
      <c r="B295" s="4" t="s">
        <v>506</v>
      </c>
      <c r="C295" s="4"/>
      <c r="D295" s="4"/>
      <c r="E295" s="4"/>
      <c r="F295" s="4"/>
      <c r="G295" s="4"/>
      <c r="H295" s="4"/>
      <c r="I295" s="4"/>
      <c r="J295" s="4"/>
      <c r="K295" s="4"/>
      <c r="L295" s="4">
        <v>1</v>
      </c>
      <c r="M295" s="4"/>
      <c r="N295" s="4"/>
      <c r="O295" s="5">
        <f t="shared" si="4"/>
        <v>1</v>
      </c>
    </row>
    <row r="296" spans="1:15" x14ac:dyDescent="0.25">
      <c r="A296" s="4" t="s">
        <v>655</v>
      </c>
      <c r="B296" s="4" t="s">
        <v>629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>
        <v>1</v>
      </c>
      <c r="N296" s="4"/>
      <c r="O296" s="5">
        <f t="shared" si="4"/>
        <v>1</v>
      </c>
    </row>
    <row r="297" spans="1:15" x14ac:dyDescent="0.25">
      <c r="A297" s="4" t="s">
        <v>657</v>
      </c>
      <c r="B297" s="4" t="s">
        <v>691</v>
      </c>
      <c r="C297" s="4"/>
      <c r="D297" s="4"/>
      <c r="E297" s="4"/>
      <c r="F297" s="4"/>
      <c r="G297" s="4"/>
      <c r="H297" s="4"/>
      <c r="I297" s="4"/>
      <c r="J297" s="4">
        <v>1</v>
      </c>
      <c r="K297" s="4"/>
      <c r="L297" s="4"/>
      <c r="M297" s="4"/>
      <c r="N297" s="4"/>
      <c r="O297" s="5">
        <f t="shared" si="4"/>
        <v>1</v>
      </c>
    </row>
    <row r="298" spans="1:15" x14ac:dyDescent="0.25">
      <c r="A298" s="4" t="s">
        <v>658</v>
      </c>
      <c r="B298" s="4" t="s">
        <v>590</v>
      </c>
      <c r="C298" s="4"/>
      <c r="D298" s="4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>
        <f t="shared" si="4"/>
        <v>1</v>
      </c>
    </row>
    <row r="299" spans="1:15" x14ac:dyDescent="0.25">
      <c r="A299" s="4" t="s">
        <v>660</v>
      </c>
      <c r="B299" s="4" t="s">
        <v>692</v>
      </c>
      <c r="C299" s="4"/>
      <c r="D299" s="4"/>
      <c r="E299" s="4"/>
      <c r="F299" s="4"/>
      <c r="G299" s="4"/>
      <c r="H299" s="4">
        <v>1</v>
      </c>
      <c r="I299" s="4"/>
      <c r="J299" s="4"/>
      <c r="K299" s="4"/>
      <c r="L299" s="4"/>
      <c r="M299" s="4"/>
      <c r="N299" s="4"/>
      <c r="O299" s="5">
        <f t="shared" si="4"/>
        <v>1</v>
      </c>
    </row>
    <row r="300" spans="1:15" x14ac:dyDescent="0.25">
      <c r="A300" s="4" t="s">
        <v>693</v>
      </c>
      <c r="B300" s="4" t="s">
        <v>656</v>
      </c>
      <c r="C300" s="4"/>
      <c r="D300" s="4"/>
      <c r="E300" s="4"/>
      <c r="F300" s="4"/>
      <c r="G300" s="4"/>
      <c r="H300" s="4"/>
      <c r="I300" s="4"/>
      <c r="J300" s="4"/>
      <c r="K300" s="4">
        <v>1</v>
      </c>
      <c r="L300" s="4"/>
      <c r="M300" s="4"/>
      <c r="N300" s="4"/>
      <c r="O300" s="5">
        <f t="shared" si="4"/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D876-447A-4566-A2E3-698AA733C8E9}">
  <dimension ref="A1:O300"/>
  <sheetViews>
    <sheetView workbookViewId="0">
      <selection sqref="A1:XFD1"/>
    </sheetView>
  </sheetViews>
  <sheetFormatPr defaultRowHeight="15" x14ac:dyDescent="0.25"/>
  <cols>
    <col min="1" max="1" width="10" bestFit="1" customWidth="1"/>
    <col min="2" max="2" width="29.85546875" bestFit="1" customWidth="1"/>
    <col min="5" max="5" width="9.42578125" customWidth="1"/>
    <col min="7" max="7" width="9.28515625" customWidth="1"/>
    <col min="13" max="13" width="9.28515625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1</v>
      </c>
      <c r="C2" s="5">
        <v>9231</v>
      </c>
      <c r="D2" s="5">
        <v>9370</v>
      </c>
      <c r="E2" s="5">
        <v>10268</v>
      </c>
      <c r="F2" s="5">
        <v>12581</v>
      </c>
      <c r="G2" s="5">
        <v>9918</v>
      </c>
      <c r="H2" s="5">
        <v>9697</v>
      </c>
      <c r="I2" s="5">
        <v>9439</v>
      </c>
      <c r="J2" s="5">
        <v>9111</v>
      </c>
      <c r="K2" s="5">
        <v>5772</v>
      </c>
      <c r="L2" s="5">
        <v>6130</v>
      </c>
      <c r="M2" s="5">
        <v>8535</v>
      </c>
      <c r="N2" s="5">
        <v>9060</v>
      </c>
      <c r="O2" s="5">
        <f>SUM(C2:N2)</f>
        <v>109112</v>
      </c>
    </row>
    <row r="3" spans="1:15" x14ac:dyDescent="0.25">
      <c r="A3" s="4" t="s">
        <v>2</v>
      </c>
      <c r="B3" s="4" t="s">
        <v>7</v>
      </c>
      <c r="C3" s="5">
        <v>7936</v>
      </c>
      <c r="D3" s="5">
        <v>7717</v>
      </c>
      <c r="E3" s="5">
        <v>8012</v>
      </c>
      <c r="F3" s="5">
        <v>6849</v>
      </c>
      <c r="G3" s="5">
        <v>7290</v>
      </c>
      <c r="H3" s="5">
        <v>7609</v>
      </c>
      <c r="I3" s="5">
        <v>7799</v>
      </c>
      <c r="J3" s="5">
        <v>6795</v>
      </c>
      <c r="K3" s="5">
        <v>7147</v>
      </c>
      <c r="L3" s="5">
        <v>5844</v>
      </c>
      <c r="M3" s="5">
        <v>5540</v>
      </c>
      <c r="N3" s="5">
        <v>7926</v>
      </c>
      <c r="O3" s="5">
        <f>SUM(C3:N3)</f>
        <v>86464</v>
      </c>
    </row>
    <row r="4" spans="1:15" x14ac:dyDescent="0.25">
      <c r="A4" s="4" t="s">
        <v>4</v>
      </c>
      <c r="B4" s="4" t="s">
        <v>17</v>
      </c>
      <c r="C4" s="5">
        <v>5021</v>
      </c>
      <c r="D4" s="5">
        <v>6221</v>
      </c>
      <c r="E4" s="5">
        <v>4995</v>
      </c>
      <c r="F4" s="5">
        <v>5383</v>
      </c>
      <c r="G4" s="5">
        <v>10929</v>
      </c>
      <c r="H4" s="5">
        <v>9382</v>
      </c>
      <c r="I4" s="5">
        <v>10873</v>
      </c>
      <c r="J4" s="5">
        <v>7711</v>
      </c>
      <c r="K4" s="5">
        <v>4911</v>
      </c>
      <c r="L4" s="5">
        <v>8381</v>
      </c>
      <c r="M4" s="5">
        <v>6340</v>
      </c>
      <c r="N4" s="5">
        <v>4509</v>
      </c>
      <c r="O4" s="5">
        <f t="shared" ref="O4:O67" si="0">SUM(C4:N4)</f>
        <v>84656</v>
      </c>
    </row>
    <row r="5" spans="1:15" x14ac:dyDescent="0.25">
      <c r="A5" s="4" t="s">
        <v>6</v>
      </c>
      <c r="B5" s="4" t="s">
        <v>30</v>
      </c>
      <c r="C5" s="5">
        <v>7091</v>
      </c>
      <c r="D5" s="5">
        <v>5834</v>
      </c>
      <c r="E5" s="5">
        <v>6186</v>
      </c>
      <c r="F5" s="5">
        <v>6634</v>
      </c>
      <c r="G5" s="5">
        <v>7361</v>
      </c>
      <c r="H5" s="5">
        <v>7504</v>
      </c>
      <c r="I5" s="5">
        <v>6855</v>
      </c>
      <c r="J5" s="5">
        <v>6710</v>
      </c>
      <c r="K5" s="5">
        <v>4503</v>
      </c>
      <c r="L5" s="5">
        <v>6723</v>
      </c>
      <c r="M5" s="5">
        <v>4233</v>
      </c>
      <c r="N5" s="5">
        <v>4293</v>
      </c>
      <c r="O5" s="5">
        <f t="shared" si="0"/>
        <v>73927</v>
      </c>
    </row>
    <row r="6" spans="1:15" x14ac:dyDescent="0.25">
      <c r="A6" s="4" t="s">
        <v>8</v>
      </c>
      <c r="B6" s="4" t="s">
        <v>3</v>
      </c>
      <c r="C6" s="5">
        <v>10566</v>
      </c>
      <c r="D6" s="5">
        <v>10260</v>
      </c>
      <c r="E6" s="5">
        <v>7933</v>
      </c>
      <c r="F6" s="5">
        <v>6402</v>
      </c>
      <c r="G6" s="5">
        <v>3820</v>
      </c>
      <c r="H6" s="5">
        <v>2532</v>
      </c>
      <c r="I6" s="5">
        <v>1387</v>
      </c>
      <c r="J6" s="4">
        <v>410</v>
      </c>
      <c r="K6" s="5">
        <v>4311</v>
      </c>
      <c r="L6" s="5">
        <v>5157</v>
      </c>
      <c r="M6" s="5">
        <v>9326</v>
      </c>
      <c r="N6" s="5">
        <v>11529</v>
      </c>
      <c r="O6" s="5">
        <f t="shared" si="0"/>
        <v>73633</v>
      </c>
    </row>
    <row r="7" spans="1:15" x14ac:dyDescent="0.25">
      <c r="A7" s="4" t="s">
        <v>10</v>
      </c>
      <c r="B7" s="4" t="s">
        <v>24</v>
      </c>
      <c r="C7" s="5">
        <v>5029</v>
      </c>
      <c r="D7" s="5">
        <v>4634</v>
      </c>
      <c r="E7" s="5">
        <v>5211</v>
      </c>
      <c r="F7" s="5">
        <v>5504</v>
      </c>
      <c r="G7" s="5">
        <v>6135</v>
      </c>
      <c r="H7" s="5">
        <v>6046</v>
      </c>
      <c r="I7" s="5">
        <v>6670</v>
      </c>
      <c r="J7" s="5">
        <v>6819</v>
      </c>
      <c r="K7" s="5">
        <v>6823</v>
      </c>
      <c r="L7" s="5">
        <v>6097</v>
      </c>
      <c r="M7" s="5">
        <v>5287</v>
      </c>
      <c r="N7" s="5">
        <v>6668</v>
      </c>
      <c r="O7" s="5">
        <f t="shared" si="0"/>
        <v>70923</v>
      </c>
    </row>
    <row r="8" spans="1:15" x14ac:dyDescent="0.25">
      <c r="A8" s="4" t="s">
        <v>14</v>
      </c>
      <c r="B8" s="4" t="s">
        <v>28</v>
      </c>
      <c r="C8" s="5">
        <v>5233</v>
      </c>
      <c r="D8" s="5">
        <v>5626</v>
      </c>
      <c r="E8" s="5">
        <v>6708</v>
      </c>
      <c r="F8" s="5">
        <v>6682</v>
      </c>
      <c r="G8" s="5">
        <v>3942</v>
      </c>
      <c r="H8" s="5">
        <v>5909</v>
      </c>
      <c r="I8" s="5">
        <v>7030</v>
      </c>
      <c r="J8" s="5">
        <v>6685</v>
      </c>
      <c r="K8" s="5">
        <v>6852</v>
      </c>
      <c r="L8" s="5">
        <v>5187</v>
      </c>
      <c r="M8" s="5">
        <v>5921</v>
      </c>
      <c r="N8" s="5">
        <v>5139</v>
      </c>
      <c r="O8" s="5">
        <f t="shared" si="0"/>
        <v>70914</v>
      </c>
    </row>
    <row r="9" spans="1:15" x14ac:dyDescent="0.25">
      <c r="A9" s="4" t="s">
        <v>16</v>
      </c>
      <c r="B9" s="4" t="s">
        <v>92</v>
      </c>
      <c r="C9" s="5">
        <v>6277</v>
      </c>
      <c r="D9" s="5">
        <v>5847</v>
      </c>
      <c r="E9" s="5">
        <v>6891</v>
      </c>
      <c r="F9" s="5">
        <v>6420</v>
      </c>
      <c r="G9" s="5">
        <v>6795</v>
      </c>
      <c r="H9" s="5">
        <v>4742</v>
      </c>
      <c r="I9" s="5">
        <v>1805</v>
      </c>
      <c r="J9" s="5">
        <v>4082</v>
      </c>
      <c r="K9" s="5">
        <v>3141</v>
      </c>
      <c r="L9" s="5">
        <v>5039</v>
      </c>
      <c r="M9" s="5">
        <v>6866</v>
      </c>
      <c r="N9" s="5">
        <v>8329</v>
      </c>
      <c r="O9" s="5">
        <f t="shared" si="0"/>
        <v>66234</v>
      </c>
    </row>
    <row r="10" spans="1:15" x14ac:dyDescent="0.25">
      <c r="A10" s="4" t="s">
        <v>18</v>
      </c>
      <c r="B10" s="4" t="s">
        <v>15</v>
      </c>
      <c r="C10" s="5">
        <v>4784</v>
      </c>
      <c r="D10" s="5">
        <v>6015</v>
      </c>
      <c r="E10" s="5">
        <v>6725</v>
      </c>
      <c r="F10" s="5">
        <v>6861</v>
      </c>
      <c r="G10" s="5">
        <v>7443</v>
      </c>
      <c r="H10" s="5">
        <v>7529</v>
      </c>
      <c r="I10" s="5">
        <v>8059</v>
      </c>
      <c r="J10" s="5">
        <v>7538</v>
      </c>
      <c r="K10" s="5">
        <v>4574</v>
      </c>
      <c r="L10" s="5">
        <v>2945</v>
      </c>
      <c r="M10" s="4">
        <v>638</v>
      </c>
      <c r="N10" s="5">
        <v>2744</v>
      </c>
      <c r="O10" s="5">
        <f t="shared" si="0"/>
        <v>65855</v>
      </c>
    </row>
    <row r="11" spans="1:15" x14ac:dyDescent="0.25">
      <c r="A11" s="4" t="s">
        <v>20</v>
      </c>
      <c r="B11" s="4" t="s">
        <v>21</v>
      </c>
      <c r="C11" s="5">
        <v>4067</v>
      </c>
      <c r="D11" s="5">
        <v>4826</v>
      </c>
      <c r="E11" s="5">
        <v>6173</v>
      </c>
      <c r="F11" s="5">
        <v>5544</v>
      </c>
      <c r="G11" s="5">
        <v>6983</v>
      </c>
      <c r="H11" s="5">
        <v>5902</v>
      </c>
      <c r="I11" s="5">
        <v>4268</v>
      </c>
      <c r="J11" s="5">
        <v>4822</v>
      </c>
      <c r="K11" s="5">
        <v>4550</v>
      </c>
      <c r="L11" s="5">
        <v>5492</v>
      </c>
      <c r="M11" s="5">
        <v>6099</v>
      </c>
      <c r="N11" s="5">
        <v>6038</v>
      </c>
      <c r="O11" s="5">
        <f t="shared" si="0"/>
        <v>64764</v>
      </c>
    </row>
    <row r="12" spans="1:15" x14ac:dyDescent="0.25">
      <c r="A12" s="4" t="s">
        <v>23</v>
      </c>
      <c r="B12" s="4" t="s">
        <v>11</v>
      </c>
      <c r="C12" s="5">
        <v>5241</v>
      </c>
      <c r="D12" s="5">
        <v>5524</v>
      </c>
      <c r="E12" s="5">
        <v>5289</v>
      </c>
      <c r="F12" s="5">
        <v>4325</v>
      </c>
      <c r="G12" s="5">
        <v>5486</v>
      </c>
      <c r="H12" s="5">
        <v>3318</v>
      </c>
      <c r="I12" s="5">
        <v>3392</v>
      </c>
      <c r="J12" s="5">
        <v>6698</v>
      </c>
      <c r="K12" s="5">
        <v>5733</v>
      </c>
      <c r="L12" s="5">
        <v>6008</v>
      </c>
      <c r="M12" s="5">
        <v>4725</v>
      </c>
      <c r="N12" s="5">
        <v>6574</v>
      </c>
      <c r="O12" s="5">
        <f t="shared" si="0"/>
        <v>62313</v>
      </c>
    </row>
    <row r="13" spans="1:15" x14ac:dyDescent="0.25">
      <c r="A13" s="4" t="s">
        <v>25</v>
      </c>
      <c r="B13" s="4" t="s">
        <v>9</v>
      </c>
      <c r="C13" s="5">
        <v>7139</v>
      </c>
      <c r="D13" s="5">
        <v>6501</v>
      </c>
      <c r="E13" s="5">
        <v>5450</v>
      </c>
      <c r="F13" s="5">
        <v>4896</v>
      </c>
      <c r="G13" s="5">
        <v>3367</v>
      </c>
      <c r="H13" s="5">
        <v>1525</v>
      </c>
      <c r="I13" s="4">
        <v>707</v>
      </c>
      <c r="J13" s="4">
        <v>267</v>
      </c>
      <c r="K13" s="5">
        <v>3747</v>
      </c>
      <c r="L13" s="5">
        <v>4494</v>
      </c>
      <c r="M13" s="5">
        <v>7521</v>
      </c>
      <c r="N13" s="5">
        <v>9105</v>
      </c>
      <c r="O13" s="5">
        <f t="shared" si="0"/>
        <v>54719</v>
      </c>
    </row>
    <row r="14" spans="1:15" x14ac:dyDescent="0.25">
      <c r="A14" s="4" t="s">
        <v>27</v>
      </c>
      <c r="B14" s="4" t="s">
        <v>26</v>
      </c>
      <c r="C14" s="5">
        <v>3896</v>
      </c>
      <c r="D14" s="5">
        <v>4905</v>
      </c>
      <c r="E14" s="5">
        <v>5094</v>
      </c>
      <c r="F14" s="5">
        <v>4358</v>
      </c>
      <c r="G14" s="5">
        <v>4852</v>
      </c>
      <c r="H14" s="5">
        <v>6083</v>
      </c>
      <c r="I14" s="5">
        <v>4865</v>
      </c>
      <c r="J14" s="5">
        <v>3764</v>
      </c>
      <c r="K14" s="5">
        <v>1963</v>
      </c>
      <c r="L14" s="5">
        <v>2655</v>
      </c>
      <c r="M14" s="5">
        <v>3712</v>
      </c>
      <c r="N14" s="5">
        <v>6775</v>
      </c>
      <c r="O14" s="5">
        <f t="shared" si="0"/>
        <v>52922</v>
      </c>
    </row>
    <row r="15" spans="1:15" x14ac:dyDescent="0.25">
      <c r="A15" s="4" t="s">
        <v>29</v>
      </c>
      <c r="B15" s="4" t="s">
        <v>19</v>
      </c>
      <c r="C15" s="5">
        <v>4593</v>
      </c>
      <c r="D15" s="5">
        <v>5042</v>
      </c>
      <c r="E15" s="5">
        <v>6410</v>
      </c>
      <c r="F15" s="5">
        <v>5377</v>
      </c>
      <c r="G15" s="5">
        <v>4718</v>
      </c>
      <c r="H15" s="4">
        <v>990</v>
      </c>
      <c r="I15" s="4">
        <v>244</v>
      </c>
      <c r="J15" s="5">
        <v>1293</v>
      </c>
      <c r="K15" s="5">
        <v>3936</v>
      </c>
      <c r="L15" s="5">
        <v>4151</v>
      </c>
      <c r="M15" s="5">
        <v>6073</v>
      </c>
      <c r="N15" s="5">
        <v>7936</v>
      </c>
      <c r="O15" s="5">
        <f t="shared" si="0"/>
        <v>50763</v>
      </c>
    </row>
    <row r="16" spans="1:15" x14ac:dyDescent="0.25">
      <c r="A16" s="4" t="s">
        <v>31</v>
      </c>
      <c r="B16" s="4" t="s">
        <v>38</v>
      </c>
      <c r="C16" s="5">
        <v>3301</v>
      </c>
      <c r="D16" s="5">
        <v>2663</v>
      </c>
      <c r="E16" s="5">
        <v>3233</v>
      </c>
      <c r="F16" s="5">
        <v>3373</v>
      </c>
      <c r="G16" s="5">
        <v>3132</v>
      </c>
      <c r="H16" s="5">
        <v>3535</v>
      </c>
      <c r="I16" s="5">
        <v>4576</v>
      </c>
      <c r="J16" s="5">
        <v>4363</v>
      </c>
      <c r="K16" s="5">
        <v>4396</v>
      </c>
      <c r="L16" s="5">
        <v>3814</v>
      </c>
      <c r="M16" s="5">
        <v>4103</v>
      </c>
      <c r="N16" s="5">
        <v>5408</v>
      </c>
      <c r="O16" s="5">
        <f t="shared" si="0"/>
        <v>45897</v>
      </c>
    </row>
    <row r="17" spans="1:15" x14ac:dyDescent="0.25">
      <c r="A17" s="4" t="s">
        <v>33</v>
      </c>
      <c r="B17" s="4" t="s">
        <v>48</v>
      </c>
      <c r="C17" s="5">
        <v>2224</v>
      </c>
      <c r="D17" s="5">
        <v>2817</v>
      </c>
      <c r="E17" s="5">
        <v>4109</v>
      </c>
      <c r="F17" s="5">
        <v>3418</v>
      </c>
      <c r="G17" s="5">
        <v>3790</v>
      </c>
      <c r="H17" s="5">
        <v>3544</v>
      </c>
      <c r="I17" s="5">
        <v>3925</v>
      </c>
      <c r="J17" s="5">
        <v>4354</v>
      </c>
      <c r="K17" s="5">
        <v>2280</v>
      </c>
      <c r="L17" s="5">
        <v>3014</v>
      </c>
      <c r="M17" s="5">
        <v>3505</v>
      </c>
      <c r="N17" s="5">
        <v>4922</v>
      </c>
      <c r="O17" s="5">
        <f t="shared" si="0"/>
        <v>41902</v>
      </c>
    </row>
    <row r="18" spans="1:15" x14ac:dyDescent="0.25">
      <c r="A18" s="4" t="s">
        <v>35</v>
      </c>
      <c r="B18" s="4" t="s">
        <v>34</v>
      </c>
      <c r="C18" s="5">
        <v>2658</v>
      </c>
      <c r="D18" s="5">
        <v>3703</v>
      </c>
      <c r="E18" s="5">
        <v>3728</v>
      </c>
      <c r="F18" s="5">
        <v>3095</v>
      </c>
      <c r="G18" s="5">
        <v>3095</v>
      </c>
      <c r="H18" s="5">
        <v>2469</v>
      </c>
      <c r="I18" s="5">
        <v>2338</v>
      </c>
      <c r="J18" s="5">
        <v>3878</v>
      </c>
      <c r="K18" s="5">
        <v>3502</v>
      </c>
      <c r="L18" s="5">
        <v>3381</v>
      </c>
      <c r="M18" s="5">
        <v>2868</v>
      </c>
      <c r="N18" s="5">
        <v>3696</v>
      </c>
      <c r="O18" s="5">
        <f t="shared" si="0"/>
        <v>38411</v>
      </c>
    </row>
    <row r="19" spans="1:15" x14ac:dyDescent="0.25">
      <c r="A19" s="4" t="s">
        <v>37</v>
      </c>
      <c r="B19" s="4" t="s">
        <v>32</v>
      </c>
      <c r="C19" s="5">
        <v>3481</v>
      </c>
      <c r="D19" s="5">
        <v>3467</v>
      </c>
      <c r="E19" s="5">
        <v>3918</v>
      </c>
      <c r="F19" s="5">
        <v>3413</v>
      </c>
      <c r="G19" s="5">
        <v>2836</v>
      </c>
      <c r="H19" s="5">
        <v>2823</v>
      </c>
      <c r="I19" s="5">
        <v>3505</v>
      </c>
      <c r="J19" s="5">
        <v>3626</v>
      </c>
      <c r="K19" s="5">
        <v>3356</v>
      </c>
      <c r="L19" s="5">
        <v>3485</v>
      </c>
      <c r="M19" s="5">
        <v>1251</v>
      </c>
      <c r="N19" s="5">
        <v>1508</v>
      </c>
      <c r="O19" s="5">
        <f t="shared" si="0"/>
        <v>36669</v>
      </c>
    </row>
    <row r="20" spans="1:15" x14ac:dyDescent="0.25">
      <c r="A20" s="4" t="s">
        <v>39</v>
      </c>
      <c r="B20" s="4" t="s">
        <v>36</v>
      </c>
      <c r="C20" s="5">
        <v>3072</v>
      </c>
      <c r="D20" s="5">
        <v>3230</v>
      </c>
      <c r="E20" s="5">
        <v>3136</v>
      </c>
      <c r="F20" s="5">
        <v>3602</v>
      </c>
      <c r="G20" s="5">
        <v>2879</v>
      </c>
      <c r="H20" s="5">
        <v>3250</v>
      </c>
      <c r="I20" s="5">
        <v>3029</v>
      </c>
      <c r="J20" s="5">
        <v>2955</v>
      </c>
      <c r="K20" s="5">
        <v>2903</v>
      </c>
      <c r="L20" s="5">
        <v>2337</v>
      </c>
      <c r="M20" s="5">
        <v>3556</v>
      </c>
      <c r="N20" s="5">
        <v>2578</v>
      </c>
      <c r="O20" s="5">
        <f t="shared" si="0"/>
        <v>36527</v>
      </c>
    </row>
    <row r="21" spans="1:15" x14ac:dyDescent="0.25">
      <c r="A21" s="4" t="s">
        <v>41</v>
      </c>
      <c r="B21" s="4" t="s">
        <v>56</v>
      </c>
      <c r="C21" s="5">
        <v>2520</v>
      </c>
      <c r="D21" s="5">
        <v>1602</v>
      </c>
      <c r="E21" s="5">
        <v>1409</v>
      </c>
      <c r="F21" s="5">
        <v>1987</v>
      </c>
      <c r="G21" s="5">
        <v>1946</v>
      </c>
      <c r="H21" s="5">
        <v>3321</v>
      </c>
      <c r="I21" s="5">
        <v>4142</v>
      </c>
      <c r="J21" s="5">
        <v>4798</v>
      </c>
      <c r="K21" s="5">
        <v>4234</v>
      </c>
      <c r="L21" s="5">
        <v>3775</v>
      </c>
      <c r="M21" s="5">
        <v>3103</v>
      </c>
      <c r="N21" s="5">
        <v>2221</v>
      </c>
      <c r="O21" s="5">
        <f t="shared" si="0"/>
        <v>35058</v>
      </c>
    </row>
    <row r="22" spans="1:15" x14ac:dyDescent="0.25">
      <c r="A22" s="4" t="s">
        <v>43</v>
      </c>
      <c r="B22" s="4" t="s">
        <v>46</v>
      </c>
      <c r="C22" s="4"/>
      <c r="D22" s="4"/>
      <c r="E22" s="4">
        <v>37</v>
      </c>
      <c r="F22" s="5">
        <v>1889</v>
      </c>
      <c r="G22" s="5">
        <v>3678</v>
      </c>
      <c r="H22" s="5">
        <v>4710</v>
      </c>
      <c r="I22" s="5">
        <v>5068</v>
      </c>
      <c r="J22" s="5">
        <v>4789</v>
      </c>
      <c r="K22" s="5">
        <v>3050</v>
      </c>
      <c r="L22" s="5">
        <v>2999</v>
      </c>
      <c r="M22" s="5">
        <v>3454</v>
      </c>
      <c r="N22" s="5">
        <v>4581</v>
      </c>
      <c r="O22" s="5">
        <f t="shared" si="0"/>
        <v>34255</v>
      </c>
    </row>
    <row r="23" spans="1:15" x14ac:dyDescent="0.25">
      <c r="A23" s="4" t="s">
        <v>45</v>
      </c>
      <c r="B23" s="4" t="s">
        <v>130</v>
      </c>
      <c r="C23" s="5">
        <v>2192</v>
      </c>
      <c r="D23" s="5">
        <v>2107</v>
      </c>
      <c r="E23" s="5">
        <v>3695</v>
      </c>
      <c r="F23" s="5">
        <v>2437</v>
      </c>
      <c r="G23" s="5">
        <v>2850</v>
      </c>
      <c r="H23" s="5">
        <v>1552</v>
      </c>
      <c r="I23" s="4">
        <v>382</v>
      </c>
      <c r="J23" s="5">
        <v>1594</v>
      </c>
      <c r="K23" s="4">
        <v>872</v>
      </c>
      <c r="L23" s="5">
        <v>2968</v>
      </c>
      <c r="M23" s="5">
        <v>3357</v>
      </c>
      <c r="N23" s="5">
        <v>4588</v>
      </c>
      <c r="O23" s="5">
        <f t="shared" si="0"/>
        <v>28594</v>
      </c>
    </row>
    <row r="24" spans="1:15" x14ac:dyDescent="0.25">
      <c r="A24" s="4" t="s">
        <v>47</v>
      </c>
      <c r="B24" s="4" t="s">
        <v>40</v>
      </c>
      <c r="C24" s="5">
        <v>1031</v>
      </c>
      <c r="D24" s="4">
        <v>450</v>
      </c>
      <c r="E24" s="4">
        <v>807</v>
      </c>
      <c r="F24" s="4">
        <v>591</v>
      </c>
      <c r="G24" s="5">
        <v>1968</v>
      </c>
      <c r="H24" s="5">
        <v>5404</v>
      </c>
      <c r="I24" s="5">
        <v>2586</v>
      </c>
      <c r="J24" s="5">
        <v>1855</v>
      </c>
      <c r="K24" s="5">
        <v>2302</v>
      </c>
      <c r="L24" s="5">
        <v>2816</v>
      </c>
      <c r="M24" s="5">
        <v>3545</v>
      </c>
      <c r="N24" s="5">
        <v>4535</v>
      </c>
      <c r="O24" s="5">
        <f t="shared" si="0"/>
        <v>27890</v>
      </c>
    </row>
    <row r="25" spans="1:15" x14ac:dyDescent="0.25">
      <c r="A25" s="4" t="s">
        <v>49</v>
      </c>
      <c r="B25" s="4" t="s">
        <v>44</v>
      </c>
      <c r="C25" s="5">
        <v>2497</v>
      </c>
      <c r="D25" s="5">
        <v>2523</v>
      </c>
      <c r="E25" s="5">
        <v>2910</v>
      </c>
      <c r="F25" s="5">
        <v>2253</v>
      </c>
      <c r="G25" s="5">
        <v>2457</v>
      </c>
      <c r="H25" s="5">
        <v>2932</v>
      </c>
      <c r="I25" s="5">
        <v>1409</v>
      </c>
      <c r="J25" s="5">
        <v>1561</v>
      </c>
      <c r="K25" s="5">
        <v>1389</v>
      </c>
      <c r="L25" s="5">
        <v>2174</v>
      </c>
      <c r="M25" s="5">
        <v>2096</v>
      </c>
      <c r="N25" s="5">
        <v>2554</v>
      </c>
      <c r="O25" s="5">
        <f t="shared" si="0"/>
        <v>26755</v>
      </c>
    </row>
    <row r="26" spans="1:15" x14ac:dyDescent="0.25">
      <c r="A26" s="4" t="s">
        <v>51</v>
      </c>
      <c r="B26" s="4" t="s">
        <v>58</v>
      </c>
      <c r="C26" s="5">
        <v>1915</v>
      </c>
      <c r="D26" s="5">
        <v>1934</v>
      </c>
      <c r="E26" s="5">
        <v>2010</v>
      </c>
      <c r="F26" s="5">
        <v>1721</v>
      </c>
      <c r="G26" s="5">
        <v>1934</v>
      </c>
      <c r="H26" s="5">
        <v>2579</v>
      </c>
      <c r="I26" s="5">
        <v>2408</v>
      </c>
      <c r="J26" s="5">
        <v>2197</v>
      </c>
      <c r="K26" s="5">
        <v>2269</v>
      </c>
      <c r="L26" s="5">
        <v>1716</v>
      </c>
      <c r="M26" s="5">
        <v>2011</v>
      </c>
      <c r="N26" s="5">
        <v>2876</v>
      </c>
      <c r="O26" s="5">
        <f t="shared" si="0"/>
        <v>25570</v>
      </c>
    </row>
    <row r="27" spans="1:15" x14ac:dyDescent="0.25">
      <c r="A27" s="4" t="s">
        <v>53</v>
      </c>
      <c r="B27" s="4" t="s">
        <v>66</v>
      </c>
      <c r="C27" s="5">
        <v>1536</v>
      </c>
      <c r="D27" s="5">
        <v>1436</v>
      </c>
      <c r="E27" s="5">
        <v>2624</v>
      </c>
      <c r="F27" s="5">
        <v>2414</v>
      </c>
      <c r="G27" s="5">
        <v>2588</v>
      </c>
      <c r="H27" s="5">
        <v>2353</v>
      </c>
      <c r="I27" s="5">
        <v>2532</v>
      </c>
      <c r="J27" s="4">
        <v>945</v>
      </c>
      <c r="K27" s="5">
        <v>1056</v>
      </c>
      <c r="L27" s="5">
        <v>1408</v>
      </c>
      <c r="M27" s="5">
        <v>1764</v>
      </c>
      <c r="N27" s="5">
        <v>1803</v>
      </c>
      <c r="O27" s="5">
        <f t="shared" si="0"/>
        <v>22459</v>
      </c>
    </row>
    <row r="28" spans="1:15" x14ac:dyDescent="0.25">
      <c r="A28" s="4" t="s">
        <v>55</v>
      </c>
      <c r="B28" s="4" t="s">
        <v>64</v>
      </c>
      <c r="C28" s="5">
        <v>1838</v>
      </c>
      <c r="D28" s="5">
        <v>1963</v>
      </c>
      <c r="E28" s="5">
        <v>2281</v>
      </c>
      <c r="F28" s="5">
        <v>1949</v>
      </c>
      <c r="G28" s="5">
        <v>2176</v>
      </c>
      <c r="H28" s="5">
        <v>2046</v>
      </c>
      <c r="I28" s="5">
        <v>2285</v>
      </c>
      <c r="J28" s="5">
        <v>1655</v>
      </c>
      <c r="K28" s="5">
        <v>1026</v>
      </c>
      <c r="L28" s="5">
        <v>1087</v>
      </c>
      <c r="M28" s="5">
        <v>1286</v>
      </c>
      <c r="N28" s="5">
        <v>1538</v>
      </c>
      <c r="O28" s="5">
        <f t="shared" si="0"/>
        <v>21130</v>
      </c>
    </row>
    <row r="29" spans="1:15" x14ac:dyDescent="0.25">
      <c r="A29" s="4" t="s">
        <v>57</v>
      </c>
      <c r="B29" s="4" t="s">
        <v>72</v>
      </c>
      <c r="C29" s="5">
        <v>1685</v>
      </c>
      <c r="D29" s="5">
        <v>2053</v>
      </c>
      <c r="E29" s="5">
        <v>1949</v>
      </c>
      <c r="F29" s="5">
        <v>1227</v>
      </c>
      <c r="G29" s="5">
        <v>1591</v>
      </c>
      <c r="H29" s="5">
        <v>1923</v>
      </c>
      <c r="I29" s="5">
        <v>1609</v>
      </c>
      <c r="J29" s="5">
        <v>1790</v>
      </c>
      <c r="K29" s="5">
        <v>2316</v>
      </c>
      <c r="L29" s="5">
        <v>1775</v>
      </c>
      <c r="M29" s="5">
        <v>1522</v>
      </c>
      <c r="N29" s="5">
        <v>1162</v>
      </c>
      <c r="O29" s="5">
        <f t="shared" si="0"/>
        <v>20602</v>
      </c>
    </row>
    <row r="30" spans="1:15" x14ac:dyDescent="0.25">
      <c r="A30" s="4" t="s">
        <v>59</v>
      </c>
      <c r="B30" s="4" t="s">
        <v>62</v>
      </c>
      <c r="C30" s="5">
        <v>1903</v>
      </c>
      <c r="D30" s="5">
        <v>2162</v>
      </c>
      <c r="E30" s="5">
        <v>2606</v>
      </c>
      <c r="F30" s="5">
        <v>2345</v>
      </c>
      <c r="G30" s="5">
        <v>2058</v>
      </c>
      <c r="H30" s="5">
        <v>1952</v>
      </c>
      <c r="I30" s="5">
        <v>1929</v>
      </c>
      <c r="J30" s="5">
        <v>1458</v>
      </c>
      <c r="K30" s="5">
        <v>1241</v>
      </c>
      <c r="L30" s="5">
        <v>1409</v>
      </c>
      <c r="M30" s="4">
        <v>738</v>
      </c>
      <c r="N30" s="4">
        <v>770</v>
      </c>
      <c r="O30" s="5">
        <f t="shared" si="0"/>
        <v>20571</v>
      </c>
    </row>
    <row r="31" spans="1:15" x14ac:dyDescent="0.25">
      <c r="A31" s="4" t="s">
        <v>61</v>
      </c>
      <c r="B31" s="4" t="s">
        <v>372</v>
      </c>
      <c r="C31" s="5">
        <v>2059</v>
      </c>
      <c r="D31" s="5">
        <v>1963</v>
      </c>
      <c r="E31" s="5">
        <v>4451</v>
      </c>
      <c r="F31" s="5">
        <v>1569</v>
      </c>
      <c r="G31" s="5">
        <v>2667</v>
      </c>
      <c r="H31" s="5">
        <v>2632</v>
      </c>
      <c r="I31" s="5">
        <v>1404</v>
      </c>
      <c r="J31" s="5">
        <v>1894</v>
      </c>
      <c r="K31" s="4">
        <v>323</v>
      </c>
      <c r="L31" s="4">
        <v>363</v>
      </c>
      <c r="M31" s="4">
        <v>98</v>
      </c>
      <c r="N31" s="5">
        <v>1135</v>
      </c>
      <c r="O31" s="5">
        <f t="shared" si="0"/>
        <v>20558</v>
      </c>
    </row>
    <row r="32" spans="1:15" x14ac:dyDescent="0.25">
      <c r="A32" s="4" t="s">
        <v>63</v>
      </c>
      <c r="B32" s="4" t="s">
        <v>74</v>
      </c>
      <c r="C32" s="5">
        <v>1926</v>
      </c>
      <c r="D32" s="5">
        <v>1307</v>
      </c>
      <c r="E32" s="5">
        <v>2386</v>
      </c>
      <c r="F32" s="5">
        <v>2007</v>
      </c>
      <c r="G32" s="5">
        <v>1430</v>
      </c>
      <c r="H32" s="4">
        <v>747</v>
      </c>
      <c r="I32" s="5">
        <v>1827</v>
      </c>
      <c r="J32" s="5">
        <v>2180</v>
      </c>
      <c r="K32" s="5">
        <v>1350</v>
      </c>
      <c r="L32" s="5">
        <v>1442</v>
      </c>
      <c r="M32" s="5">
        <v>1610</v>
      </c>
      <c r="N32" s="5">
        <v>2289</v>
      </c>
      <c r="O32" s="5">
        <f t="shared" si="0"/>
        <v>20501</v>
      </c>
    </row>
    <row r="33" spans="1:15" x14ac:dyDescent="0.25">
      <c r="A33" s="4" t="s">
        <v>65</v>
      </c>
      <c r="B33" s="4" t="s">
        <v>122</v>
      </c>
      <c r="C33" s="4">
        <v>487</v>
      </c>
      <c r="D33" s="4">
        <v>587</v>
      </c>
      <c r="E33" s="5">
        <v>1125</v>
      </c>
      <c r="F33" s="5">
        <v>1452</v>
      </c>
      <c r="G33" s="5">
        <v>1500</v>
      </c>
      <c r="H33" s="5">
        <v>2151</v>
      </c>
      <c r="I33" s="5">
        <v>2285</v>
      </c>
      <c r="J33" s="5">
        <v>1690</v>
      </c>
      <c r="K33" s="5">
        <v>1542</v>
      </c>
      <c r="L33" s="5">
        <v>1556</v>
      </c>
      <c r="M33" s="5">
        <v>2457</v>
      </c>
      <c r="N33" s="5">
        <v>2721</v>
      </c>
      <c r="O33" s="5">
        <f t="shared" si="0"/>
        <v>19553</v>
      </c>
    </row>
    <row r="34" spans="1:15" x14ac:dyDescent="0.25">
      <c r="A34" s="4" t="s">
        <v>67</v>
      </c>
      <c r="B34" s="4" t="s">
        <v>5</v>
      </c>
      <c r="C34" s="5">
        <v>2460</v>
      </c>
      <c r="D34" s="5">
        <v>2555</v>
      </c>
      <c r="E34" s="5">
        <v>3076</v>
      </c>
      <c r="F34" s="5">
        <v>2516</v>
      </c>
      <c r="G34" s="5">
        <v>2093</v>
      </c>
      <c r="H34" s="5">
        <v>1554</v>
      </c>
      <c r="I34" s="5">
        <v>1392</v>
      </c>
      <c r="J34" s="4">
        <v>937</v>
      </c>
      <c r="K34" s="4">
        <v>759</v>
      </c>
      <c r="L34" s="5">
        <v>1049</v>
      </c>
      <c r="M34" s="4">
        <v>579</v>
      </c>
      <c r="N34" s="4">
        <v>240</v>
      </c>
      <c r="O34" s="5">
        <f t="shared" si="0"/>
        <v>19210</v>
      </c>
    </row>
    <row r="35" spans="1:15" x14ac:dyDescent="0.25">
      <c r="A35" s="4" t="s">
        <v>69</v>
      </c>
      <c r="B35" s="4" t="s">
        <v>232</v>
      </c>
      <c r="C35" s="5">
        <v>1732</v>
      </c>
      <c r="D35" s="5">
        <v>1677</v>
      </c>
      <c r="E35" s="5">
        <v>1017</v>
      </c>
      <c r="F35" s="4">
        <v>859</v>
      </c>
      <c r="G35" s="5">
        <v>1529</v>
      </c>
      <c r="H35" s="5">
        <v>1939</v>
      </c>
      <c r="I35" s="5">
        <v>1785</v>
      </c>
      <c r="J35" s="5">
        <v>1578</v>
      </c>
      <c r="K35" s="5">
        <v>1891</v>
      </c>
      <c r="L35" s="5">
        <v>1657</v>
      </c>
      <c r="M35" s="5">
        <v>1588</v>
      </c>
      <c r="N35" s="5">
        <v>1697</v>
      </c>
      <c r="O35" s="5">
        <f t="shared" si="0"/>
        <v>18949</v>
      </c>
    </row>
    <row r="36" spans="1:15" x14ac:dyDescent="0.25">
      <c r="A36" s="4" t="s">
        <v>71</v>
      </c>
      <c r="B36" s="4" t="s">
        <v>432</v>
      </c>
      <c r="C36" s="5">
        <v>1283</v>
      </c>
      <c r="D36" s="5">
        <v>1309</v>
      </c>
      <c r="E36" s="5">
        <v>2690</v>
      </c>
      <c r="F36" s="5">
        <v>2057</v>
      </c>
      <c r="G36" s="5">
        <v>2403</v>
      </c>
      <c r="H36" s="5">
        <v>1624</v>
      </c>
      <c r="I36" s="5">
        <v>1321</v>
      </c>
      <c r="J36" s="4">
        <v>926</v>
      </c>
      <c r="K36" s="5">
        <v>2334</v>
      </c>
      <c r="L36" s="5">
        <v>1595</v>
      </c>
      <c r="M36" s="4">
        <v>320</v>
      </c>
      <c r="N36" s="4">
        <v>71</v>
      </c>
      <c r="O36" s="5">
        <f t="shared" si="0"/>
        <v>17933</v>
      </c>
    </row>
    <row r="37" spans="1:15" x14ac:dyDescent="0.25">
      <c r="A37" s="4" t="s">
        <v>73</v>
      </c>
      <c r="B37" s="4" t="s">
        <v>54</v>
      </c>
      <c r="C37" s="4">
        <v>778</v>
      </c>
      <c r="D37" s="4">
        <v>628</v>
      </c>
      <c r="E37" s="4">
        <v>778</v>
      </c>
      <c r="F37" s="4">
        <v>991</v>
      </c>
      <c r="G37" s="5">
        <v>1141</v>
      </c>
      <c r="H37" s="5">
        <v>1738</v>
      </c>
      <c r="I37" s="5">
        <v>1637</v>
      </c>
      <c r="J37" s="5">
        <v>1220</v>
      </c>
      <c r="K37" s="5">
        <v>1697</v>
      </c>
      <c r="L37" s="5">
        <v>2270</v>
      </c>
      <c r="M37" s="5">
        <v>1653</v>
      </c>
      <c r="N37" s="5">
        <v>1814</v>
      </c>
      <c r="O37" s="5">
        <f t="shared" si="0"/>
        <v>16345</v>
      </c>
    </row>
    <row r="38" spans="1:15" x14ac:dyDescent="0.25">
      <c r="A38" s="4" t="s">
        <v>75</v>
      </c>
      <c r="B38" s="4" t="s">
        <v>390</v>
      </c>
      <c r="C38" s="5">
        <v>1257</v>
      </c>
      <c r="D38" s="5">
        <v>1198</v>
      </c>
      <c r="E38" s="5">
        <v>1351</v>
      </c>
      <c r="F38" s="4">
        <v>999</v>
      </c>
      <c r="G38" s="5">
        <v>1164</v>
      </c>
      <c r="H38" s="4">
        <v>829</v>
      </c>
      <c r="I38" s="5">
        <v>1394</v>
      </c>
      <c r="J38" s="5">
        <v>1391</v>
      </c>
      <c r="K38" s="5">
        <v>1192</v>
      </c>
      <c r="L38" s="4">
        <v>946</v>
      </c>
      <c r="M38" s="5">
        <v>1499</v>
      </c>
      <c r="N38" s="5">
        <v>2138</v>
      </c>
      <c r="O38" s="5">
        <f t="shared" si="0"/>
        <v>15358</v>
      </c>
    </row>
    <row r="39" spans="1:15" x14ac:dyDescent="0.25">
      <c r="A39" s="4" t="s">
        <v>77</v>
      </c>
      <c r="B39" s="4" t="s">
        <v>78</v>
      </c>
      <c r="C39" s="4">
        <v>701</v>
      </c>
      <c r="D39" s="4">
        <v>846</v>
      </c>
      <c r="E39" s="5">
        <v>1057</v>
      </c>
      <c r="F39" s="5">
        <v>1180</v>
      </c>
      <c r="G39" s="5">
        <v>1087</v>
      </c>
      <c r="H39" s="5">
        <v>1165</v>
      </c>
      <c r="I39" s="5">
        <v>1308</v>
      </c>
      <c r="J39" s="5">
        <v>1212</v>
      </c>
      <c r="K39" s="5">
        <v>1155</v>
      </c>
      <c r="L39" s="5">
        <v>1149</v>
      </c>
      <c r="M39" s="5">
        <v>1215</v>
      </c>
      <c r="N39" s="5">
        <v>1568</v>
      </c>
      <c r="O39" s="5">
        <f t="shared" si="0"/>
        <v>13643</v>
      </c>
    </row>
    <row r="40" spans="1:15" x14ac:dyDescent="0.25">
      <c r="A40" s="4" t="s">
        <v>79</v>
      </c>
      <c r="B40" s="4" t="s">
        <v>88</v>
      </c>
      <c r="C40" s="4">
        <v>596</v>
      </c>
      <c r="D40" s="4">
        <v>648</v>
      </c>
      <c r="E40" s="5">
        <v>1063</v>
      </c>
      <c r="F40" s="5">
        <v>1045</v>
      </c>
      <c r="G40" s="5">
        <v>1242</v>
      </c>
      <c r="H40" s="5">
        <v>1195</v>
      </c>
      <c r="I40" s="5">
        <v>1077</v>
      </c>
      <c r="J40" s="5">
        <v>1045</v>
      </c>
      <c r="K40" s="5">
        <v>1276</v>
      </c>
      <c r="L40" s="5">
        <v>1008</v>
      </c>
      <c r="M40" s="5">
        <v>1407</v>
      </c>
      <c r="N40" s="5">
        <v>1561</v>
      </c>
      <c r="O40" s="5">
        <f t="shared" si="0"/>
        <v>13163</v>
      </c>
    </row>
    <row r="41" spans="1:15" x14ac:dyDescent="0.25">
      <c r="A41" s="4" t="s">
        <v>81</v>
      </c>
      <c r="B41" s="4" t="s">
        <v>70</v>
      </c>
      <c r="C41" s="4">
        <v>782</v>
      </c>
      <c r="D41" s="4">
        <v>717</v>
      </c>
      <c r="E41" s="5">
        <v>1032</v>
      </c>
      <c r="F41" s="5">
        <v>1134</v>
      </c>
      <c r="G41" s="5">
        <v>2362</v>
      </c>
      <c r="H41" s="5">
        <v>2007</v>
      </c>
      <c r="I41" s="5">
        <v>1175</v>
      </c>
      <c r="J41" s="4">
        <v>435</v>
      </c>
      <c r="K41" s="4">
        <v>460</v>
      </c>
      <c r="L41" s="4">
        <v>612</v>
      </c>
      <c r="M41" s="4">
        <v>758</v>
      </c>
      <c r="N41" s="5">
        <v>1538</v>
      </c>
      <c r="O41" s="5">
        <f t="shared" si="0"/>
        <v>13012</v>
      </c>
    </row>
    <row r="42" spans="1:15" x14ac:dyDescent="0.25">
      <c r="A42" s="4" t="s">
        <v>83</v>
      </c>
      <c r="B42" s="4" t="s">
        <v>94</v>
      </c>
      <c r="C42" s="4">
        <v>961</v>
      </c>
      <c r="D42" s="4">
        <v>642</v>
      </c>
      <c r="E42" s="4">
        <v>822</v>
      </c>
      <c r="F42" s="4">
        <v>993</v>
      </c>
      <c r="G42" s="5">
        <v>1133</v>
      </c>
      <c r="H42" s="4">
        <v>967</v>
      </c>
      <c r="I42" s="5">
        <v>1109</v>
      </c>
      <c r="J42" s="5">
        <v>1495</v>
      </c>
      <c r="K42" s="5">
        <v>1121</v>
      </c>
      <c r="L42" s="5">
        <v>1384</v>
      </c>
      <c r="M42" s="4">
        <v>991</v>
      </c>
      <c r="N42" s="4">
        <v>899</v>
      </c>
      <c r="O42" s="5">
        <f t="shared" si="0"/>
        <v>12517</v>
      </c>
    </row>
    <row r="43" spans="1:15" x14ac:dyDescent="0.25">
      <c r="A43" s="4" t="s">
        <v>85</v>
      </c>
      <c r="B43" s="4" t="s">
        <v>100</v>
      </c>
      <c r="C43" s="5">
        <v>1184</v>
      </c>
      <c r="D43" s="5">
        <v>1279</v>
      </c>
      <c r="E43" s="5">
        <v>1251</v>
      </c>
      <c r="F43" s="5">
        <v>1295</v>
      </c>
      <c r="G43" s="5">
        <v>1309</v>
      </c>
      <c r="H43" s="5">
        <v>1548</v>
      </c>
      <c r="I43" s="5">
        <v>1406</v>
      </c>
      <c r="J43" s="4">
        <v>903</v>
      </c>
      <c r="K43" s="4">
        <v>490</v>
      </c>
      <c r="L43" s="4">
        <v>424</v>
      </c>
      <c r="M43" s="4">
        <v>578</v>
      </c>
      <c r="N43" s="4">
        <v>776</v>
      </c>
      <c r="O43" s="5">
        <f t="shared" si="0"/>
        <v>12443</v>
      </c>
    </row>
    <row r="44" spans="1:15" x14ac:dyDescent="0.25">
      <c r="A44" s="4" t="s">
        <v>87</v>
      </c>
      <c r="B44" s="4" t="s">
        <v>76</v>
      </c>
      <c r="C44" s="5">
        <v>1461</v>
      </c>
      <c r="D44" s="5">
        <v>1391</v>
      </c>
      <c r="E44" s="5">
        <v>1268</v>
      </c>
      <c r="F44" s="5">
        <v>1026</v>
      </c>
      <c r="G44" s="5">
        <v>1223</v>
      </c>
      <c r="H44" s="5">
        <v>1220</v>
      </c>
      <c r="I44" s="5">
        <v>1254</v>
      </c>
      <c r="J44" s="4">
        <v>971</v>
      </c>
      <c r="K44" s="4">
        <v>598</v>
      </c>
      <c r="L44" s="4">
        <v>557</v>
      </c>
      <c r="M44" s="4">
        <v>661</v>
      </c>
      <c r="N44" s="4">
        <v>808</v>
      </c>
      <c r="O44" s="5">
        <f t="shared" si="0"/>
        <v>12438</v>
      </c>
    </row>
    <row r="45" spans="1:15" x14ac:dyDescent="0.25">
      <c r="A45" s="4" t="s">
        <v>89</v>
      </c>
      <c r="B45" s="4" t="s">
        <v>84</v>
      </c>
      <c r="C45" s="5">
        <v>1049</v>
      </c>
      <c r="D45" s="4">
        <v>913</v>
      </c>
      <c r="E45" s="5">
        <v>1089</v>
      </c>
      <c r="F45" s="4">
        <v>967</v>
      </c>
      <c r="G45" s="4">
        <v>878</v>
      </c>
      <c r="H45" s="5">
        <v>1052</v>
      </c>
      <c r="I45" s="5">
        <v>1872</v>
      </c>
      <c r="J45" s="4">
        <v>986</v>
      </c>
      <c r="K45" s="4">
        <v>517</v>
      </c>
      <c r="L45" s="4">
        <v>533</v>
      </c>
      <c r="M45" s="4">
        <v>887</v>
      </c>
      <c r="N45" s="5">
        <v>1390</v>
      </c>
      <c r="O45" s="5">
        <f t="shared" si="0"/>
        <v>12133</v>
      </c>
    </row>
    <row r="46" spans="1:15" x14ac:dyDescent="0.25">
      <c r="A46" s="4" t="s">
        <v>91</v>
      </c>
      <c r="B46" s="4" t="s">
        <v>102</v>
      </c>
      <c r="C46" s="4">
        <v>815</v>
      </c>
      <c r="D46" s="4">
        <v>844</v>
      </c>
      <c r="E46" s="4">
        <v>948</v>
      </c>
      <c r="F46" s="4">
        <v>618</v>
      </c>
      <c r="G46" s="4">
        <v>760</v>
      </c>
      <c r="H46" s="4">
        <v>771</v>
      </c>
      <c r="I46" s="4">
        <v>922</v>
      </c>
      <c r="J46" s="5">
        <v>1161</v>
      </c>
      <c r="K46" s="5">
        <v>1184</v>
      </c>
      <c r="L46" s="5">
        <v>1036</v>
      </c>
      <c r="M46" s="5">
        <v>1363</v>
      </c>
      <c r="N46" s="5">
        <v>1402</v>
      </c>
      <c r="O46" s="5">
        <f t="shared" si="0"/>
        <v>11824</v>
      </c>
    </row>
    <row r="47" spans="1:15" x14ac:dyDescent="0.25">
      <c r="A47" s="4" t="s">
        <v>93</v>
      </c>
      <c r="B47" s="4" t="s">
        <v>98</v>
      </c>
      <c r="C47" s="5">
        <v>1094</v>
      </c>
      <c r="D47" s="5">
        <v>1015</v>
      </c>
      <c r="E47" s="5">
        <v>1085</v>
      </c>
      <c r="F47" s="4">
        <v>948</v>
      </c>
      <c r="G47" s="4">
        <v>798</v>
      </c>
      <c r="H47" s="4">
        <v>667</v>
      </c>
      <c r="I47" s="4">
        <v>448</v>
      </c>
      <c r="J47" s="4">
        <v>247</v>
      </c>
      <c r="K47" s="4">
        <v>683</v>
      </c>
      <c r="L47" s="4">
        <v>945</v>
      </c>
      <c r="M47" s="5">
        <v>1913</v>
      </c>
      <c r="N47" s="5">
        <v>1264</v>
      </c>
      <c r="O47" s="5">
        <f t="shared" si="0"/>
        <v>11107</v>
      </c>
    </row>
    <row r="48" spans="1:15" x14ac:dyDescent="0.25">
      <c r="A48" s="4" t="s">
        <v>95</v>
      </c>
      <c r="B48" s="4" t="s">
        <v>96</v>
      </c>
      <c r="C48" s="5">
        <v>404</v>
      </c>
      <c r="D48" s="5">
        <v>300</v>
      </c>
      <c r="E48" s="5">
        <v>623</v>
      </c>
      <c r="F48" s="4">
        <v>702</v>
      </c>
      <c r="G48" s="4">
        <v>846</v>
      </c>
      <c r="H48" s="4">
        <v>888</v>
      </c>
      <c r="I48" s="4">
        <v>906</v>
      </c>
      <c r="J48" s="5">
        <v>1383</v>
      </c>
      <c r="K48" s="5">
        <v>1063</v>
      </c>
      <c r="L48" s="5">
        <v>1103</v>
      </c>
      <c r="M48" s="5">
        <v>964</v>
      </c>
      <c r="N48" s="5">
        <v>1272</v>
      </c>
      <c r="O48" s="5">
        <f t="shared" si="0"/>
        <v>10454</v>
      </c>
    </row>
    <row r="49" spans="1:15" x14ac:dyDescent="0.25">
      <c r="A49" s="4" t="s">
        <v>97</v>
      </c>
      <c r="B49" s="4" t="s">
        <v>512</v>
      </c>
      <c r="C49" s="4">
        <v>569</v>
      </c>
      <c r="D49" s="4">
        <v>830</v>
      </c>
      <c r="E49" s="5">
        <v>1209</v>
      </c>
      <c r="F49" s="4">
        <v>848</v>
      </c>
      <c r="G49" s="4">
        <v>963</v>
      </c>
      <c r="H49" s="4">
        <v>588</v>
      </c>
      <c r="I49" s="4">
        <v>389</v>
      </c>
      <c r="J49" s="5">
        <v>1131</v>
      </c>
      <c r="K49" s="5">
        <v>1125</v>
      </c>
      <c r="L49" s="5">
        <v>734</v>
      </c>
      <c r="M49" s="4">
        <v>848</v>
      </c>
      <c r="N49" s="5">
        <v>1096</v>
      </c>
      <c r="O49" s="5">
        <f t="shared" si="0"/>
        <v>10330</v>
      </c>
    </row>
    <row r="50" spans="1:15" x14ac:dyDescent="0.25">
      <c r="A50" s="4" t="s">
        <v>99</v>
      </c>
      <c r="B50" s="4" t="s">
        <v>90</v>
      </c>
      <c r="C50" s="4">
        <v>468</v>
      </c>
      <c r="D50" s="4">
        <v>628</v>
      </c>
      <c r="E50" s="5">
        <v>652</v>
      </c>
      <c r="F50" s="4">
        <v>497</v>
      </c>
      <c r="G50" s="4">
        <v>909</v>
      </c>
      <c r="H50" s="4">
        <v>790</v>
      </c>
      <c r="I50" s="4">
        <v>726</v>
      </c>
      <c r="J50" s="5">
        <v>789</v>
      </c>
      <c r="K50" s="5">
        <v>701</v>
      </c>
      <c r="L50" s="4">
        <v>953</v>
      </c>
      <c r="M50" s="5">
        <v>1219</v>
      </c>
      <c r="N50" s="5">
        <v>1346</v>
      </c>
      <c r="O50" s="5">
        <f t="shared" si="0"/>
        <v>9678</v>
      </c>
    </row>
    <row r="51" spans="1:15" x14ac:dyDescent="0.25">
      <c r="A51" s="4" t="s">
        <v>101</v>
      </c>
      <c r="B51" s="4" t="s">
        <v>112</v>
      </c>
      <c r="C51" s="5">
        <v>1153</v>
      </c>
      <c r="D51" s="5">
        <v>1023</v>
      </c>
      <c r="E51" s="5">
        <v>1014</v>
      </c>
      <c r="F51" s="5">
        <v>1075</v>
      </c>
      <c r="G51" s="5">
        <v>1198</v>
      </c>
      <c r="H51" s="4">
        <v>772</v>
      </c>
      <c r="I51" s="4">
        <v>457</v>
      </c>
      <c r="J51" s="4">
        <v>518</v>
      </c>
      <c r="K51" s="4">
        <v>375</v>
      </c>
      <c r="L51" s="4">
        <v>370</v>
      </c>
      <c r="M51" s="5">
        <v>651</v>
      </c>
      <c r="N51" s="5">
        <v>874</v>
      </c>
      <c r="O51" s="5">
        <f t="shared" si="0"/>
        <v>9480</v>
      </c>
    </row>
    <row r="52" spans="1:15" x14ac:dyDescent="0.25">
      <c r="A52" s="4" t="s">
        <v>103</v>
      </c>
      <c r="B52" s="4" t="s">
        <v>404</v>
      </c>
      <c r="C52" s="5">
        <v>3433</v>
      </c>
      <c r="D52" s="5">
        <v>1488</v>
      </c>
      <c r="E52" s="5">
        <v>1257</v>
      </c>
      <c r="F52" s="5">
        <v>930</v>
      </c>
      <c r="G52" s="5">
        <v>753</v>
      </c>
      <c r="H52" s="4">
        <v>370</v>
      </c>
      <c r="I52" s="4">
        <v>108</v>
      </c>
      <c r="J52" s="4">
        <v>51</v>
      </c>
      <c r="K52" s="4">
        <v>42</v>
      </c>
      <c r="L52" s="4">
        <v>23</v>
      </c>
      <c r="M52" s="4">
        <v>7</v>
      </c>
      <c r="N52" s="4">
        <v>3</v>
      </c>
      <c r="O52" s="5">
        <f t="shared" si="0"/>
        <v>8465</v>
      </c>
    </row>
    <row r="53" spans="1:15" x14ac:dyDescent="0.25">
      <c r="A53" s="4" t="s">
        <v>105</v>
      </c>
      <c r="B53" s="4" t="s">
        <v>260</v>
      </c>
      <c r="C53" s="5">
        <v>1159</v>
      </c>
      <c r="D53" s="4">
        <v>422</v>
      </c>
      <c r="E53" s="4">
        <v>510</v>
      </c>
      <c r="F53" s="4">
        <v>355</v>
      </c>
      <c r="G53" s="4">
        <v>549</v>
      </c>
      <c r="H53" s="4">
        <v>495</v>
      </c>
      <c r="I53" s="4">
        <v>473</v>
      </c>
      <c r="J53" s="4">
        <v>576</v>
      </c>
      <c r="K53" s="4">
        <v>594</v>
      </c>
      <c r="L53" s="5">
        <v>1193</v>
      </c>
      <c r="M53" s="4">
        <v>834</v>
      </c>
      <c r="N53" s="5">
        <v>1146</v>
      </c>
      <c r="O53" s="5">
        <f t="shared" si="0"/>
        <v>8306</v>
      </c>
    </row>
    <row r="54" spans="1:15" x14ac:dyDescent="0.25">
      <c r="A54" s="4" t="s">
        <v>107</v>
      </c>
      <c r="B54" s="4" t="s">
        <v>104</v>
      </c>
      <c r="C54" s="4">
        <v>188</v>
      </c>
      <c r="D54" s="4">
        <v>26</v>
      </c>
      <c r="E54" s="4">
        <v>171</v>
      </c>
      <c r="F54" s="4">
        <v>864</v>
      </c>
      <c r="G54" s="5">
        <v>1103</v>
      </c>
      <c r="H54" s="4">
        <v>944</v>
      </c>
      <c r="I54" s="4">
        <v>857</v>
      </c>
      <c r="J54" s="4">
        <v>909</v>
      </c>
      <c r="K54" s="4">
        <v>501</v>
      </c>
      <c r="L54" s="4">
        <v>340</v>
      </c>
      <c r="M54" s="4">
        <v>583</v>
      </c>
      <c r="N54" s="5">
        <v>1408</v>
      </c>
      <c r="O54" s="5">
        <f t="shared" si="0"/>
        <v>7894</v>
      </c>
    </row>
    <row r="55" spans="1:15" x14ac:dyDescent="0.25">
      <c r="A55" s="4" t="s">
        <v>109</v>
      </c>
      <c r="B55" s="4" t="s">
        <v>150</v>
      </c>
      <c r="C55" s="4">
        <v>420</v>
      </c>
      <c r="D55" s="4">
        <v>277</v>
      </c>
      <c r="E55" s="4">
        <v>709</v>
      </c>
      <c r="F55" s="4">
        <v>400</v>
      </c>
      <c r="G55" s="4">
        <v>781</v>
      </c>
      <c r="H55" s="4">
        <v>830</v>
      </c>
      <c r="I55" s="4">
        <v>975</v>
      </c>
      <c r="J55" s="4">
        <v>655</v>
      </c>
      <c r="K55" s="4">
        <v>170</v>
      </c>
      <c r="L55" s="4">
        <v>310</v>
      </c>
      <c r="M55" s="4">
        <v>895</v>
      </c>
      <c r="N55" s="5">
        <v>1325</v>
      </c>
      <c r="O55" s="5">
        <f t="shared" si="0"/>
        <v>7747</v>
      </c>
    </row>
    <row r="56" spans="1:15" x14ac:dyDescent="0.25">
      <c r="A56" s="4" t="s">
        <v>111</v>
      </c>
      <c r="B56" s="4" t="s">
        <v>80</v>
      </c>
      <c r="C56" s="4"/>
      <c r="D56" s="4"/>
      <c r="E56" s="4"/>
      <c r="F56" s="4"/>
      <c r="G56" s="4">
        <v>1</v>
      </c>
      <c r="H56" s="4">
        <v>463</v>
      </c>
      <c r="I56" s="5">
        <v>1026</v>
      </c>
      <c r="J56" s="5">
        <v>1070</v>
      </c>
      <c r="K56" s="5">
        <v>1092</v>
      </c>
      <c r="L56" s="5">
        <v>1682</v>
      </c>
      <c r="M56" s="4">
        <v>936</v>
      </c>
      <c r="N56" s="5">
        <v>1462</v>
      </c>
      <c r="O56" s="5">
        <f t="shared" si="0"/>
        <v>7732</v>
      </c>
    </row>
    <row r="57" spans="1:15" x14ac:dyDescent="0.25">
      <c r="A57" s="4" t="s">
        <v>113</v>
      </c>
      <c r="B57" s="4" t="s">
        <v>519</v>
      </c>
      <c r="C57" s="4">
        <v>818</v>
      </c>
      <c r="D57" s="4">
        <v>556</v>
      </c>
      <c r="E57" s="4">
        <v>520</v>
      </c>
      <c r="F57" s="4">
        <v>506</v>
      </c>
      <c r="G57" s="4">
        <v>756</v>
      </c>
      <c r="H57" s="4">
        <v>795</v>
      </c>
      <c r="I57" s="4">
        <v>838</v>
      </c>
      <c r="J57" s="4">
        <v>569</v>
      </c>
      <c r="K57" s="4">
        <v>450</v>
      </c>
      <c r="L57" s="4">
        <v>512</v>
      </c>
      <c r="M57" s="4">
        <v>390</v>
      </c>
      <c r="N57" s="4">
        <v>430</v>
      </c>
      <c r="O57" s="5">
        <f t="shared" si="0"/>
        <v>7140</v>
      </c>
    </row>
    <row r="58" spans="1:15" x14ac:dyDescent="0.25">
      <c r="A58" s="4" t="s">
        <v>115</v>
      </c>
      <c r="B58" s="4" t="s">
        <v>178</v>
      </c>
      <c r="C58" s="4">
        <v>315</v>
      </c>
      <c r="D58" s="4">
        <v>286</v>
      </c>
      <c r="E58" s="4">
        <v>358</v>
      </c>
      <c r="F58" s="4">
        <v>235</v>
      </c>
      <c r="G58" s="4">
        <v>341</v>
      </c>
      <c r="H58" s="4">
        <v>371</v>
      </c>
      <c r="I58" s="4">
        <v>817</v>
      </c>
      <c r="J58" s="4">
        <v>933</v>
      </c>
      <c r="K58" s="4">
        <v>659</v>
      </c>
      <c r="L58" s="4">
        <v>480</v>
      </c>
      <c r="M58" s="5">
        <v>1334</v>
      </c>
      <c r="N58" s="4">
        <v>961</v>
      </c>
      <c r="O58" s="5">
        <f t="shared" si="0"/>
        <v>7090</v>
      </c>
    </row>
    <row r="59" spans="1:15" x14ac:dyDescent="0.25">
      <c r="A59" s="4" t="s">
        <v>117</v>
      </c>
      <c r="B59" s="4" t="s">
        <v>42</v>
      </c>
      <c r="C59" s="4"/>
      <c r="D59" s="4"/>
      <c r="E59" s="4"/>
      <c r="F59" s="4"/>
      <c r="G59" s="4"/>
      <c r="H59" s="4"/>
      <c r="I59" s="4"/>
      <c r="J59" s="4"/>
      <c r="K59" s="4"/>
      <c r="L59" s="4">
        <v>65</v>
      </c>
      <c r="M59" s="5">
        <v>2228</v>
      </c>
      <c r="N59" s="5">
        <v>4432</v>
      </c>
      <c r="O59" s="5">
        <f t="shared" si="0"/>
        <v>6725</v>
      </c>
    </row>
    <row r="60" spans="1:15" x14ac:dyDescent="0.25">
      <c r="A60" s="4" t="s">
        <v>119</v>
      </c>
      <c r="B60" s="4" t="s">
        <v>82</v>
      </c>
      <c r="C60" s="4">
        <v>604</v>
      </c>
      <c r="D60" s="4">
        <v>545</v>
      </c>
      <c r="E60" s="4">
        <v>635</v>
      </c>
      <c r="F60" s="4">
        <v>520</v>
      </c>
      <c r="G60" s="4">
        <v>657</v>
      </c>
      <c r="H60" s="4">
        <v>616</v>
      </c>
      <c r="I60" s="4">
        <v>605</v>
      </c>
      <c r="J60" s="4">
        <v>848</v>
      </c>
      <c r="K60" s="4">
        <v>652</v>
      </c>
      <c r="L60" s="4">
        <v>266</v>
      </c>
      <c r="M60" s="4">
        <v>50</v>
      </c>
      <c r="N60" s="4">
        <v>140</v>
      </c>
      <c r="O60" s="5">
        <f t="shared" si="0"/>
        <v>6138</v>
      </c>
    </row>
    <row r="61" spans="1:15" x14ac:dyDescent="0.25">
      <c r="A61" s="4" t="s">
        <v>121</v>
      </c>
      <c r="B61" s="4" t="s">
        <v>110</v>
      </c>
      <c r="C61" s="4">
        <v>302</v>
      </c>
      <c r="D61" s="4">
        <v>426</v>
      </c>
      <c r="E61" s="4">
        <v>648</v>
      </c>
      <c r="F61" s="4">
        <v>507</v>
      </c>
      <c r="G61" s="4">
        <v>575</v>
      </c>
      <c r="H61" s="4">
        <v>527</v>
      </c>
      <c r="I61" s="4">
        <v>561</v>
      </c>
      <c r="J61" s="4">
        <v>618</v>
      </c>
      <c r="K61" s="4">
        <v>519</v>
      </c>
      <c r="L61" s="4">
        <v>493</v>
      </c>
      <c r="M61" s="4">
        <v>437</v>
      </c>
      <c r="N61" s="4">
        <v>396</v>
      </c>
      <c r="O61" s="5">
        <f t="shared" si="0"/>
        <v>6009</v>
      </c>
    </row>
    <row r="62" spans="1:15" x14ac:dyDescent="0.25">
      <c r="A62" s="4" t="s">
        <v>123</v>
      </c>
      <c r="B62" s="4" t="s">
        <v>446</v>
      </c>
      <c r="C62" s="4">
        <v>360</v>
      </c>
      <c r="D62" s="4">
        <v>439</v>
      </c>
      <c r="E62" s="4">
        <v>565</v>
      </c>
      <c r="F62" s="4">
        <v>259</v>
      </c>
      <c r="G62" s="4">
        <v>537</v>
      </c>
      <c r="H62" s="4">
        <v>791</v>
      </c>
      <c r="I62" s="4">
        <v>800</v>
      </c>
      <c r="J62" s="4">
        <v>754</v>
      </c>
      <c r="K62" s="4">
        <v>506</v>
      </c>
      <c r="L62" s="4">
        <v>276</v>
      </c>
      <c r="M62" s="4">
        <v>13</v>
      </c>
      <c r="N62" s="4">
        <v>55</v>
      </c>
      <c r="O62" s="5">
        <f t="shared" si="0"/>
        <v>5355</v>
      </c>
    </row>
    <row r="63" spans="1:15" x14ac:dyDescent="0.25">
      <c r="A63" s="4" t="s">
        <v>125</v>
      </c>
      <c r="B63" s="4" t="s">
        <v>574</v>
      </c>
      <c r="C63" s="4">
        <v>795</v>
      </c>
      <c r="D63" s="4">
        <v>623</v>
      </c>
      <c r="E63" s="4">
        <v>378</v>
      </c>
      <c r="F63" s="4">
        <v>329</v>
      </c>
      <c r="G63" s="4">
        <v>667</v>
      </c>
      <c r="H63" s="4">
        <v>424</v>
      </c>
      <c r="I63" s="5">
        <v>1170</v>
      </c>
      <c r="J63" s="4">
        <v>451</v>
      </c>
      <c r="K63" s="4">
        <v>71</v>
      </c>
      <c r="L63" s="4">
        <v>17</v>
      </c>
      <c r="M63" s="4">
        <v>2</v>
      </c>
      <c r="N63" s="4">
        <v>36</v>
      </c>
      <c r="O63" s="5">
        <f t="shared" si="0"/>
        <v>4963</v>
      </c>
    </row>
    <row r="64" spans="1:15" x14ac:dyDescent="0.25">
      <c r="A64" s="4" t="s">
        <v>127</v>
      </c>
      <c r="B64" s="4" t="s">
        <v>344</v>
      </c>
      <c r="C64" s="4"/>
      <c r="D64" s="4"/>
      <c r="E64" s="4"/>
      <c r="F64" s="4"/>
      <c r="G64" s="4"/>
      <c r="H64" s="4">
        <v>189</v>
      </c>
      <c r="I64" s="4">
        <v>515</v>
      </c>
      <c r="J64" s="4">
        <v>635</v>
      </c>
      <c r="K64" s="4">
        <v>799</v>
      </c>
      <c r="L64" s="4">
        <v>970</v>
      </c>
      <c r="M64" s="4">
        <v>743</v>
      </c>
      <c r="N64" s="4">
        <v>825</v>
      </c>
      <c r="O64" s="5">
        <f t="shared" si="0"/>
        <v>4676</v>
      </c>
    </row>
    <row r="65" spans="1:15" x14ac:dyDescent="0.25">
      <c r="A65" s="4" t="s">
        <v>129</v>
      </c>
      <c r="B65" s="4" t="s">
        <v>494</v>
      </c>
      <c r="C65" s="4">
        <v>420</v>
      </c>
      <c r="D65" s="4">
        <v>287</v>
      </c>
      <c r="E65" s="4">
        <v>428</v>
      </c>
      <c r="F65" s="4">
        <v>290</v>
      </c>
      <c r="G65" s="4">
        <v>563</v>
      </c>
      <c r="H65" s="4">
        <v>489</v>
      </c>
      <c r="I65" s="4">
        <v>539</v>
      </c>
      <c r="J65" s="4">
        <v>395</v>
      </c>
      <c r="K65" s="4">
        <v>225</v>
      </c>
      <c r="L65" s="4">
        <v>182</v>
      </c>
      <c r="M65" s="4">
        <v>147</v>
      </c>
      <c r="N65" s="4">
        <v>158</v>
      </c>
      <c r="O65" s="5">
        <f t="shared" si="0"/>
        <v>4123</v>
      </c>
    </row>
    <row r="66" spans="1:15" x14ac:dyDescent="0.25">
      <c r="A66" s="4" t="s">
        <v>131</v>
      </c>
      <c r="B66" s="4" t="s">
        <v>108</v>
      </c>
      <c r="C66" s="4">
        <v>187</v>
      </c>
      <c r="D66" s="4">
        <v>73</v>
      </c>
      <c r="E66" s="4">
        <v>255</v>
      </c>
      <c r="F66" s="4">
        <v>279</v>
      </c>
      <c r="G66" s="4">
        <v>345</v>
      </c>
      <c r="H66" s="4">
        <v>376</v>
      </c>
      <c r="I66" s="4">
        <v>388</v>
      </c>
      <c r="J66" s="4">
        <v>412</v>
      </c>
      <c r="K66" s="4">
        <v>468</v>
      </c>
      <c r="L66" s="4">
        <v>593</v>
      </c>
      <c r="M66" s="4">
        <v>415</v>
      </c>
      <c r="N66" s="4">
        <v>211</v>
      </c>
      <c r="O66" s="5">
        <f t="shared" si="0"/>
        <v>4002</v>
      </c>
    </row>
    <row r="67" spans="1:15" x14ac:dyDescent="0.25">
      <c r="A67" s="4" t="s">
        <v>133</v>
      </c>
      <c r="B67" s="4" t="s">
        <v>158</v>
      </c>
      <c r="C67" s="4">
        <v>243</v>
      </c>
      <c r="D67" s="4">
        <v>168</v>
      </c>
      <c r="E67" s="4">
        <v>258</v>
      </c>
      <c r="F67" s="4">
        <v>238</v>
      </c>
      <c r="G67" s="4">
        <v>482</v>
      </c>
      <c r="H67" s="4">
        <v>366</v>
      </c>
      <c r="I67" s="4">
        <v>337</v>
      </c>
      <c r="J67" s="4">
        <v>445</v>
      </c>
      <c r="K67" s="4">
        <v>452</v>
      </c>
      <c r="L67" s="4">
        <v>264</v>
      </c>
      <c r="M67" s="4">
        <v>365</v>
      </c>
      <c r="N67" s="4">
        <v>308</v>
      </c>
      <c r="O67" s="5">
        <f t="shared" si="0"/>
        <v>3926</v>
      </c>
    </row>
    <row r="68" spans="1:15" x14ac:dyDescent="0.25">
      <c r="A68" s="4" t="s">
        <v>135</v>
      </c>
      <c r="B68" s="4" t="s">
        <v>136</v>
      </c>
      <c r="C68" s="4">
        <v>500</v>
      </c>
      <c r="D68" s="4">
        <v>525</v>
      </c>
      <c r="E68" s="4">
        <v>566</v>
      </c>
      <c r="F68" s="4">
        <v>418</v>
      </c>
      <c r="G68" s="4">
        <v>484</v>
      </c>
      <c r="H68" s="4">
        <v>558</v>
      </c>
      <c r="I68" s="4">
        <v>173</v>
      </c>
      <c r="J68" s="4">
        <v>160</v>
      </c>
      <c r="K68" s="4">
        <v>149</v>
      </c>
      <c r="L68" s="4">
        <v>120</v>
      </c>
      <c r="M68" s="4">
        <v>105</v>
      </c>
      <c r="N68" s="4">
        <v>156</v>
      </c>
      <c r="O68" s="5">
        <f t="shared" ref="O68:O131" si="1">SUM(C68:N68)</f>
        <v>3914</v>
      </c>
    </row>
    <row r="69" spans="1:15" x14ac:dyDescent="0.25">
      <c r="A69" s="4" t="s">
        <v>137</v>
      </c>
      <c r="B69" s="4" t="s">
        <v>68</v>
      </c>
      <c r="C69" s="4"/>
      <c r="D69" s="4"/>
      <c r="E69" s="4"/>
      <c r="F69" s="4"/>
      <c r="G69" s="4"/>
      <c r="H69" s="4"/>
      <c r="I69" s="4"/>
      <c r="J69" s="4"/>
      <c r="K69" s="4">
        <v>73</v>
      </c>
      <c r="L69" s="4">
        <v>372</v>
      </c>
      <c r="M69" s="5">
        <v>1085</v>
      </c>
      <c r="N69" s="5">
        <v>2185</v>
      </c>
      <c r="O69" s="5">
        <f t="shared" si="1"/>
        <v>3715</v>
      </c>
    </row>
    <row r="70" spans="1:15" x14ac:dyDescent="0.25">
      <c r="A70" s="4" t="s">
        <v>139</v>
      </c>
      <c r="B70" s="4" t="s">
        <v>124</v>
      </c>
      <c r="C70" s="4">
        <v>152</v>
      </c>
      <c r="D70" s="4">
        <v>173</v>
      </c>
      <c r="E70" s="4">
        <v>235</v>
      </c>
      <c r="F70" s="4">
        <v>236</v>
      </c>
      <c r="G70" s="4">
        <v>332</v>
      </c>
      <c r="H70" s="4">
        <v>331</v>
      </c>
      <c r="I70" s="4">
        <v>328</v>
      </c>
      <c r="J70" s="4">
        <v>323</v>
      </c>
      <c r="K70" s="4">
        <v>451</v>
      </c>
      <c r="L70" s="4">
        <v>365</v>
      </c>
      <c r="M70" s="4">
        <v>333</v>
      </c>
      <c r="N70" s="4">
        <v>348</v>
      </c>
      <c r="O70" s="5">
        <f t="shared" si="1"/>
        <v>3607</v>
      </c>
    </row>
    <row r="71" spans="1:15" x14ac:dyDescent="0.25">
      <c r="A71" s="4" t="s">
        <v>141</v>
      </c>
      <c r="B71" s="4" t="s">
        <v>168</v>
      </c>
      <c r="C71" s="4">
        <v>306</v>
      </c>
      <c r="D71" s="4">
        <v>158</v>
      </c>
      <c r="E71" s="4">
        <v>351</v>
      </c>
      <c r="F71" s="4">
        <v>326</v>
      </c>
      <c r="G71" s="4">
        <v>375</v>
      </c>
      <c r="H71" s="4">
        <v>307</v>
      </c>
      <c r="I71" s="4">
        <v>114</v>
      </c>
      <c r="J71" s="4">
        <v>248</v>
      </c>
      <c r="K71" s="4">
        <v>169</v>
      </c>
      <c r="L71" s="4">
        <v>225</v>
      </c>
      <c r="M71" s="4">
        <v>394</v>
      </c>
      <c r="N71" s="4">
        <v>620</v>
      </c>
      <c r="O71" s="5">
        <f t="shared" si="1"/>
        <v>3593</v>
      </c>
    </row>
    <row r="72" spans="1:15" x14ac:dyDescent="0.25">
      <c r="A72" s="4" t="s">
        <v>143</v>
      </c>
      <c r="B72" s="4" t="s">
        <v>148</v>
      </c>
      <c r="C72" s="4">
        <v>260</v>
      </c>
      <c r="D72" s="4">
        <v>197</v>
      </c>
      <c r="E72" s="4">
        <v>235</v>
      </c>
      <c r="F72" s="4">
        <v>249</v>
      </c>
      <c r="G72" s="4">
        <v>257</v>
      </c>
      <c r="H72" s="4">
        <v>404</v>
      </c>
      <c r="I72" s="4">
        <v>326</v>
      </c>
      <c r="J72" s="4">
        <v>424</v>
      </c>
      <c r="K72" s="4">
        <v>311</v>
      </c>
      <c r="L72" s="4">
        <v>296</v>
      </c>
      <c r="M72" s="4">
        <v>308</v>
      </c>
      <c r="N72" s="4">
        <v>278</v>
      </c>
      <c r="O72" s="5">
        <f t="shared" si="1"/>
        <v>3545</v>
      </c>
    </row>
    <row r="73" spans="1:15" x14ac:dyDescent="0.25">
      <c r="A73" s="4" t="s">
        <v>145</v>
      </c>
      <c r="B73" s="4" t="s">
        <v>206</v>
      </c>
      <c r="C73" s="4">
        <v>203</v>
      </c>
      <c r="D73" s="4">
        <v>278</v>
      </c>
      <c r="E73" s="4">
        <v>258</v>
      </c>
      <c r="F73" s="4">
        <v>244</v>
      </c>
      <c r="G73" s="4">
        <v>248</v>
      </c>
      <c r="H73" s="4">
        <v>242</v>
      </c>
      <c r="I73" s="4">
        <v>288</v>
      </c>
      <c r="J73" s="4">
        <v>387</v>
      </c>
      <c r="K73" s="4">
        <v>346</v>
      </c>
      <c r="L73" s="4">
        <v>276</v>
      </c>
      <c r="M73" s="4">
        <v>369</v>
      </c>
      <c r="N73" s="4">
        <v>330</v>
      </c>
      <c r="O73" s="5">
        <f t="shared" si="1"/>
        <v>3469</v>
      </c>
    </row>
    <row r="74" spans="1:15" x14ac:dyDescent="0.25">
      <c r="A74" s="4" t="s">
        <v>147</v>
      </c>
      <c r="B74" s="4" t="s">
        <v>114</v>
      </c>
      <c r="C74" s="4">
        <v>227</v>
      </c>
      <c r="D74" s="4">
        <v>178</v>
      </c>
      <c r="E74" s="4">
        <v>243</v>
      </c>
      <c r="F74" s="4">
        <v>223</v>
      </c>
      <c r="G74" s="4">
        <v>164</v>
      </c>
      <c r="H74" s="4">
        <v>401</v>
      </c>
      <c r="I74" s="4">
        <v>419</v>
      </c>
      <c r="J74" s="4">
        <v>459</v>
      </c>
      <c r="K74" s="4">
        <v>444</v>
      </c>
      <c r="L74" s="4">
        <v>331</v>
      </c>
      <c r="M74" s="4">
        <v>247</v>
      </c>
      <c r="N74" s="4">
        <v>130</v>
      </c>
      <c r="O74" s="5">
        <f t="shared" si="1"/>
        <v>3466</v>
      </c>
    </row>
    <row r="75" spans="1:15" x14ac:dyDescent="0.25">
      <c r="A75" s="4" t="s">
        <v>149</v>
      </c>
      <c r="B75" s="4" t="s">
        <v>140</v>
      </c>
      <c r="C75" s="4">
        <v>243</v>
      </c>
      <c r="D75" s="4">
        <v>194</v>
      </c>
      <c r="E75" s="4">
        <v>320</v>
      </c>
      <c r="F75" s="4">
        <v>243</v>
      </c>
      <c r="G75" s="4">
        <v>281</v>
      </c>
      <c r="H75" s="4">
        <v>255</v>
      </c>
      <c r="I75" s="4">
        <v>310</v>
      </c>
      <c r="J75" s="4">
        <v>320</v>
      </c>
      <c r="K75" s="4">
        <v>267</v>
      </c>
      <c r="L75" s="4">
        <v>253</v>
      </c>
      <c r="M75" s="4">
        <v>445</v>
      </c>
      <c r="N75" s="4">
        <v>312</v>
      </c>
      <c r="O75" s="5">
        <f t="shared" si="1"/>
        <v>3443</v>
      </c>
    </row>
    <row r="76" spans="1:15" x14ac:dyDescent="0.25">
      <c r="A76" s="4" t="s">
        <v>151</v>
      </c>
      <c r="B76" s="4" t="s">
        <v>430</v>
      </c>
      <c r="C76" s="4">
        <v>136</v>
      </c>
      <c r="D76" s="4">
        <v>182</v>
      </c>
      <c r="E76" s="4">
        <v>462</v>
      </c>
      <c r="F76" s="4">
        <v>569</v>
      </c>
      <c r="G76" s="4">
        <v>483</v>
      </c>
      <c r="H76" s="4">
        <v>540</v>
      </c>
      <c r="I76" s="4">
        <v>390</v>
      </c>
      <c r="J76" s="4">
        <v>230</v>
      </c>
      <c r="K76" s="4">
        <v>162</v>
      </c>
      <c r="L76" s="4">
        <v>142</v>
      </c>
      <c r="M76" s="4">
        <v>85</v>
      </c>
      <c r="N76" s="4">
        <v>37</v>
      </c>
      <c r="O76" s="5">
        <f t="shared" si="1"/>
        <v>3418</v>
      </c>
    </row>
    <row r="77" spans="1:15" x14ac:dyDescent="0.25">
      <c r="A77" s="4" t="s">
        <v>153</v>
      </c>
      <c r="B77" s="4" t="s">
        <v>160</v>
      </c>
      <c r="C77" s="4">
        <v>398</v>
      </c>
      <c r="D77" s="4">
        <v>121</v>
      </c>
      <c r="E77" s="4">
        <v>139</v>
      </c>
      <c r="F77" s="4">
        <v>229</v>
      </c>
      <c r="G77" s="4">
        <v>67</v>
      </c>
      <c r="H77" s="4">
        <v>423</v>
      </c>
      <c r="I77" s="4">
        <v>435</v>
      </c>
      <c r="J77" s="4">
        <v>403</v>
      </c>
      <c r="K77" s="4">
        <v>391</v>
      </c>
      <c r="L77" s="4">
        <v>253</v>
      </c>
      <c r="M77" s="4">
        <v>176</v>
      </c>
      <c r="N77" s="4">
        <v>289</v>
      </c>
      <c r="O77" s="5">
        <f t="shared" si="1"/>
        <v>3324</v>
      </c>
    </row>
    <row r="78" spans="1:15" x14ac:dyDescent="0.25">
      <c r="A78" s="4" t="s">
        <v>155</v>
      </c>
      <c r="B78" s="4" t="s">
        <v>322</v>
      </c>
      <c r="C78" s="4">
        <v>322</v>
      </c>
      <c r="D78" s="4">
        <v>254</v>
      </c>
      <c r="E78" s="4">
        <v>252</v>
      </c>
      <c r="F78" s="4">
        <v>212</v>
      </c>
      <c r="G78" s="4">
        <v>306</v>
      </c>
      <c r="H78" s="4">
        <v>298</v>
      </c>
      <c r="I78" s="4">
        <v>303</v>
      </c>
      <c r="J78" s="4">
        <v>327</v>
      </c>
      <c r="K78" s="4">
        <v>326</v>
      </c>
      <c r="L78" s="4">
        <v>268</v>
      </c>
      <c r="M78" s="4">
        <v>265</v>
      </c>
      <c r="N78" s="4">
        <v>168</v>
      </c>
      <c r="O78" s="5">
        <f t="shared" si="1"/>
        <v>3301</v>
      </c>
    </row>
    <row r="79" spans="1:15" x14ac:dyDescent="0.25">
      <c r="A79" s="4" t="s">
        <v>157</v>
      </c>
      <c r="B79" s="4" t="s">
        <v>146</v>
      </c>
      <c r="C79" s="4">
        <v>146</v>
      </c>
      <c r="D79" s="4">
        <v>139</v>
      </c>
      <c r="E79" s="4">
        <v>232</v>
      </c>
      <c r="F79" s="4">
        <v>150</v>
      </c>
      <c r="G79" s="4">
        <v>385</v>
      </c>
      <c r="H79" s="4">
        <v>386</v>
      </c>
      <c r="I79" s="4">
        <v>229</v>
      </c>
      <c r="J79" s="4">
        <v>374</v>
      </c>
      <c r="K79" s="4">
        <v>301</v>
      </c>
      <c r="L79" s="4">
        <v>272</v>
      </c>
      <c r="M79" s="4">
        <v>296</v>
      </c>
      <c r="N79" s="4">
        <v>303</v>
      </c>
      <c r="O79" s="5">
        <f t="shared" si="1"/>
        <v>3213</v>
      </c>
    </row>
    <row r="80" spans="1:15" x14ac:dyDescent="0.25">
      <c r="A80" s="4" t="s">
        <v>159</v>
      </c>
      <c r="B80" s="4" t="s">
        <v>454</v>
      </c>
      <c r="C80" s="5">
        <v>1576</v>
      </c>
      <c r="D80" s="4">
        <v>526</v>
      </c>
      <c r="E80" s="4">
        <v>315</v>
      </c>
      <c r="F80" s="4">
        <v>239</v>
      </c>
      <c r="G80" s="4">
        <v>176</v>
      </c>
      <c r="H80" s="4">
        <v>92</v>
      </c>
      <c r="I80" s="4">
        <v>40</v>
      </c>
      <c r="J80" s="4">
        <v>18</v>
      </c>
      <c r="K80" s="4">
        <v>4</v>
      </c>
      <c r="L80" s="4">
        <v>3</v>
      </c>
      <c r="M80" s="4">
        <v>3</v>
      </c>
      <c r="N80" s="4"/>
      <c r="O80" s="5">
        <f t="shared" si="1"/>
        <v>2992</v>
      </c>
    </row>
    <row r="81" spans="1:15" x14ac:dyDescent="0.25">
      <c r="A81" s="4" t="s">
        <v>163</v>
      </c>
      <c r="B81" s="4" t="s">
        <v>250</v>
      </c>
      <c r="C81" s="5">
        <v>191</v>
      </c>
      <c r="D81" s="4">
        <v>155</v>
      </c>
      <c r="E81" s="4">
        <v>205</v>
      </c>
      <c r="F81" s="4">
        <v>176</v>
      </c>
      <c r="G81" s="4">
        <v>247</v>
      </c>
      <c r="H81" s="4">
        <v>214</v>
      </c>
      <c r="I81" s="4">
        <v>297</v>
      </c>
      <c r="J81" s="4">
        <v>228</v>
      </c>
      <c r="K81" s="4">
        <v>248</v>
      </c>
      <c r="L81" s="4">
        <v>293</v>
      </c>
      <c r="M81" s="4">
        <v>303</v>
      </c>
      <c r="N81" s="4">
        <v>376</v>
      </c>
      <c r="O81" s="5">
        <f t="shared" si="1"/>
        <v>2933</v>
      </c>
    </row>
    <row r="82" spans="1:15" x14ac:dyDescent="0.25">
      <c r="A82" s="4" t="s">
        <v>161</v>
      </c>
      <c r="B82" s="4" t="s">
        <v>154</v>
      </c>
      <c r="C82" s="4">
        <v>402</v>
      </c>
      <c r="D82" s="4">
        <v>318</v>
      </c>
      <c r="E82" s="4">
        <v>364</v>
      </c>
      <c r="F82" s="4">
        <v>360</v>
      </c>
      <c r="G82" s="4">
        <v>360</v>
      </c>
      <c r="H82" s="4">
        <v>237</v>
      </c>
      <c r="I82" s="4">
        <v>260</v>
      </c>
      <c r="J82" s="4">
        <v>182</v>
      </c>
      <c r="K82" s="4">
        <v>89</v>
      </c>
      <c r="L82" s="4">
        <v>110</v>
      </c>
      <c r="M82" s="4">
        <v>144</v>
      </c>
      <c r="N82" s="4">
        <v>101</v>
      </c>
      <c r="O82" s="5">
        <f t="shared" si="1"/>
        <v>2927</v>
      </c>
    </row>
    <row r="83" spans="1:15" x14ac:dyDescent="0.25">
      <c r="A83" s="4" t="s">
        <v>165</v>
      </c>
      <c r="B83" s="4" t="s">
        <v>408</v>
      </c>
      <c r="C83" s="4">
        <v>188</v>
      </c>
      <c r="D83" s="4">
        <v>245</v>
      </c>
      <c r="E83" s="4">
        <v>204</v>
      </c>
      <c r="F83" s="4">
        <v>198</v>
      </c>
      <c r="G83" s="4">
        <v>259</v>
      </c>
      <c r="H83" s="4">
        <v>262</v>
      </c>
      <c r="I83" s="4">
        <v>309</v>
      </c>
      <c r="J83" s="4">
        <v>279</v>
      </c>
      <c r="K83" s="4">
        <v>289</v>
      </c>
      <c r="L83" s="4">
        <v>203</v>
      </c>
      <c r="M83" s="4">
        <v>234</v>
      </c>
      <c r="N83" s="4">
        <v>198</v>
      </c>
      <c r="O83" s="5">
        <f t="shared" si="1"/>
        <v>2868</v>
      </c>
    </row>
    <row r="84" spans="1:15" x14ac:dyDescent="0.25">
      <c r="A84" s="4" t="s">
        <v>167</v>
      </c>
      <c r="B84" s="4" t="s">
        <v>188</v>
      </c>
      <c r="C84" s="4">
        <v>117</v>
      </c>
      <c r="D84" s="4">
        <v>136</v>
      </c>
      <c r="E84" s="4">
        <v>191</v>
      </c>
      <c r="F84" s="4">
        <v>167</v>
      </c>
      <c r="G84" s="4">
        <v>103</v>
      </c>
      <c r="H84" s="4">
        <v>482</v>
      </c>
      <c r="I84" s="4">
        <v>498</v>
      </c>
      <c r="J84" s="4">
        <v>294</v>
      </c>
      <c r="K84" s="4">
        <v>66</v>
      </c>
      <c r="L84" s="4">
        <v>52</v>
      </c>
      <c r="M84" s="4">
        <v>67</v>
      </c>
      <c r="N84" s="4">
        <v>485</v>
      </c>
      <c r="O84" s="5">
        <f t="shared" si="1"/>
        <v>2658</v>
      </c>
    </row>
    <row r="85" spans="1:15" x14ac:dyDescent="0.25">
      <c r="A85" s="4" t="s">
        <v>169</v>
      </c>
      <c r="B85" s="4" t="s">
        <v>398</v>
      </c>
      <c r="C85" s="4">
        <v>299</v>
      </c>
      <c r="D85" s="4">
        <v>308</v>
      </c>
      <c r="E85" s="4">
        <v>271</v>
      </c>
      <c r="F85" s="4">
        <v>221</v>
      </c>
      <c r="G85" s="4">
        <v>179</v>
      </c>
      <c r="H85" s="4">
        <v>223</v>
      </c>
      <c r="I85" s="4">
        <v>238</v>
      </c>
      <c r="J85" s="4">
        <v>293</v>
      </c>
      <c r="K85" s="4">
        <v>210</v>
      </c>
      <c r="L85" s="4">
        <v>125</v>
      </c>
      <c r="M85" s="4">
        <v>109</v>
      </c>
      <c r="N85" s="4">
        <v>121</v>
      </c>
      <c r="O85" s="5">
        <f t="shared" si="1"/>
        <v>2597</v>
      </c>
    </row>
    <row r="86" spans="1:15" x14ac:dyDescent="0.25">
      <c r="A86" s="4" t="s">
        <v>171</v>
      </c>
      <c r="B86" s="4" t="s">
        <v>152</v>
      </c>
      <c r="C86" s="4">
        <v>95</v>
      </c>
      <c r="D86" s="4">
        <v>112</v>
      </c>
      <c r="E86" s="4">
        <v>93</v>
      </c>
      <c r="F86" s="4">
        <v>143</v>
      </c>
      <c r="G86" s="4">
        <v>180</v>
      </c>
      <c r="H86" s="4">
        <v>274</v>
      </c>
      <c r="I86" s="4">
        <v>293</v>
      </c>
      <c r="J86" s="4">
        <v>293</v>
      </c>
      <c r="K86" s="4">
        <v>265</v>
      </c>
      <c r="L86" s="4">
        <v>224</v>
      </c>
      <c r="M86" s="4">
        <v>221</v>
      </c>
      <c r="N86" s="4">
        <v>223</v>
      </c>
      <c r="O86" s="5">
        <f t="shared" si="1"/>
        <v>2416</v>
      </c>
    </row>
    <row r="87" spans="1:15" x14ac:dyDescent="0.25">
      <c r="A87" s="4" t="s">
        <v>173</v>
      </c>
      <c r="B87" s="4" t="s">
        <v>132</v>
      </c>
      <c r="C87" s="4">
        <v>179</v>
      </c>
      <c r="D87" s="4">
        <v>160</v>
      </c>
      <c r="E87" s="4">
        <v>157</v>
      </c>
      <c r="F87" s="4">
        <v>172</v>
      </c>
      <c r="G87" s="4">
        <v>171</v>
      </c>
      <c r="H87" s="4">
        <v>203</v>
      </c>
      <c r="I87" s="4">
        <v>202</v>
      </c>
      <c r="J87" s="4">
        <v>277</v>
      </c>
      <c r="K87" s="4">
        <v>200</v>
      </c>
      <c r="L87" s="4">
        <v>155</v>
      </c>
      <c r="M87" s="4">
        <v>252</v>
      </c>
      <c r="N87" s="4">
        <v>197</v>
      </c>
      <c r="O87" s="5">
        <f t="shared" si="1"/>
        <v>2325</v>
      </c>
    </row>
    <row r="88" spans="1:15" x14ac:dyDescent="0.25">
      <c r="A88" s="4" t="s">
        <v>175</v>
      </c>
      <c r="B88" s="4" t="s">
        <v>180</v>
      </c>
      <c r="C88" s="4">
        <v>168</v>
      </c>
      <c r="D88" s="4">
        <v>105</v>
      </c>
      <c r="E88" s="4">
        <v>90</v>
      </c>
      <c r="F88" s="4">
        <v>184</v>
      </c>
      <c r="G88" s="4">
        <v>363</v>
      </c>
      <c r="H88" s="4">
        <v>432</v>
      </c>
      <c r="I88" s="4">
        <v>263</v>
      </c>
      <c r="J88" s="4">
        <v>170</v>
      </c>
      <c r="K88" s="4">
        <v>126</v>
      </c>
      <c r="L88" s="4">
        <v>60</v>
      </c>
      <c r="M88" s="4">
        <v>200</v>
      </c>
      <c r="N88" s="4">
        <v>71</v>
      </c>
      <c r="O88" s="5">
        <f t="shared" si="1"/>
        <v>2232</v>
      </c>
    </row>
    <row r="89" spans="1:15" x14ac:dyDescent="0.25">
      <c r="A89" s="4" t="s">
        <v>177</v>
      </c>
      <c r="B89" s="4" t="s">
        <v>170</v>
      </c>
      <c r="C89" s="4">
        <v>304</v>
      </c>
      <c r="D89" s="4">
        <v>115</v>
      </c>
      <c r="E89" s="4">
        <v>51</v>
      </c>
      <c r="F89" s="4">
        <v>40</v>
      </c>
      <c r="G89" s="4">
        <v>208</v>
      </c>
      <c r="H89" s="4">
        <v>370</v>
      </c>
      <c r="I89" s="4">
        <v>560</v>
      </c>
      <c r="J89" s="4">
        <v>368</v>
      </c>
      <c r="K89" s="4">
        <v>131</v>
      </c>
      <c r="L89" s="4">
        <v>31</v>
      </c>
      <c r="M89" s="4">
        <v>13</v>
      </c>
      <c r="N89" s="4">
        <v>38</v>
      </c>
      <c r="O89" s="5">
        <f t="shared" si="1"/>
        <v>2229</v>
      </c>
    </row>
    <row r="90" spans="1:15" x14ac:dyDescent="0.25">
      <c r="A90" s="4" t="s">
        <v>179</v>
      </c>
      <c r="B90" s="4" t="s">
        <v>52</v>
      </c>
      <c r="C90" s="4">
        <v>120</v>
      </c>
      <c r="D90" s="4">
        <v>292</v>
      </c>
      <c r="E90" s="4">
        <v>331</v>
      </c>
      <c r="F90" s="4">
        <v>480</v>
      </c>
      <c r="G90" s="4">
        <v>519</v>
      </c>
      <c r="H90" s="4">
        <v>237</v>
      </c>
      <c r="I90" s="4">
        <v>97</v>
      </c>
      <c r="J90" s="4">
        <v>33</v>
      </c>
      <c r="K90" s="4">
        <v>29</v>
      </c>
      <c r="L90" s="4">
        <v>23</v>
      </c>
      <c r="M90" s="4">
        <v>8</v>
      </c>
      <c r="N90" s="4">
        <v>13</v>
      </c>
      <c r="O90" s="5">
        <f t="shared" si="1"/>
        <v>2182</v>
      </c>
    </row>
    <row r="91" spans="1:15" x14ac:dyDescent="0.25">
      <c r="A91" s="4" t="s">
        <v>181</v>
      </c>
      <c r="B91" s="4" t="s">
        <v>174</v>
      </c>
      <c r="C91" s="4">
        <v>98</v>
      </c>
      <c r="D91" s="4">
        <v>254</v>
      </c>
      <c r="E91" s="4">
        <v>210</v>
      </c>
      <c r="F91" s="4">
        <v>180</v>
      </c>
      <c r="G91" s="4">
        <v>233</v>
      </c>
      <c r="H91" s="4">
        <v>193</v>
      </c>
      <c r="I91" s="4">
        <v>220</v>
      </c>
      <c r="J91" s="4">
        <v>151</v>
      </c>
      <c r="K91" s="4">
        <v>247</v>
      </c>
      <c r="L91" s="4">
        <v>165</v>
      </c>
      <c r="M91" s="4">
        <v>76</v>
      </c>
      <c r="N91" s="4">
        <v>52</v>
      </c>
      <c r="O91" s="5">
        <f t="shared" si="1"/>
        <v>2079</v>
      </c>
    </row>
    <row r="92" spans="1:15" x14ac:dyDescent="0.25">
      <c r="A92" s="4" t="s">
        <v>183</v>
      </c>
      <c r="B92" s="4" t="s">
        <v>575</v>
      </c>
      <c r="C92" s="4">
        <v>514</v>
      </c>
      <c r="D92" s="4">
        <v>762</v>
      </c>
      <c r="E92" s="4">
        <v>563</v>
      </c>
      <c r="F92" s="4">
        <v>81</v>
      </c>
      <c r="G92" s="4">
        <v>26</v>
      </c>
      <c r="H92" s="4">
        <v>15</v>
      </c>
      <c r="I92" s="4">
        <v>8</v>
      </c>
      <c r="J92" s="4">
        <v>3</v>
      </c>
      <c r="K92" s="4">
        <v>3</v>
      </c>
      <c r="L92" s="4">
        <v>2</v>
      </c>
      <c r="M92" s="4">
        <v>1</v>
      </c>
      <c r="N92" s="4"/>
      <c r="O92" s="5">
        <f t="shared" si="1"/>
        <v>1978</v>
      </c>
    </row>
    <row r="93" spans="1:15" x14ac:dyDescent="0.25">
      <c r="A93" s="4" t="s">
        <v>185</v>
      </c>
      <c r="B93" s="4" t="s">
        <v>142</v>
      </c>
      <c r="C93" s="4">
        <v>180</v>
      </c>
      <c r="D93" s="4">
        <v>200</v>
      </c>
      <c r="E93" s="4">
        <v>240</v>
      </c>
      <c r="F93" s="4">
        <v>200</v>
      </c>
      <c r="G93" s="4">
        <v>180</v>
      </c>
      <c r="H93" s="4">
        <v>160</v>
      </c>
      <c r="I93" s="4">
        <v>160</v>
      </c>
      <c r="J93" s="4">
        <v>100</v>
      </c>
      <c r="K93" s="4">
        <v>182</v>
      </c>
      <c r="L93" s="4">
        <v>144</v>
      </c>
      <c r="M93" s="4">
        <v>80</v>
      </c>
      <c r="N93" s="4">
        <v>96</v>
      </c>
      <c r="O93" s="5">
        <f t="shared" si="1"/>
        <v>1922</v>
      </c>
    </row>
    <row r="94" spans="1:15" x14ac:dyDescent="0.25">
      <c r="A94" s="4" t="s">
        <v>187</v>
      </c>
      <c r="B94" s="4" t="s">
        <v>452</v>
      </c>
      <c r="C94" s="4">
        <v>934</v>
      </c>
      <c r="D94" s="4">
        <v>280</v>
      </c>
      <c r="E94" s="4">
        <v>222</v>
      </c>
      <c r="F94" s="4">
        <v>178</v>
      </c>
      <c r="G94" s="4">
        <v>125</v>
      </c>
      <c r="H94" s="4">
        <v>90</v>
      </c>
      <c r="I94" s="4">
        <v>37</v>
      </c>
      <c r="J94" s="4">
        <v>11</v>
      </c>
      <c r="K94" s="4">
        <v>17</v>
      </c>
      <c r="L94" s="4">
        <v>3</v>
      </c>
      <c r="M94" s="4">
        <v>3</v>
      </c>
      <c r="N94" s="4">
        <v>10</v>
      </c>
      <c r="O94" s="5">
        <f t="shared" si="1"/>
        <v>1910</v>
      </c>
    </row>
    <row r="95" spans="1:15" x14ac:dyDescent="0.25">
      <c r="A95" s="4" t="s">
        <v>189</v>
      </c>
      <c r="B95" s="4" t="s">
        <v>256</v>
      </c>
      <c r="C95" s="4">
        <v>112</v>
      </c>
      <c r="D95" s="4">
        <v>99</v>
      </c>
      <c r="E95" s="4">
        <v>154</v>
      </c>
      <c r="F95" s="4">
        <v>97</v>
      </c>
      <c r="G95" s="4">
        <v>88</v>
      </c>
      <c r="H95" s="4">
        <v>110</v>
      </c>
      <c r="I95" s="4">
        <v>309</v>
      </c>
      <c r="J95" s="4">
        <v>322</v>
      </c>
      <c r="K95" s="4">
        <v>188</v>
      </c>
      <c r="L95" s="4">
        <v>101</v>
      </c>
      <c r="M95" s="4">
        <v>84</v>
      </c>
      <c r="N95" s="4">
        <v>69</v>
      </c>
      <c r="O95" s="5">
        <f t="shared" si="1"/>
        <v>1733</v>
      </c>
    </row>
    <row r="96" spans="1:15" x14ac:dyDescent="0.25">
      <c r="A96" s="4" t="s">
        <v>191</v>
      </c>
      <c r="B96" s="4" t="s">
        <v>576</v>
      </c>
      <c r="C96" s="4">
        <v>195</v>
      </c>
      <c r="D96" s="4">
        <v>268</v>
      </c>
      <c r="E96" s="4">
        <v>393</v>
      </c>
      <c r="F96" s="4">
        <v>406</v>
      </c>
      <c r="G96" s="4">
        <v>299</v>
      </c>
      <c r="H96" s="4">
        <v>112</v>
      </c>
      <c r="I96" s="4">
        <v>28</v>
      </c>
      <c r="J96" s="4">
        <v>1</v>
      </c>
      <c r="K96" s="4">
        <v>3</v>
      </c>
      <c r="L96" s="4">
        <v>3</v>
      </c>
      <c r="M96" s="4">
        <v>3</v>
      </c>
      <c r="N96" s="4">
        <v>3</v>
      </c>
      <c r="O96" s="5">
        <f t="shared" si="1"/>
        <v>1714</v>
      </c>
    </row>
    <row r="97" spans="1:15" x14ac:dyDescent="0.25">
      <c r="A97" s="4" t="s">
        <v>193</v>
      </c>
      <c r="B97" s="4" t="s">
        <v>190</v>
      </c>
      <c r="C97" s="4">
        <v>64</v>
      </c>
      <c r="D97" s="4">
        <v>105</v>
      </c>
      <c r="E97" s="4">
        <v>287</v>
      </c>
      <c r="F97" s="4">
        <v>184</v>
      </c>
      <c r="G97" s="4">
        <v>155</v>
      </c>
      <c r="H97" s="4">
        <v>170</v>
      </c>
      <c r="I97" s="4">
        <v>83</v>
      </c>
      <c r="J97" s="4">
        <v>21</v>
      </c>
      <c r="K97" s="4">
        <v>169</v>
      </c>
      <c r="L97" s="4">
        <v>128</v>
      </c>
      <c r="M97" s="4">
        <v>208</v>
      </c>
      <c r="N97" s="4">
        <v>69</v>
      </c>
      <c r="O97" s="5">
        <f t="shared" si="1"/>
        <v>1643</v>
      </c>
    </row>
    <row r="98" spans="1:15" x14ac:dyDescent="0.25">
      <c r="A98" s="4" t="s">
        <v>195</v>
      </c>
      <c r="B98" s="4" t="s">
        <v>156</v>
      </c>
      <c r="C98" s="4">
        <v>92</v>
      </c>
      <c r="D98" s="4">
        <v>48</v>
      </c>
      <c r="E98" s="4">
        <v>7</v>
      </c>
      <c r="F98" s="4">
        <v>6</v>
      </c>
      <c r="G98" s="4">
        <v>3</v>
      </c>
      <c r="H98" s="4">
        <v>150</v>
      </c>
      <c r="I98" s="4">
        <v>248</v>
      </c>
      <c r="J98" s="4">
        <v>284</v>
      </c>
      <c r="K98" s="4">
        <v>183</v>
      </c>
      <c r="L98" s="4">
        <v>207</v>
      </c>
      <c r="M98" s="4">
        <v>118</v>
      </c>
      <c r="N98" s="4">
        <v>249</v>
      </c>
      <c r="O98" s="5">
        <f t="shared" si="1"/>
        <v>1595</v>
      </c>
    </row>
    <row r="99" spans="1:15" x14ac:dyDescent="0.25">
      <c r="A99" s="4" t="s">
        <v>197</v>
      </c>
      <c r="B99" s="4" t="s">
        <v>298</v>
      </c>
      <c r="C99" s="4">
        <v>249</v>
      </c>
      <c r="D99" s="4">
        <v>260</v>
      </c>
      <c r="E99" s="4">
        <v>258</v>
      </c>
      <c r="F99" s="4">
        <v>183</v>
      </c>
      <c r="G99" s="4">
        <v>153</v>
      </c>
      <c r="H99" s="4">
        <v>126</v>
      </c>
      <c r="I99" s="4">
        <v>118</v>
      </c>
      <c r="J99" s="4">
        <v>46</v>
      </c>
      <c r="K99" s="4">
        <v>21</v>
      </c>
      <c r="L99" s="4">
        <v>16</v>
      </c>
      <c r="M99" s="4">
        <v>36</v>
      </c>
      <c r="N99" s="4">
        <v>84</v>
      </c>
      <c r="O99" s="5">
        <f t="shared" si="1"/>
        <v>1550</v>
      </c>
    </row>
    <row r="100" spans="1:15" x14ac:dyDescent="0.25">
      <c r="A100" s="4" t="s">
        <v>199</v>
      </c>
      <c r="B100" s="4" t="s">
        <v>196</v>
      </c>
      <c r="C100" s="4">
        <v>101</v>
      </c>
      <c r="D100" s="4">
        <v>96</v>
      </c>
      <c r="E100" s="4">
        <v>112</v>
      </c>
      <c r="F100" s="4">
        <v>112</v>
      </c>
      <c r="G100" s="4">
        <v>172</v>
      </c>
      <c r="H100" s="4">
        <v>86</v>
      </c>
      <c r="I100" s="4">
        <v>94</v>
      </c>
      <c r="J100" s="4">
        <v>99</v>
      </c>
      <c r="K100" s="4">
        <v>98</v>
      </c>
      <c r="L100" s="4">
        <v>75</v>
      </c>
      <c r="M100" s="4">
        <v>69</v>
      </c>
      <c r="N100" s="4">
        <v>78</v>
      </c>
      <c r="O100" s="5">
        <f t="shared" si="1"/>
        <v>1192</v>
      </c>
    </row>
    <row r="101" spans="1:15" x14ac:dyDescent="0.25">
      <c r="A101" s="4" t="s">
        <v>201</v>
      </c>
      <c r="B101" s="4" t="s">
        <v>577</v>
      </c>
      <c r="C101" s="4">
        <v>57</v>
      </c>
      <c r="D101" s="4">
        <v>43</v>
      </c>
      <c r="E101" s="4">
        <v>67</v>
      </c>
      <c r="F101" s="4">
        <v>134</v>
      </c>
      <c r="G101" s="4">
        <v>142</v>
      </c>
      <c r="H101" s="4">
        <v>153</v>
      </c>
      <c r="I101" s="4">
        <v>134</v>
      </c>
      <c r="J101" s="4">
        <v>159</v>
      </c>
      <c r="K101" s="4">
        <v>138</v>
      </c>
      <c r="L101" s="4">
        <v>79</v>
      </c>
      <c r="M101" s="4">
        <v>54</v>
      </c>
      <c r="N101" s="4">
        <v>23</v>
      </c>
      <c r="O101" s="5">
        <f t="shared" si="1"/>
        <v>1183</v>
      </c>
    </row>
    <row r="102" spans="1:15" x14ac:dyDescent="0.25">
      <c r="A102" s="4" t="s">
        <v>203</v>
      </c>
      <c r="B102" s="4" t="s">
        <v>578</v>
      </c>
      <c r="C102" s="4">
        <v>355</v>
      </c>
      <c r="D102" s="4">
        <v>233</v>
      </c>
      <c r="E102" s="4">
        <v>243</v>
      </c>
      <c r="F102" s="4">
        <v>159</v>
      </c>
      <c r="G102" s="4">
        <v>83</v>
      </c>
      <c r="H102" s="4">
        <v>14</v>
      </c>
      <c r="I102" s="4">
        <v>3</v>
      </c>
      <c r="J102" s="4">
        <v>2</v>
      </c>
      <c r="K102" s="4"/>
      <c r="L102" s="4">
        <v>2</v>
      </c>
      <c r="M102" s="4"/>
      <c r="N102" s="4">
        <v>3</v>
      </c>
      <c r="O102" s="5">
        <f t="shared" si="1"/>
        <v>1097</v>
      </c>
    </row>
    <row r="103" spans="1:15" x14ac:dyDescent="0.25">
      <c r="A103" s="4" t="s">
        <v>205</v>
      </c>
      <c r="B103" s="4" t="s">
        <v>210</v>
      </c>
      <c r="C103" s="4"/>
      <c r="D103" s="4"/>
      <c r="E103" s="4">
        <v>17</v>
      </c>
      <c r="F103" s="4"/>
      <c r="G103" s="4">
        <v>98</v>
      </c>
      <c r="H103" s="4">
        <v>214</v>
      </c>
      <c r="I103" s="4">
        <v>171</v>
      </c>
      <c r="J103" s="4">
        <v>106</v>
      </c>
      <c r="K103" s="4">
        <v>72</v>
      </c>
      <c r="L103" s="4">
        <v>99</v>
      </c>
      <c r="M103" s="4">
        <v>146</v>
      </c>
      <c r="N103" s="4">
        <v>130</v>
      </c>
      <c r="O103" s="5">
        <f t="shared" si="1"/>
        <v>1053</v>
      </c>
    </row>
    <row r="104" spans="1:15" x14ac:dyDescent="0.25">
      <c r="A104" s="4" t="s">
        <v>207</v>
      </c>
      <c r="B104" s="4" t="s">
        <v>176</v>
      </c>
      <c r="C104" s="4">
        <v>51</v>
      </c>
      <c r="D104" s="4">
        <v>18</v>
      </c>
      <c r="E104" s="4">
        <v>124</v>
      </c>
      <c r="F104" s="4">
        <v>96</v>
      </c>
      <c r="G104" s="4">
        <v>97</v>
      </c>
      <c r="H104" s="4">
        <v>101</v>
      </c>
      <c r="I104" s="4">
        <v>95</v>
      </c>
      <c r="J104" s="4">
        <v>93</v>
      </c>
      <c r="K104" s="4">
        <v>100</v>
      </c>
      <c r="L104" s="4">
        <v>64</v>
      </c>
      <c r="M104" s="4">
        <v>97</v>
      </c>
      <c r="N104" s="4">
        <v>69</v>
      </c>
      <c r="O104" s="5">
        <f t="shared" si="1"/>
        <v>1005</v>
      </c>
    </row>
    <row r="105" spans="1:15" x14ac:dyDescent="0.25">
      <c r="A105" s="4" t="s">
        <v>209</v>
      </c>
      <c r="B105" s="4" t="s">
        <v>228</v>
      </c>
      <c r="C105" s="4">
        <v>53</v>
      </c>
      <c r="D105" s="4">
        <v>239</v>
      </c>
      <c r="E105" s="4">
        <v>118</v>
      </c>
      <c r="F105" s="4">
        <v>125</v>
      </c>
      <c r="G105" s="4">
        <v>58</v>
      </c>
      <c r="H105" s="4">
        <v>48</v>
      </c>
      <c r="I105" s="4">
        <v>70</v>
      </c>
      <c r="J105" s="4">
        <v>67</v>
      </c>
      <c r="K105" s="4">
        <v>91</v>
      </c>
      <c r="L105" s="4">
        <v>51</v>
      </c>
      <c r="M105" s="4">
        <v>10</v>
      </c>
      <c r="N105" s="4">
        <v>63</v>
      </c>
      <c r="O105" s="5">
        <f t="shared" si="1"/>
        <v>993</v>
      </c>
    </row>
    <row r="106" spans="1:15" x14ac:dyDescent="0.25">
      <c r="A106" s="4" t="s">
        <v>211</v>
      </c>
      <c r="B106" s="4" t="s">
        <v>224</v>
      </c>
      <c r="C106" s="4">
        <v>69</v>
      </c>
      <c r="D106" s="4">
        <v>22</v>
      </c>
      <c r="E106" s="4">
        <v>21</v>
      </c>
      <c r="F106" s="4">
        <v>60</v>
      </c>
      <c r="G106" s="4">
        <v>58</v>
      </c>
      <c r="H106" s="4">
        <v>104</v>
      </c>
      <c r="I106" s="4">
        <v>113</v>
      </c>
      <c r="J106" s="4">
        <v>117</v>
      </c>
      <c r="K106" s="4">
        <v>120</v>
      </c>
      <c r="L106" s="4">
        <v>60</v>
      </c>
      <c r="M106" s="4">
        <v>158</v>
      </c>
      <c r="N106" s="4">
        <v>86</v>
      </c>
      <c r="O106" s="5">
        <f t="shared" si="1"/>
        <v>988</v>
      </c>
    </row>
    <row r="107" spans="1:15" x14ac:dyDescent="0.25">
      <c r="A107" s="4" t="s">
        <v>213</v>
      </c>
      <c r="B107" s="4" t="s">
        <v>392</v>
      </c>
      <c r="C107" s="4">
        <v>127</v>
      </c>
      <c r="D107" s="4">
        <v>69</v>
      </c>
      <c r="E107" s="4">
        <v>40</v>
      </c>
      <c r="F107" s="4">
        <v>43</v>
      </c>
      <c r="G107" s="4">
        <v>46</v>
      </c>
      <c r="H107" s="4">
        <v>30</v>
      </c>
      <c r="I107" s="4">
        <v>155</v>
      </c>
      <c r="J107" s="4">
        <v>93</v>
      </c>
      <c r="K107" s="4">
        <v>107</v>
      </c>
      <c r="L107" s="4">
        <v>105</v>
      </c>
      <c r="M107" s="4">
        <v>77</v>
      </c>
      <c r="N107" s="4">
        <v>86</v>
      </c>
      <c r="O107" s="5">
        <f t="shared" si="1"/>
        <v>978</v>
      </c>
    </row>
    <row r="108" spans="1:15" x14ac:dyDescent="0.25">
      <c r="A108" s="4" t="s">
        <v>215</v>
      </c>
      <c r="B108" s="4" t="s">
        <v>508</v>
      </c>
      <c r="C108" s="4">
        <v>37</v>
      </c>
      <c r="D108" s="4">
        <v>8</v>
      </c>
      <c r="E108" s="4">
        <v>16</v>
      </c>
      <c r="F108" s="4">
        <v>73</v>
      </c>
      <c r="G108" s="4">
        <v>81</v>
      </c>
      <c r="H108" s="4">
        <v>135</v>
      </c>
      <c r="I108" s="4">
        <v>188</v>
      </c>
      <c r="J108" s="4">
        <v>66</v>
      </c>
      <c r="K108" s="4">
        <v>30</v>
      </c>
      <c r="L108" s="4">
        <v>205</v>
      </c>
      <c r="M108" s="4">
        <v>20</v>
      </c>
      <c r="N108" s="4">
        <v>97</v>
      </c>
      <c r="O108" s="5">
        <f t="shared" si="1"/>
        <v>956</v>
      </c>
    </row>
    <row r="109" spans="1:15" x14ac:dyDescent="0.25">
      <c r="A109" s="4" t="s">
        <v>217</v>
      </c>
      <c r="B109" s="4" t="s">
        <v>182</v>
      </c>
      <c r="C109" s="4">
        <v>67</v>
      </c>
      <c r="D109" s="4">
        <v>86</v>
      </c>
      <c r="E109" s="4">
        <v>73</v>
      </c>
      <c r="F109" s="4">
        <v>59</v>
      </c>
      <c r="G109" s="4">
        <v>60</v>
      </c>
      <c r="H109" s="4">
        <v>38</v>
      </c>
      <c r="I109" s="4">
        <v>41</v>
      </c>
      <c r="J109" s="4">
        <v>91</v>
      </c>
      <c r="K109" s="4">
        <v>88</v>
      </c>
      <c r="L109" s="4">
        <v>29</v>
      </c>
      <c r="M109" s="4">
        <v>106</v>
      </c>
      <c r="N109" s="4">
        <v>177</v>
      </c>
      <c r="O109" s="5">
        <f t="shared" si="1"/>
        <v>915</v>
      </c>
    </row>
    <row r="110" spans="1:15" x14ac:dyDescent="0.25">
      <c r="A110" s="4" t="s">
        <v>219</v>
      </c>
      <c r="B110" s="4" t="s">
        <v>212</v>
      </c>
      <c r="C110" s="4">
        <v>105</v>
      </c>
      <c r="D110" s="4">
        <v>43</v>
      </c>
      <c r="E110" s="4">
        <v>15</v>
      </c>
      <c r="F110" s="4">
        <v>38</v>
      </c>
      <c r="G110" s="4">
        <v>38</v>
      </c>
      <c r="H110" s="4">
        <v>63</v>
      </c>
      <c r="I110" s="4">
        <v>86</v>
      </c>
      <c r="J110" s="4">
        <v>98</v>
      </c>
      <c r="K110" s="4">
        <v>60</v>
      </c>
      <c r="L110" s="4">
        <v>66</v>
      </c>
      <c r="M110" s="4">
        <v>147</v>
      </c>
      <c r="N110" s="4">
        <v>102</v>
      </c>
      <c r="O110" s="5">
        <f t="shared" si="1"/>
        <v>861</v>
      </c>
    </row>
    <row r="111" spans="1:15" x14ac:dyDescent="0.25">
      <c r="A111" s="4" t="s">
        <v>221</v>
      </c>
      <c r="B111" s="4" t="s">
        <v>204</v>
      </c>
      <c r="C111" s="4">
        <v>63</v>
      </c>
      <c r="D111" s="4">
        <v>75</v>
      </c>
      <c r="E111" s="4">
        <v>97</v>
      </c>
      <c r="F111" s="4">
        <v>162</v>
      </c>
      <c r="G111" s="4">
        <v>127</v>
      </c>
      <c r="H111" s="4">
        <v>64</v>
      </c>
      <c r="I111" s="4">
        <v>68</v>
      </c>
      <c r="J111" s="4">
        <v>63</v>
      </c>
      <c r="K111" s="4">
        <v>44</v>
      </c>
      <c r="L111" s="4">
        <v>32</v>
      </c>
      <c r="M111" s="4">
        <v>42</v>
      </c>
      <c r="N111" s="4">
        <v>22</v>
      </c>
      <c r="O111" s="5">
        <f t="shared" si="1"/>
        <v>859</v>
      </c>
    </row>
    <row r="112" spans="1:15" x14ac:dyDescent="0.25">
      <c r="A112" s="4" t="s">
        <v>223</v>
      </c>
      <c r="B112" s="4" t="s">
        <v>172</v>
      </c>
      <c r="C112" s="4">
        <v>41</v>
      </c>
      <c r="D112" s="4">
        <v>21</v>
      </c>
      <c r="E112" s="4">
        <v>117</v>
      </c>
      <c r="F112" s="4">
        <v>60</v>
      </c>
      <c r="G112" s="4">
        <v>38</v>
      </c>
      <c r="H112" s="4">
        <v>53</v>
      </c>
      <c r="I112" s="4">
        <v>71</v>
      </c>
      <c r="J112" s="4">
        <v>101</v>
      </c>
      <c r="K112" s="4">
        <v>101</v>
      </c>
      <c r="L112" s="4">
        <v>63</v>
      </c>
      <c r="M112" s="4">
        <v>58</v>
      </c>
      <c r="N112" s="4">
        <v>101</v>
      </c>
      <c r="O112" s="5">
        <f t="shared" si="1"/>
        <v>825</v>
      </c>
    </row>
    <row r="113" spans="1:15" x14ac:dyDescent="0.25">
      <c r="A113" s="4" t="s">
        <v>225</v>
      </c>
      <c r="B113" s="4" t="s">
        <v>202</v>
      </c>
      <c r="C113" s="4">
        <v>131</v>
      </c>
      <c r="D113" s="4">
        <v>65</v>
      </c>
      <c r="E113" s="4">
        <v>51</v>
      </c>
      <c r="F113" s="4">
        <v>16</v>
      </c>
      <c r="G113" s="4">
        <v>58</v>
      </c>
      <c r="H113" s="4">
        <v>109</v>
      </c>
      <c r="I113" s="4">
        <v>145</v>
      </c>
      <c r="J113" s="4">
        <v>69</v>
      </c>
      <c r="K113" s="4">
        <v>49</v>
      </c>
      <c r="L113" s="4">
        <v>52</v>
      </c>
      <c r="M113" s="4">
        <v>33</v>
      </c>
      <c r="N113" s="4">
        <v>41</v>
      </c>
      <c r="O113" s="5">
        <f t="shared" si="1"/>
        <v>819</v>
      </c>
    </row>
    <row r="114" spans="1:15" x14ac:dyDescent="0.25">
      <c r="A114" s="4" t="s">
        <v>229</v>
      </c>
      <c r="B114" s="4" t="s">
        <v>310</v>
      </c>
      <c r="C114" s="4">
        <v>57</v>
      </c>
      <c r="D114" s="4">
        <v>37</v>
      </c>
      <c r="E114" s="4">
        <v>57</v>
      </c>
      <c r="F114" s="4">
        <v>68</v>
      </c>
      <c r="G114" s="4">
        <v>68</v>
      </c>
      <c r="H114" s="4">
        <v>78</v>
      </c>
      <c r="I114" s="4">
        <v>84</v>
      </c>
      <c r="J114" s="4">
        <v>78</v>
      </c>
      <c r="K114" s="4">
        <v>74</v>
      </c>
      <c r="L114" s="4">
        <v>68</v>
      </c>
      <c r="M114" s="4">
        <v>64</v>
      </c>
      <c r="N114" s="4">
        <v>66</v>
      </c>
      <c r="O114" s="5">
        <f t="shared" si="1"/>
        <v>799</v>
      </c>
    </row>
    <row r="115" spans="1:15" x14ac:dyDescent="0.25">
      <c r="A115" s="4" t="s">
        <v>227</v>
      </c>
      <c r="B115" s="4" t="s">
        <v>216</v>
      </c>
      <c r="C115" s="4">
        <v>34</v>
      </c>
      <c r="D115" s="4">
        <v>24</v>
      </c>
      <c r="E115" s="4">
        <v>20</v>
      </c>
      <c r="F115" s="4">
        <v>11</v>
      </c>
      <c r="G115" s="4">
        <v>26</v>
      </c>
      <c r="H115" s="4">
        <v>37</v>
      </c>
      <c r="I115" s="4">
        <v>41</v>
      </c>
      <c r="J115" s="4">
        <v>89</v>
      </c>
      <c r="K115" s="4">
        <v>131</v>
      </c>
      <c r="L115" s="4">
        <v>102</v>
      </c>
      <c r="M115" s="4">
        <v>91</v>
      </c>
      <c r="N115" s="4">
        <v>161</v>
      </c>
      <c r="O115" s="5">
        <f t="shared" si="1"/>
        <v>767</v>
      </c>
    </row>
    <row r="116" spans="1:15" x14ac:dyDescent="0.25">
      <c r="A116" s="4" t="s">
        <v>231</v>
      </c>
      <c r="B116" s="4" t="s">
        <v>198</v>
      </c>
      <c r="C116" s="4">
        <v>57</v>
      </c>
      <c r="D116" s="4">
        <v>70</v>
      </c>
      <c r="E116" s="4">
        <v>49</v>
      </c>
      <c r="F116" s="4">
        <v>38</v>
      </c>
      <c r="G116" s="4">
        <v>44</v>
      </c>
      <c r="H116" s="4">
        <v>61</v>
      </c>
      <c r="I116" s="4">
        <v>63</v>
      </c>
      <c r="J116" s="4">
        <v>62</v>
      </c>
      <c r="K116" s="4">
        <v>70</v>
      </c>
      <c r="L116" s="4">
        <v>66</v>
      </c>
      <c r="M116" s="4">
        <v>64</v>
      </c>
      <c r="N116" s="4">
        <v>62</v>
      </c>
      <c r="O116" s="5">
        <f t="shared" si="1"/>
        <v>706</v>
      </c>
    </row>
    <row r="117" spans="1:15" x14ac:dyDescent="0.25">
      <c r="A117" s="4" t="s">
        <v>233</v>
      </c>
      <c r="B117" s="4" t="s">
        <v>242</v>
      </c>
      <c r="C117" s="4">
        <v>58</v>
      </c>
      <c r="D117" s="4">
        <v>46</v>
      </c>
      <c r="E117" s="4">
        <v>79</v>
      </c>
      <c r="F117" s="4">
        <v>43</v>
      </c>
      <c r="G117" s="4">
        <v>86</v>
      </c>
      <c r="H117" s="4">
        <v>37</v>
      </c>
      <c r="I117" s="4">
        <v>96</v>
      </c>
      <c r="J117" s="4">
        <v>65</v>
      </c>
      <c r="K117" s="4">
        <v>67</v>
      </c>
      <c r="L117" s="4">
        <v>31</v>
      </c>
      <c r="M117" s="4">
        <v>39</v>
      </c>
      <c r="N117" s="4">
        <v>24</v>
      </c>
      <c r="O117" s="5">
        <f t="shared" si="1"/>
        <v>671</v>
      </c>
    </row>
    <row r="118" spans="1:15" x14ac:dyDescent="0.25">
      <c r="A118" s="4" t="s">
        <v>235</v>
      </c>
      <c r="B118" s="4" t="s">
        <v>518</v>
      </c>
      <c r="C118" s="4">
        <v>19</v>
      </c>
      <c r="D118" s="4">
        <v>70</v>
      </c>
      <c r="E118" s="4">
        <v>73</v>
      </c>
      <c r="F118" s="4">
        <v>78</v>
      </c>
      <c r="G118" s="4">
        <v>85</v>
      </c>
      <c r="H118" s="4">
        <v>40</v>
      </c>
      <c r="I118" s="4">
        <v>7</v>
      </c>
      <c r="J118" s="4">
        <v>92</v>
      </c>
      <c r="K118" s="4">
        <v>10</v>
      </c>
      <c r="L118" s="4">
        <v>15</v>
      </c>
      <c r="M118" s="4">
        <v>41</v>
      </c>
      <c r="N118" s="4">
        <v>101</v>
      </c>
      <c r="O118" s="5">
        <f t="shared" si="1"/>
        <v>631</v>
      </c>
    </row>
    <row r="119" spans="1:15" x14ac:dyDescent="0.25">
      <c r="A119" s="4" t="s">
        <v>237</v>
      </c>
      <c r="B119" s="4" t="s">
        <v>270</v>
      </c>
      <c r="C119" s="4">
        <v>5</v>
      </c>
      <c r="D119" s="4">
        <v>9</v>
      </c>
      <c r="E119" s="4">
        <v>90</v>
      </c>
      <c r="F119" s="4">
        <v>70</v>
      </c>
      <c r="G119" s="4">
        <v>77</v>
      </c>
      <c r="H119" s="4">
        <v>79</v>
      </c>
      <c r="I119" s="4">
        <v>67</v>
      </c>
      <c r="J119" s="4">
        <v>53</v>
      </c>
      <c r="K119" s="4">
        <v>66</v>
      </c>
      <c r="L119" s="4">
        <v>29</v>
      </c>
      <c r="M119" s="4">
        <v>35</v>
      </c>
      <c r="N119" s="4"/>
      <c r="O119" s="5">
        <f t="shared" si="1"/>
        <v>580</v>
      </c>
    </row>
    <row r="120" spans="1:15" x14ac:dyDescent="0.25">
      <c r="A120" s="4" t="s">
        <v>237</v>
      </c>
      <c r="B120" s="4" t="s">
        <v>270</v>
      </c>
      <c r="C120" s="4">
        <v>5</v>
      </c>
      <c r="D120" s="4">
        <v>9</v>
      </c>
      <c r="E120" s="4">
        <v>90</v>
      </c>
      <c r="F120" s="4">
        <v>70</v>
      </c>
      <c r="G120" s="4">
        <v>77</v>
      </c>
      <c r="H120" s="4">
        <v>79</v>
      </c>
      <c r="I120" s="4">
        <v>67</v>
      </c>
      <c r="J120" s="4">
        <v>53</v>
      </c>
      <c r="K120" s="4">
        <v>66</v>
      </c>
      <c r="L120" s="4">
        <v>29</v>
      </c>
      <c r="M120" s="4">
        <v>35</v>
      </c>
      <c r="N120" s="4">
        <v>24</v>
      </c>
      <c r="O120" s="5">
        <f t="shared" si="1"/>
        <v>604</v>
      </c>
    </row>
    <row r="121" spans="1:15" x14ac:dyDescent="0.25">
      <c r="A121" s="4" t="s">
        <v>239</v>
      </c>
      <c r="B121" s="4" t="s">
        <v>186</v>
      </c>
      <c r="C121" s="4">
        <v>45</v>
      </c>
      <c r="D121" s="4">
        <v>48</v>
      </c>
      <c r="E121" s="4">
        <v>71</v>
      </c>
      <c r="F121" s="4">
        <v>53</v>
      </c>
      <c r="G121" s="4">
        <v>55</v>
      </c>
      <c r="H121" s="4">
        <v>61</v>
      </c>
      <c r="I121" s="4">
        <v>63</v>
      </c>
      <c r="J121" s="4">
        <v>71</v>
      </c>
      <c r="K121" s="4">
        <v>46</v>
      </c>
      <c r="L121" s="4">
        <v>25</v>
      </c>
      <c r="M121" s="4">
        <v>16</v>
      </c>
      <c r="N121" s="4">
        <v>46</v>
      </c>
      <c r="O121" s="5">
        <f t="shared" si="1"/>
        <v>600</v>
      </c>
    </row>
    <row r="122" spans="1:15" x14ac:dyDescent="0.25">
      <c r="A122" s="4" t="s">
        <v>243</v>
      </c>
      <c r="B122" s="4" t="s">
        <v>144</v>
      </c>
      <c r="C122" s="4">
        <v>1</v>
      </c>
      <c r="D122" s="4">
        <v>18</v>
      </c>
      <c r="E122" s="4">
        <v>75</v>
      </c>
      <c r="F122" s="4">
        <v>52</v>
      </c>
      <c r="G122" s="4">
        <v>118</v>
      </c>
      <c r="H122" s="4">
        <v>42</v>
      </c>
      <c r="I122" s="4">
        <v>63</v>
      </c>
      <c r="J122" s="4">
        <v>91</v>
      </c>
      <c r="K122" s="4">
        <v>50</v>
      </c>
      <c r="L122" s="4">
        <v>27</v>
      </c>
      <c r="M122" s="4">
        <v>15</v>
      </c>
      <c r="N122" s="4">
        <v>22</v>
      </c>
      <c r="O122" s="5">
        <f t="shared" si="1"/>
        <v>574</v>
      </c>
    </row>
    <row r="123" spans="1:15" x14ac:dyDescent="0.25">
      <c r="A123" s="4" t="s">
        <v>241</v>
      </c>
      <c r="B123" s="4" t="s">
        <v>214</v>
      </c>
      <c r="C123" s="4">
        <v>238</v>
      </c>
      <c r="D123" s="4">
        <v>131</v>
      </c>
      <c r="E123" s="4">
        <v>86</v>
      </c>
      <c r="F123" s="4">
        <v>49</v>
      </c>
      <c r="G123" s="4">
        <v>27</v>
      </c>
      <c r="H123" s="4">
        <v>15</v>
      </c>
      <c r="I123" s="4">
        <v>6</v>
      </c>
      <c r="J123" s="4"/>
      <c r="K123" s="4">
        <v>4</v>
      </c>
      <c r="L123" s="4">
        <v>4</v>
      </c>
      <c r="M123" s="4">
        <v>4</v>
      </c>
      <c r="N123" s="4"/>
      <c r="O123" s="5">
        <f t="shared" si="1"/>
        <v>564</v>
      </c>
    </row>
    <row r="124" spans="1:15" x14ac:dyDescent="0.25">
      <c r="A124" s="4" t="s">
        <v>245</v>
      </c>
      <c r="B124" s="4" t="s">
        <v>238</v>
      </c>
      <c r="C124" s="4">
        <v>1</v>
      </c>
      <c r="D124" s="4">
        <v>1</v>
      </c>
      <c r="E124" s="4">
        <v>2</v>
      </c>
      <c r="F124" s="4">
        <v>50</v>
      </c>
      <c r="G124" s="4">
        <v>40</v>
      </c>
      <c r="H124" s="4">
        <v>12</v>
      </c>
      <c r="I124" s="4">
        <v>49</v>
      </c>
      <c r="J124" s="4">
        <v>26</v>
      </c>
      <c r="K124" s="4">
        <v>7</v>
      </c>
      <c r="L124" s="4">
        <v>54</v>
      </c>
      <c r="M124" s="4">
        <v>185</v>
      </c>
      <c r="N124" s="4">
        <v>131</v>
      </c>
      <c r="O124" s="5">
        <f t="shared" si="1"/>
        <v>558</v>
      </c>
    </row>
    <row r="125" spans="1:15" x14ac:dyDescent="0.25">
      <c r="A125" s="4" t="s">
        <v>247</v>
      </c>
      <c r="B125" s="4" t="s">
        <v>208</v>
      </c>
      <c r="C125" s="4">
        <v>20</v>
      </c>
      <c r="D125" s="4">
        <v>22</v>
      </c>
      <c r="E125" s="4">
        <v>31</v>
      </c>
      <c r="F125" s="4">
        <v>27</v>
      </c>
      <c r="G125" s="4">
        <v>43</v>
      </c>
      <c r="H125" s="4">
        <v>67</v>
      </c>
      <c r="I125" s="4">
        <v>56</v>
      </c>
      <c r="J125" s="4">
        <v>73</v>
      </c>
      <c r="K125" s="4">
        <v>73</v>
      </c>
      <c r="L125" s="4">
        <v>50</v>
      </c>
      <c r="M125" s="4">
        <v>47</v>
      </c>
      <c r="N125" s="4">
        <v>36</v>
      </c>
      <c r="O125" s="5">
        <f t="shared" si="1"/>
        <v>545</v>
      </c>
    </row>
    <row r="126" spans="1:15" x14ac:dyDescent="0.25">
      <c r="A126" s="4" t="s">
        <v>249</v>
      </c>
      <c r="B126" s="4" t="s">
        <v>517</v>
      </c>
      <c r="C126" s="4">
        <v>21</v>
      </c>
      <c r="D126" s="4">
        <v>37</v>
      </c>
      <c r="E126" s="4">
        <v>70</v>
      </c>
      <c r="F126" s="4">
        <v>66</v>
      </c>
      <c r="G126" s="4">
        <v>28</v>
      </c>
      <c r="H126" s="4">
        <v>43</v>
      </c>
      <c r="I126" s="4">
        <v>13</v>
      </c>
      <c r="J126" s="4">
        <v>54</v>
      </c>
      <c r="K126" s="4">
        <v>68</v>
      </c>
      <c r="L126" s="4">
        <v>51</v>
      </c>
      <c r="M126" s="4">
        <v>68</v>
      </c>
      <c r="N126" s="4">
        <v>21</v>
      </c>
      <c r="O126" s="5">
        <f t="shared" si="1"/>
        <v>540</v>
      </c>
    </row>
    <row r="127" spans="1:15" x14ac:dyDescent="0.25">
      <c r="A127" s="4" t="s">
        <v>253</v>
      </c>
      <c r="B127" s="4" t="s">
        <v>162</v>
      </c>
      <c r="C127" s="4"/>
      <c r="D127" s="4"/>
      <c r="E127" s="4"/>
      <c r="F127" s="4">
        <v>39</v>
      </c>
      <c r="G127" s="4">
        <v>197</v>
      </c>
      <c r="H127" s="4">
        <v>77</v>
      </c>
      <c r="I127" s="4">
        <v>68</v>
      </c>
      <c r="J127" s="4">
        <v>47</v>
      </c>
      <c r="K127" s="4">
        <v>49</v>
      </c>
      <c r="L127" s="4">
        <v>33</v>
      </c>
      <c r="M127" s="4">
        <v>14</v>
      </c>
      <c r="N127" s="4">
        <v>9</v>
      </c>
      <c r="O127" s="5">
        <f t="shared" si="1"/>
        <v>533</v>
      </c>
    </row>
    <row r="128" spans="1:15" x14ac:dyDescent="0.25">
      <c r="A128" s="4" t="s">
        <v>251</v>
      </c>
      <c r="B128" s="4" t="s">
        <v>264</v>
      </c>
      <c r="C128" s="4">
        <v>41</v>
      </c>
      <c r="D128" s="4">
        <v>61</v>
      </c>
      <c r="E128" s="4">
        <v>47</v>
      </c>
      <c r="F128" s="4">
        <v>69</v>
      </c>
      <c r="G128" s="4">
        <v>59</v>
      </c>
      <c r="H128" s="4">
        <v>49</v>
      </c>
      <c r="I128" s="4">
        <v>57</v>
      </c>
      <c r="J128" s="4">
        <v>33</v>
      </c>
      <c r="K128" s="4">
        <v>48</v>
      </c>
      <c r="L128" s="4">
        <v>22</v>
      </c>
      <c r="M128" s="4">
        <v>20</v>
      </c>
      <c r="N128" s="4">
        <v>25</v>
      </c>
      <c r="O128" s="5">
        <f t="shared" si="1"/>
        <v>531</v>
      </c>
    </row>
    <row r="129" spans="1:15" x14ac:dyDescent="0.25">
      <c r="A129" s="4" t="s">
        <v>255</v>
      </c>
      <c r="B129" s="4" t="s">
        <v>258</v>
      </c>
      <c r="C129" s="4">
        <v>85</v>
      </c>
      <c r="D129" s="4">
        <v>28</v>
      </c>
      <c r="E129" s="4">
        <v>11</v>
      </c>
      <c r="F129" s="4">
        <v>1</v>
      </c>
      <c r="G129" s="4">
        <v>89</v>
      </c>
      <c r="H129" s="4">
        <v>15</v>
      </c>
      <c r="I129" s="4">
        <v>7</v>
      </c>
      <c r="J129" s="4">
        <v>3</v>
      </c>
      <c r="K129" s="4">
        <v>5</v>
      </c>
      <c r="L129" s="4">
        <v>101</v>
      </c>
      <c r="M129" s="4">
        <v>33</v>
      </c>
      <c r="N129" s="4">
        <v>106</v>
      </c>
      <c r="O129" s="5">
        <f t="shared" si="1"/>
        <v>484</v>
      </c>
    </row>
    <row r="130" spans="1:15" x14ac:dyDescent="0.25">
      <c r="A130" s="4" t="s">
        <v>257</v>
      </c>
      <c r="B130" s="4" t="s">
        <v>222</v>
      </c>
      <c r="C130" s="4">
        <v>12</v>
      </c>
      <c r="D130" s="4">
        <v>5</v>
      </c>
      <c r="E130" s="4">
        <v>52</v>
      </c>
      <c r="F130" s="4">
        <v>79</v>
      </c>
      <c r="G130" s="4">
        <v>89</v>
      </c>
      <c r="H130" s="4">
        <v>53</v>
      </c>
      <c r="I130" s="4">
        <v>34</v>
      </c>
      <c r="J130" s="4">
        <v>19</v>
      </c>
      <c r="K130" s="4">
        <v>35</v>
      </c>
      <c r="L130" s="4">
        <v>5</v>
      </c>
      <c r="M130" s="4">
        <v>33</v>
      </c>
      <c r="N130" s="4">
        <v>34</v>
      </c>
      <c r="O130" s="5">
        <f t="shared" si="1"/>
        <v>450</v>
      </c>
    </row>
    <row r="131" spans="1:15" x14ac:dyDescent="0.25">
      <c r="A131" s="4" t="s">
        <v>259</v>
      </c>
      <c r="B131" s="4" t="s">
        <v>440</v>
      </c>
      <c r="C131" s="4">
        <v>116</v>
      </c>
      <c r="D131" s="4">
        <v>68</v>
      </c>
      <c r="E131" s="4">
        <v>67</v>
      </c>
      <c r="F131" s="4">
        <v>52</v>
      </c>
      <c r="G131" s="4">
        <v>48</v>
      </c>
      <c r="H131" s="4">
        <v>32</v>
      </c>
      <c r="I131" s="4">
        <v>17</v>
      </c>
      <c r="J131" s="4">
        <v>10</v>
      </c>
      <c r="K131" s="4">
        <v>13</v>
      </c>
      <c r="L131" s="4">
        <v>7</v>
      </c>
      <c r="M131" s="4">
        <v>6</v>
      </c>
      <c r="N131" s="4">
        <v>2</v>
      </c>
      <c r="O131" s="5">
        <f t="shared" si="1"/>
        <v>438</v>
      </c>
    </row>
    <row r="132" spans="1:15" x14ac:dyDescent="0.25">
      <c r="A132" s="4" t="s">
        <v>261</v>
      </c>
      <c r="B132" s="4" t="s">
        <v>282</v>
      </c>
      <c r="C132" s="4">
        <v>20</v>
      </c>
      <c r="D132" s="4"/>
      <c r="E132" s="4">
        <v>5</v>
      </c>
      <c r="F132" s="4">
        <v>3</v>
      </c>
      <c r="G132" s="4">
        <v>2</v>
      </c>
      <c r="H132" s="4"/>
      <c r="I132" s="4"/>
      <c r="J132" s="4"/>
      <c r="K132" s="4"/>
      <c r="L132" s="4">
        <v>192</v>
      </c>
      <c r="M132" s="4">
        <v>12</v>
      </c>
      <c r="N132" s="4">
        <v>191</v>
      </c>
      <c r="O132" s="5">
        <f t="shared" ref="O132:O195" si="2">SUM(C132:N132)</f>
        <v>425</v>
      </c>
    </row>
    <row r="133" spans="1:15" x14ac:dyDescent="0.25">
      <c r="A133" s="4" t="s">
        <v>265</v>
      </c>
      <c r="B133" s="4" t="s">
        <v>448</v>
      </c>
      <c r="C133" s="4">
        <v>2</v>
      </c>
      <c r="D133" s="4"/>
      <c r="E133" s="4">
        <v>3</v>
      </c>
      <c r="F133" s="4"/>
      <c r="G133" s="4">
        <v>60</v>
      </c>
      <c r="H133" s="4">
        <v>54</v>
      </c>
      <c r="I133" s="4">
        <v>55</v>
      </c>
      <c r="J133" s="4">
        <v>68</v>
      </c>
      <c r="K133" s="4">
        <v>44</v>
      </c>
      <c r="L133" s="4">
        <v>28</v>
      </c>
      <c r="M133" s="4">
        <v>54</v>
      </c>
      <c r="N133" s="4">
        <v>52</v>
      </c>
      <c r="O133" s="5">
        <f t="shared" si="2"/>
        <v>420</v>
      </c>
    </row>
    <row r="134" spans="1:15" x14ac:dyDescent="0.25">
      <c r="A134" s="4" t="s">
        <v>263</v>
      </c>
      <c r="B134" s="4" t="s">
        <v>346</v>
      </c>
      <c r="C134" s="4">
        <v>36</v>
      </c>
      <c r="D134" s="4">
        <v>47</v>
      </c>
      <c r="E134" s="4">
        <v>50</v>
      </c>
      <c r="F134" s="4">
        <v>44</v>
      </c>
      <c r="G134" s="4">
        <v>49</v>
      </c>
      <c r="H134" s="4">
        <v>35</v>
      </c>
      <c r="I134" s="4">
        <v>38</v>
      </c>
      <c r="J134" s="4">
        <v>38</v>
      </c>
      <c r="K134" s="4">
        <v>26</v>
      </c>
      <c r="L134" s="4">
        <v>16</v>
      </c>
      <c r="M134" s="4">
        <v>14</v>
      </c>
      <c r="N134" s="4">
        <v>7</v>
      </c>
      <c r="O134" s="5">
        <f t="shared" si="2"/>
        <v>400</v>
      </c>
    </row>
    <row r="135" spans="1:15" x14ac:dyDescent="0.25">
      <c r="A135" s="4" t="s">
        <v>267</v>
      </c>
      <c r="B135" s="4" t="s">
        <v>276</v>
      </c>
      <c r="C135" s="4">
        <v>34</v>
      </c>
      <c r="D135" s="4">
        <v>73</v>
      </c>
      <c r="E135" s="4">
        <v>49</v>
      </c>
      <c r="F135" s="4">
        <v>14</v>
      </c>
      <c r="G135" s="4">
        <v>17</v>
      </c>
      <c r="H135" s="4">
        <v>28</v>
      </c>
      <c r="I135" s="4">
        <v>37</v>
      </c>
      <c r="J135" s="4">
        <v>35</v>
      </c>
      <c r="K135" s="4">
        <v>29</v>
      </c>
      <c r="L135" s="4">
        <v>26</v>
      </c>
      <c r="M135" s="4">
        <v>21</v>
      </c>
      <c r="N135" s="4">
        <v>16</v>
      </c>
      <c r="O135" s="5">
        <f t="shared" si="2"/>
        <v>379</v>
      </c>
    </row>
    <row r="136" spans="1:15" x14ac:dyDescent="0.25">
      <c r="A136" s="4" t="s">
        <v>269</v>
      </c>
      <c r="B136" s="4" t="s">
        <v>496</v>
      </c>
      <c r="C136" s="4">
        <v>12</v>
      </c>
      <c r="D136" s="4">
        <v>24</v>
      </c>
      <c r="E136" s="4">
        <v>22</v>
      </c>
      <c r="F136" s="4">
        <v>42</v>
      </c>
      <c r="G136" s="4">
        <v>45</v>
      </c>
      <c r="H136" s="4">
        <v>51</v>
      </c>
      <c r="I136" s="4">
        <v>32</v>
      </c>
      <c r="J136" s="4">
        <v>68</v>
      </c>
      <c r="K136" s="4">
        <v>61</v>
      </c>
      <c r="L136" s="4">
        <v>15</v>
      </c>
      <c r="M136" s="4">
        <v>3</v>
      </c>
      <c r="N136" s="4">
        <v>2</v>
      </c>
      <c r="O136" s="5">
        <f t="shared" si="2"/>
        <v>377</v>
      </c>
    </row>
    <row r="137" spans="1:15" x14ac:dyDescent="0.25">
      <c r="A137" s="4" t="s">
        <v>271</v>
      </c>
      <c r="B137" s="4" t="s">
        <v>240</v>
      </c>
      <c r="C137" s="4">
        <v>19</v>
      </c>
      <c r="D137" s="4">
        <v>58</v>
      </c>
      <c r="E137" s="4">
        <v>39</v>
      </c>
      <c r="F137" s="4">
        <v>38</v>
      </c>
      <c r="G137" s="4">
        <v>20</v>
      </c>
      <c r="H137" s="4">
        <v>49</v>
      </c>
      <c r="I137" s="4">
        <v>43</v>
      </c>
      <c r="J137" s="4">
        <v>30</v>
      </c>
      <c r="K137" s="4">
        <v>25</v>
      </c>
      <c r="L137" s="4">
        <v>27</v>
      </c>
      <c r="M137" s="4">
        <v>11</v>
      </c>
      <c r="N137" s="4">
        <v>9</v>
      </c>
      <c r="O137" s="5">
        <f t="shared" si="2"/>
        <v>368</v>
      </c>
    </row>
    <row r="138" spans="1:15" x14ac:dyDescent="0.25">
      <c r="A138" s="4" t="s">
        <v>273</v>
      </c>
      <c r="B138" s="4" t="s">
        <v>234</v>
      </c>
      <c r="C138" s="4">
        <v>50</v>
      </c>
      <c r="D138" s="4">
        <v>25</v>
      </c>
      <c r="E138" s="4">
        <v>30</v>
      </c>
      <c r="F138" s="4">
        <v>29</v>
      </c>
      <c r="G138" s="4">
        <v>30</v>
      </c>
      <c r="H138" s="4">
        <v>35</v>
      </c>
      <c r="I138" s="4">
        <v>25</v>
      </c>
      <c r="J138" s="4">
        <v>39</v>
      </c>
      <c r="K138" s="4">
        <v>33</v>
      </c>
      <c r="L138" s="4">
        <v>12</v>
      </c>
      <c r="M138" s="4">
        <v>22</v>
      </c>
      <c r="N138" s="4">
        <v>31</v>
      </c>
      <c r="O138" s="5">
        <f t="shared" si="2"/>
        <v>361</v>
      </c>
    </row>
    <row r="139" spans="1:15" x14ac:dyDescent="0.25">
      <c r="A139" s="4" t="s">
        <v>275</v>
      </c>
      <c r="B139" s="4" t="s">
        <v>246</v>
      </c>
      <c r="C139" s="4">
        <v>16</v>
      </c>
      <c r="D139" s="4">
        <v>10</v>
      </c>
      <c r="E139" s="4">
        <v>15</v>
      </c>
      <c r="F139" s="4">
        <v>49</v>
      </c>
      <c r="G139" s="4">
        <v>48</v>
      </c>
      <c r="H139" s="4">
        <v>61</v>
      </c>
      <c r="I139" s="4">
        <v>40</v>
      </c>
      <c r="J139" s="4">
        <v>45</v>
      </c>
      <c r="K139" s="4">
        <v>13</v>
      </c>
      <c r="L139" s="4">
        <v>19</v>
      </c>
      <c r="M139" s="4">
        <v>14</v>
      </c>
      <c r="N139" s="4">
        <v>30</v>
      </c>
      <c r="O139" s="5">
        <f t="shared" si="2"/>
        <v>360</v>
      </c>
    </row>
    <row r="140" spans="1:15" x14ac:dyDescent="0.25">
      <c r="A140" s="4" t="s">
        <v>277</v>
      </c>
      <c r="B140" s="4" t="s">
        <v>528</v>
      </c>
      <c r="C140" s="4">
        <v>7</v>
      </c>
      <c r="D140" s="4">
        <v>25</v>
      </c>
      <c r="E140" s="4">
        <v>36</v>
      </c>
      <c r="F140" s="4">
        <v>58</v>
      </c>
      <c r="G140" s="4">
        <v>54</v>
      </c>
      <c r="H140" s="4">
        <v>70</v>
      </c>
      <c r="I140" s="4">
        <v>44</v>
      </c>
      <c r="J140" s="4">
        <v>25</v>
      </c>
      <c r="K140" s="4">
        <v>17</v>
      </c>
      <c r="L140" s="4">
        <v>16</v>
      </c>
      <c r="M140" s="4">
        <v>2</v>
      </c>
      <c r="N140" s="4">
        <v>1</v>
      </c>
      <c r="O140" s="5">
        <f t="shared" si="2"/>
        <v>355</v>
      </c>
    </row>
    <row r="141" spans="1:15" x14ac:dyDescent="0.25">
      <c r="A141" s="4" t="s">
        <v>279</v>
      </c>
      <c r="B141" s="4" t="s">
        <v>226</v>
      </c>
      <c r="C141" s="4">
        <v>87</v>
      </c>
      <c r="D141" s="4">
        <v>29</v>
      </c>
      <c r="E141" s="4">
        <v>9</v>
      </c>
      <c r="F141" s="4">
        <v>1</v>
      </c>
      <c r="G141" s="4">
        <v>1</v>
      </c>
      <c r="H141" s="4">
        <v>1</v>
      </c>
      <c r="I141" s="4">
        <v>1</v>
      </c>
      <c r="J141" s="4"/>
      <c r="K141" s="4"/>
      <c r="L141" s="4">
        <v>5</v>
      </c>
      <c r="M141" s="4">
        <v>121</v>
      </c>
      <c r="N141" s="4">
        <v>94</v>
      </c>
      <c r="O141" s="5">
        <f t="shared" si="2"/>
        <v>349</v>
      </c>
    </row>
    <row r="142" spans="1:15" x14ac:dyDescent="0.25">
      <c r="A142" s="4" t="s">
        <v>281</v>
      </c>
      <c r="B142" s="4" t="s">
        <v>396</v>
      </c>
      <c r="C142" s="4">
        <v>33</v>
      </c>
      <c r="D142" s="4">
        <v>24</v>
      </c>
      <c r="E142" s="4">
        <v>33</v>
      </c>
      <c r="F142" s="4">
        <v>26</v>
      </c>
      <c r="G142" s="4">
        <v>23</v>
      </c>
      <c r="H142" s="4">
        <v>41</v>
      </c>
      <c r="I142" s="4">
        <v>37</v>
      </c>
      <c r="J142" s="4">
        <v>32</v>
      </c>
      <c r="K142" s="4">
        <v>27</v>
      </c>
      <c r="L142" s="4">
        <v>10</v>
      </c>
      <c r="M142" s="4">
        <v>33</v>
      </c>
      <c r="N142" s="4">
        <v>26</v>
      </c>
      <c r="O142" s="5">
        <f t="shared" si="2"/>
        <v>345</v>
      </c>
    </row>
    <row r="143" spans="1:15" x14ac:dyDescent="0.25">
      <c r="A143" s="4" t="s">
        <v>285</v>
      </c>
      <c r="B143" s="4" t="s">
        <v>300</v>
      </c>
      <c r="C143" s="4">
        <v>37</v>
      </c>
      <c r="D143" s="4">
        <v>12</v>
      </c>
      <c r="E143" s="4">
        <v>17</v>
      </c>
      <c r="F143" s="4">
        <v>14</v>
      </c>
      <c r="G143" s="4">
        <v>10</v>
      </c>
      <c r="H143" s="4">
        <v>40</v>
      </c>
      <c r="I143" s="4">
        <v>16</v>
      </c>
      <c r="J143" s="4">
        <v>24</v>
      </c>
      <c r="K143" s="4">
        <v>21</v>
      </c>
      <c r="L143" s="4">
        <v>94</v>
      </c>
      <c r="M143" s="4">
        <v>27</v>
      </c>
      <c r="N143" s="4">
        <v>14</v>
      </c>
      <c r="O143" s="5">
        <f t="shared" si="2"/>
        <v>326</v>
      </c>
    </row>
    <row r="144" spans="1:15" x14ac:dyDescent="0.25">
      <c r="A144" s="4" t="s">
        <v>283</v>
      </c>
      <c r="B144" s="4" t="s">
        <v>118</v>
      </c>
      <c r="C144" s="4">
        <v>43</v>
      </c>
      <c r="D144" s="4">
        <v>15</v>
      </c>
      <c r="E144" s="4">
        <v>8</v>
      </c>
      <c r="F144" s="4">
        <v>36</v>
      </c>
      <c r="G144" s="4">
        <v>31</v>
      </c>
      <c r="H144" s="4">
        <v>64</v>
      </c>
      <c r="I144" s="4">
        <v>43</v>
      </c>
      <c r="J144" s="4">
        <v>9</v>
      </c>
      <c r="K144" s="4">
        <v>13</v>
      </c>
      <c r="L144" s="4">
        <v>24</v>
      </c>
      <c r="M144" s="4">
        <v>28</v>
      </c>
      <c r="N144" s="4">
        <v>4</v>
      </c>
      <c r="O144" s="5">
        <f t="shared" si="2"/>
        <v>318</v>
      </c>
    </row>
    <row r="145" spans="1:15" x14ac:dyDescent="0.25">
      <c r="A145" s="4" t="s">
        <v>287</v>
      </c>
      <c r="B145" s="4" t="s">
        <v>579</v>
      </c>
      <c r="C145" s="4">
        <v>122</v>
      </c>
      <c r="D145" s="4">
        <v>58</v>
      </c>
      <c r="E145" s="4">
        <v>40</v>
      </c>
      <c r="F145" s="4">
        <v>7</v>
      </c>
      <c r="G145" s="4">
        <v>7</v>
      </c>
      <c r="H145" s="4">
        <v>24</v>
      </c>
      <c r="I145" s="4">
        <v>1</v>
      </c>
      <c r="J145" s="4"/>
      <c r="K145" s="4"/>
      <c r="L145" s="4">
        <v>2</v>
      </c>
      <c r="M145" s="4"/>
      <c r="N145" s="4"/>
      <c r="O145" s="5">
        <f t="shared" si="2"/>
        <v>261</v>
      </c>
    </row>
    <row r="146" spans="1:15" x14ac:dyDescent="0.25">
      <c r="A146" s="4" t="s">
        <v>289</v>
      </c>
      <c r="B146" s="4" t="s">
        <v>218</v>
      </c>
      <c r="C146" s="4">
        <v>19</v>
      </c>
      <c r="D146" s="4">
        <v>10</v>
      </c>
      <c r="E146" s="4">
        <v>4</v>
      </c>
      <c r="F146" s="4">
        <v>11</v>
      </c>
      <c r="G146" s="4">
        <v>17</v>
      </c>
      <c r="H146" s="4">
        <v>22</v>
      </c>
      <c r="I146" s="4">
        <v>39</v>
      </c>
      <c r="J146" s="4">
        <v>34</v>
      </c>
      <c r="K146" s="4">
        <v>37</v>
      </c>
      <c r="L146" s="4">
        <v>17</v>
      </c>
      <c r="M146" s="4">
        <v>15</v>
      </c>
      <c r="N146" s="4">
        <v>17</v>
      </c>
      <c r="O146" s="5">
        <f t="shared" si="2"/>
        <v>242</v>
      </c>
    </row>
    <row r="147" spans="1:15" x14ac:dyDescent="0.25">
      <c r="A147" s="4" t="s">
        <v>291</v>
      </c>
      <c r="B147" s="4" t="s">
        <v>352</v>
      </c>
      <c r="C147" s="4">
        <v>9</v>
      </c>
      <c r="D147" s="4">
        <v>15</v>
      </c>
      <c r="E147" s="4">
        <v>24</v>
      </c>
      <c r="F147" s="4">
        <v>12</v>
      </c>
      <c r="G147" s="4">
        <v>11</v>
      </c>
      <c r="H147" s="4">
        <v>5</v>
      </c>
      <c r="I147" s="4">
        <v>13</v>
      </c>
      <c r="J147" s="4">
        <v>18</v>
      </c>
      <c r="K147" s="4">
        <v>15</v>
      </c>
      <c r="L147" s="4">
        <v>49</v>
      </c>
      <c r="M147" s="4">
        <v>6</v>
      </c>
      <c r="N147" s="4">
        <v>60</v>
      </c>
      <c r="O147" s="5">
        <f t="shared" si="2"/>
        <v>237</v>
      </c>
    </row>
    <row r="148" spans="1:15" x14ac:dyDescent="0.25">
      <c r="A148" s="4" t="s">
        <v>293</v>
      </c>
      <c r="B148" s="4" t="s">
        <v>324</v>
      </c>
      <c r="C148" s="4"/>
      <c r="D148" s="4">
        <v>6</v>
      </c>
      <c r="E148" s="4">
        <v>7</v>
      </c>
      <c r="F148" s="4">
        <v>8</v>
      </c>
      <c r="G148" s="4">
        <v>12</v>
      </c>
      <c r="H148" s="4">
        <v>21</v>
      </c>
      <c r="I148" s="4">
        <v>24</v>
      </c>
      <c r="J148" s="4">
        <v>47</v>
      </c>
      <c r="K148" s="4">
        <v>72</v>
      </c>
      <c r="L148" s="4">
        <v>24</v>
      </c>
      <c r="M148" s="4">
        <v>9</v>
      </c>
      <c r="N148" s="4">
        <v>6</v>
      </c>
      <c r="O148" s="5">
        <f t="shared" si="2"/>
        <v>236</v>
      </c>
    </row>
    <row r="149" spans="1:15" x14ac:dyDescent="0.25">
      <c r="A149" s="4" t="s">
        <v>295</v>
      </c>
      <c r="B149" s="4" t="s">
        <v>286</v>
      </c>
      <c r="C149" s="4">
        <v>23</v>
      </c>
      <c r="D149" s="4">
        <v>5</v>
      </c>
      <c r="E149" s="4">
        <v>28</v>
      </c>
      <c r="F149" s="4">
        <v>38</v>
      </c>
      <c r="G149" s="4">
        <v>13</v>
      </c>
      <c r="H149" s="4">
        <v>34</v>
      </c>
      <c r="I149" s="4">
        <v>15</v>
      </c>
      <c r="J149" s="4">
        <v>14</v>
      </c>
      <c r="K149" s="4">
        <v>23</v>
      </c>
      <c r="L149" s="4">
        <v>8</v>
      </c>
      <c r="M149" s="4">
        <v>13</v>
      </c>
      <c r="N149" s="4">
        <v>6</v>
      </c>
      <c r="O149" s="5">
        <f t="shared" si="2"/>
        <v>220</v>
      </c>
    </row>
    <row r="150" spans="1:15" x14ac:dyDescent="0.25">
      <c r="A150" s="4" t="s">
        <v>297</v>
      </c>
      <c r="B150" s="4" t="s">
        <v>288</v>
      </c>
      <c r="C150" s="4">
        <v>4</v>
      </c>
      <c r="D150" s="4">
        <v>2</v>
      </c>
      <c r="E150" s="4">
        <v>4</v>
      </c>
      <c r="F150" s="4">
        <v>9</v>
      </c>
      <c r="G150" s="4">
        <v>13</v>
      </c>
      <c r="H150" s="4">
        <v>41</v>
      </c>
      <c r="I150" s="4">
        <v>22</v>
      </c>
      <c r="J150" s="4">
        <v>21</v>
      </c>
      <c r="K150" s="4">
        <v>8</v>
      </c>
      <c r="L150" s="4">
        <v>39</v>
      </c>
      <c r="M150" s="4">
        <v>34</v>
      </c>
      <c r="N150" s="4">
        <v>16</v>
      </c>
      <c r="O150" s="5">
        <f t="shared" si="2"/>
        <v>213</v>
      </c>
    </row>
    <row r="151" spans="1:15" x14ac:dyDescent="0.25">
      <c r="A151" s="4" t="s">
        <v>299</v>
      </c>
      <c r="B151" s="4" t="s">
        <v>266</v>
      </c>
      <c r="C151" s="4">
        <v>7</v>
      </c>
      <c r="D151" s="4">
        <v>8</v>
      </c>
      <c r="E151" s="4">
        <v>10</v>
      </c>
      <c r="F151" s="4">
        <v>18</v>
      </c>
      <c r="G151" s="4">
        <v>12</v>
      </c>
      <c r="H151" s="4">
        <v>21</v>
      </c>
      <c r="I151" s="4">
        <v>25</v>
      </c>
      <c r="J151" s="4">
        <v>33</v>
      </c>
      <c r="K151" s="4">
        <v>25</v>
      </c>
      <c r="L151" s="4">
        <v>23</v>
      </c>
      <c r="M151" s="4">
        <v>22</v>
      </c>
      <c r="N151" s="4">
        <v>8</v>
      </c>
      <c r="O151" s="5">
        <f t="shared" si="2"/>
        <v>212</v>
      </c>
    </row>
    <row r="152" spans="1:15" x14ac:dyDescent="0.25">
      <c r="A152" s="4" t="s">
        <v>301</v>
      </c>
      <c r="B152" s="4" t="s">
        <v>312</v>
      </c>
      <c r="C152" s="4">
        <v>19</v>
      </c>
      <c r="D152" s="4">
        <v>23</v>
      </c>
      <c r="E152" s="4">
        <v>24</v>
      </c>
      <c r="F152" s="4">
        <v>29</v>
      </c>
      <c r="G152" s="4">
        <v>16</v>
      </c>
      <c r="H152" s="4">
        <v>9</v>
      </c>
      <c r="I152" s="4">
        <v>15</v>
      </c>
      <c r="J152" s="4">
        <v>10</v>
      </c>
      <c r="K152" s="4">
        <v>8</v>
      </c>
      <c r="L152" s="4">
        <v>24</v>
      </c>
      <c r="M152" s="4">
        <v>17</v>
      </c>
      <c r="N152" s="4">
        <v>16</v>
      </c>
      <c r="O152" s="5">
        <f t="shared" si="2"/>
        <v>210</v>
      </c>
    </row>
    <row r="153" spans="1:15" x14ac:dyDescent="0.25">
      <c r="A153" s="4" t="s">
        <v>303</v>
      </c>
      <c r="B153" s="4" t="s">
        <v>580</v>
      </c>
      <c r="C153" s="4">
        <v>34</v>
      </c>
      <c r="D153" s="4">
        <v>35</v>
      </c>
      <c r="E153" s="4">
        <v>23</v>
      </c>
      <c r="F153" s="4">
        <v>23</v>
      </c>
      <c r="G153" s="4">
        <v>19</v>
      </c>
      <c r="H153" s="4">
        <v>32</v>
      </c>
      <c r="I153" s="4">
        <v>18</v>
      </c>
      <c r="J153" s="4">
        <v>11</v>
      </c>
      <c r="K153" s="4">
        <v>12</v>
      </c>
      <c r="L153" s="4"/>
      <c r="M153" s="4">
        <v>1</v>
      </c>
      <c r="N153" s="4"/>
      <c r="O153" s="5">
        <f t="shared" si="2"/>
        <v>208</v>
      </c>
    </row>
    <row r="154" spans="1:15" x14ac:dyDescent="0.25">
      <c r="A154" s="4" t="s">
        <v>305</v>
      </c>
      <c r="B154" s="4" t="s">
        <v>274</v>
      </c>
      <c r="C154" s="4">
        <v>6</v>
      </c>
      <c r="D154" s="4">
        <v>14</v>
      </c>
      <c r="E154" s="4">
        <v>9</v>
      </c>
      <c r="F154" s="4">
        <v>4</v>
      </c>
      <c r="G154" s="4">
        <v>12</v>
      </c>
      <c r="H154" s="4">
        <v>31</v>
      </c>
      <c r="I154" s="4">
        <v>11</v>
      </c>
      <c r="J154" s="4">
        <v>17</v>
      </c>
      <c r="K154" s="4">
        <v>16</v>
      </c>
      <c r="L154" s="4">
        <v>35</v>
      </c>
      <c r="M154" s="4">
        <v>22</v>
      </c>
      <c r="N154" s="4">
        <v>30</v>
      </c>
      <c r="O154" s="5">
        <f t="shared" si="2"/>
        <v>207</v>
      </c>
    </row>
    <row r="155" spans="1:15" x14ac:dyDescent="0.25">
      <c r="A155" s="4" t="s">
        <v>307</v>
      </c>
      <c r="B155" s="4" t="s">
        <v>290</v>
      </c>
      <c r="C155" s="4">
        <v>4</v>
      </c>
      <c r="D155" s="4">
        <v>14</v>
      </c>
      <c r="E155" s="4">
        <v>12</v>
      </c>
      <c r="F155" s="4">
        <v>18</v>
      </c>
      <c r="G155" s="4">
        <v>13</v>
      </c>
      <c r="H155" s="4">
        <v>11</v>
      </c>
      <c r="I155" s="4">
        <v>24</v>
      </c>
      <c r="J155" s="4">
        <v>30</v>
      </c>
      <c r="K155" s="4">
        <v>23</v>
      </c>
      <c r="L155" s="4">
        <v>24</v>
      </c>
      <c r="M155" s="4">
        <v>18</v>
      </c>
      <c r="N155" s="4">
        <v>16</v>
      </c>
      <c r="O155" s="5">
        <f t="shared" si="2"/>
        <v>207</v>
      </c>
    </row>
    <row r="156" spans="1:15" x14ac:dyDescent="0.25">
      <c r="A156" s="4" t="s">
        <v>311</v>
      </c>
      <c r="B156" s="4" t="s">
        <v>252</v>
      </c>
      <c r="C156" s="4">
        <v>3</v>
      </c>
      <c r="D156" s="4">
        <v>3</v>
      </c>
      <c r="E156" s="4">
        <v>11</v>
      </c>
      <c r="F156" s="4">
        <v>17</v>
      </c>
      <c r="G156" s="4">
        <v>18</v>
      </c>
      <c r="H156" s="4">
        <v>15</v>
      </c>
      <c r="I156" s="4">
        <v>19</v>
      </c>
      <c r="J156" s="4">
        <v>36</v>
      </c>
      <c r="K156" s="4">
        <v>20</v>
      </c>
      <c r="L156" s="4">
        <v>21</v>
      </c>
      <c r="M156" s="4">
        <v>29</v>
      </c>
      <c r="N156" s="4">
        <v>14</v>
      </c>
      <c r="O156" s="5">
        <f t="shared" si="2"/>
        <v>206</v>
      </c>
    </row>
    <row r="157" spans="1:15" x14ac:dyDescent="0.25">
      <c r="A157" s="4" t="s">
        <v>309</v>
      </c>
      <c r="B157" s="4" t="s">
        <v>536</v>
      </c>
      <c r="C157" s="4">
        <v>33</v>
      </c>
      <c r="D157" s="4">
        <v>17</v>
      </c>
      <c r="E157" s="4">
        <v>23</v>
      </c>
      <c r="F157" s="4">
        <v>21</v>
      </c>
      <c r="G157" s="4">
        <v>21</v>
      </c>
      <c r="H157" s="4">
        <v>8</v>
      </c>
      <c r="I157" s="4">
        <v>21</v>
      </c>
      <c r="J157" s="4">
        <v>11</v>
      </c>
      <c r="K157" s="4">
        <v>12</v>
      </c>
      <c r="L157" s="4">
        <v>20</v>
      </c>
      <c r="M157" s="4">
        <v>15</v>
      </c>
      <c r="N157" s="4">
        <v>4</v>
      </c>
      <c r="O157" s="5">
        <f t="shared" si="2"/>
        <v>206</v>
      </c>
    </row>
    <row r="158" spans="1:15" x14ac:dyDescent="0.25">
      <c r="A158" s="4" t="s">
        <v>313</v>
      </c>
      <c r="B158" s="4" t="s">
        <v>326</v>
      </c>
      <c r="C158" s="4"/>
      <c r="D158" s="4">
        <v>75</v>
      </c>
      <c r="E158" s="4"/>
      <c r="F158" s="4"/>
      <c r="G158" s="4">
        <v>19</v>
      </c>
      <c r="H158" s="4">
        <v>17</v>
      </c>
      <c r="I158" s="4">
        <v>4</v>
      </c>
      <c r="J158" s="4">
        <v>14</v>
      </c>
      <c r="K158" s="4">
        <v>3</v>
      </c>
      <c r="L158" s="4">
        <v>73</v>
      </c>
      <c r="M158" s="4"/>
      <c r="N158" s="4"/>
      <c r="O158" s="5">
        <f t="shared" si="2"/>
        <v>205</v>
      </c>
    </row>
    <row r="159" spans="1:15" x14ac:dyDescent="0.25">
      <c r="A159" s="4" t="s">
        <v>317</v>
      </c>
      <c r="B159" s="4" t="s">
        <v>388</v>
      </c>
      <c r="C159" s="4">
        <v>16</v>
      </c>
      <c r="D159" s="4">
        <v>24</v>
      </c>
      <c r="E159" s="4">
        <v>31</v>
      </c>
      <c r="F159" s="4">
        <v>28</v>
      </c>
      <c r="G159" s="4">
        <v>22</v>
      </c>
      <c r="H159" s="4">
        <v>9</v>
      </c>
      <c r="I159" s="4">
        <v>5</v>
      </c>
      <c r="J159" s="4">
        <v>6</v>
      </c>
      <c r="K159" s="4">
        <v>10</v>
      </c>
      <c r="L159" s="4">
        <v>21</v>
      </c>
      <c r="M159" s="4">
        <v>18</v>
      </c>
      <c r="N159" s="4">
        <v>14</v>
      </c>
      <c r="O159" s="5">
        <f t="shared" si="2"/>
        <v>204</v>
      </c>
    </row>
    <row r="160" spans="1:15" x14ac:dyDescent="0.25">
      <c r="A160" s="4" t="s">
        <v>315</v>
      </c>
      <c r="B160" s="4" t="s">
        <v>458</v>
      </c>
      <c r="C160" s="4">
        <v>8</v>
      </c>
      <c r="D160" s="4">
        <v>8</v>
      </c>
      <c r="E160" s="4">
        <v>15</v>
      </c>
      <c r="F160" s="4">
        <v>28</v>
      </c>
      <c r="G160" s="4">
        <v>14</v>
      </c>
      <c r="H160" s="4">
        <v>15</v>
      </c>
      <c r="I160" s="4">
        <v>11</v>
      </c>
      <c r="J160" s="4">
        <v>21</v>
      </c>
      <c r="K160" s="4">
        <v>30</v>
      </c>
      <c r="L160" s="4">
        <v>22</v>
      </c>
      <c r="M160" s="4">
        <v>11</v>
      </c>
      <c r="N160" s="4">
        <v>16</v>
      </c>
      <c r="O160" s="5">
        <f t="shared" si="2"/>
        <v>199</v>
      </c>
    </row>
    <row r="161" spans="1:15" x14ac:dyDescent="0.25">
      <c r="A161" s="4" t="s">
        <v>319</v>
      </c>
      <c r="B161" s="4" t="s">
        <v>230</v>
      </c>
      <c r="C161" s="4">
        <v>20</v>
      </c>
      <c r="D161" s="4">
        <v>3</v>
      </c>
      <c r="E161" s="4">
        <v>18</v>
      </c>
      <c r="F161" s="4">
        <v>11</v>
      </c>
      <c r="G161" s="4">
        <v>50</v>
      </c>
      <c r="H161" s="4">
        <v>24</v>
      </c>
      <c r="I161" s="4">
        <v>9</v>
      </c>
      <c r="J161" s="4">
        <v>9</v>
      </c>
      <c r="K161" s="4">
        <v>6</v>
      </c>
      <c r="L161" s="4">
        <v>7</v>
      </c>
      <c r="M161" s="4">
        <v>18</v>
      </c>
      <c r="N161" s="4">
        <v>8</v>
      </c>
      <c r="O161" s="5">
        <f t="shared" si="2"/>
        <v>183</v>
      </c>
    </row>
    <row r="162" spans="1:15" x14ac:dyDescent="0.25">
      <c r="A162" s="4" t="s">
        <v>321</v>
      </c>
      <c r="B162" s="4" t="s">
        <v>394</v>
      </c>
      <c r="C162" s="4">
        <v>32</v>
      </c>
      <c r="D162" s="4">
        <v>12</v>
      </c>
      <c r="E162" s="4">
        <v>16</v>
      </c>
      <c r="F162" s="4">
        <v>9</v>
      </c>
      <c r="G162" s="4">
        <v>5</v>
      </c>
      <c r="H162" s="4">
        <v>12</v>
      </c>
      <c r="I162" s="4">
        <v>4</v>
      </c>
      <c r="J162" s="4">
        <v>20</v>
      </c>
      <c r="K162" s="4">
        <v>24</v>
      </c>
      <c r="L162" s="4">
        <v>11</v>
      </c>
      <c r="M162" s="4">
        <v>10</v>
      </c>
      <c r="N162" s="4">
        <v>23</v>
      </c>
      <c r="O162" s="5">
        <f t="shared" si="2"/>
        <v>178</v>
      </c>
    </row>
    <row r="163" spans="1:15" x14ac:dyDescent="0.25">
      <c r="A163" s="4" t="s">
        <v>323</v>
      </c>
      <c r="B163" s="4" t="s">
        <v>294</v>
      </c>
      <c r="C163" s="4">
        <v>23</v>
      </c>
      <c r="D163" s="4">
        <v>63</v>
      </c>
      <c r="E163" s="4">
        <v>1</v>
      </c>
      <c r="F163" s="4"/>
      <c r="G163" s="4">
        <v>30</v>
      </c>
      <c r="H163" s="4">
        <v>12</v>
      </c>
      <c r="I163" s="4">
        <v>2</v>
      </c>
      <c r="J163" s="4">
        <v>32</v>
      </c>
      <c r="K163" s="4">
        <v>8</v>
      </c>
      <c r="L163" s="4"/>
      <c r="M163" s="4">
        <v>2</v>
      </c>
      <c r="N163" s="4">
        <v>1</v>
      </c>
      <c r="O163" s="5">
        <f t="shared" si="2"/>
        <v>174</v>
      </c>
    </row>
    <row r="164" spans="1:15" x14ac:dyDescent="0.25">
      <c r="A164" s="4" t="s">
        <v>325</v>
      </c>
      <c r="B164" s="4" t="s">
        <v>521</v>
      </c>
      <c r="C164" s="4">
        <v>8</v>
      </c>
      <c r="D164" s="4">
        <v>9</v>
      </c>
      <c r="E164" s="4">
        <v>15</v>
      </c>
      <c r="F164" s="4">
        <v>16</v>
      </c>
      <c r="G164" s="4">
        <v>16</v>
      </c>
      <c r="H164" s="4">
        <v>24</v>
      </c>
      <c r="I164" s="4">
        <v>14</v>
      </c>
      <c r="J164" s="4">
        <v>20</v>
      </c>
      <c r="K164" s="4">
        <v>8</v>
      </c>
      <c r="L164" s="4">
        <v>17</v>
      </c>
      <c r="M164" s="4">
        <v>10</v>
      </c>
      <c r="N164" s="4">
        <v>15</v>
      </c>
      <c r="O164" s="5">
        <f t="shared" si="2"/>
        <v>172</v>
      </c>
    </row>
    <row r="165" spans="1:15" x14ac:dyDescent="0.25">
      <c r="A165" s="4" t="s">
        <v>329</v>
      </c>
      <c r="B165" s="4" t="s">
        <v>292</v>
      </c>
      <c r="C165" s="4">
        <v>11</v>
      </c>
      <c r="D165" s="4">
        <v>7</v>
      </c>
      <c r="E165" s="4">
        <v>10</v>
      </c>
      <c r="F165" s="4">
        <v>9</v>
      </c>
      <c r="G165" s="4">
        <v>14</v>
      </c>
      <c r="H165" s="4">
        <v>13</v>
      </c>
      <c r="I165" s="4">
        <v>19</v>
      </c>
      <c r="J165" s="4">
        <v>13</v>
      </c>
      <c r="K165" s="4">
        <v>27</v>
      </c>
      <c r="L165" s="4">
        <v>11</v>
      </c>
      <c r="M165" s="4">
        <v>22</v>
      </c>
      <c r="N165" s="4">
        <v>16</v>
      </c>
      <c r="O165" s="5">
        <f t="shared" si="2"/>
        <v>172</v>
      </c>
    </row>
    <row r="166" spans="1:15" x14ac:dyDescent="0.25">
      <c r="A166" s="4" t="s">
        <v>327</v>
      </c>
      <c r="B166" s="4" t="s">
        <v>490</v>
      </c>
      <c r="C166" s="4">
        <v>50</v>
      </c>
      <c r="D166" s="4">
        <v>43</v>
      </c>
      <c r="E166" s="4">
        <v>27</v>
      </c>
      <c r="F166" s="4">
        <v>18</v>
      </c>
      <c r="G166" s="4">
        <v>12</v>
      </c>
      <c r="H166" s="4">
        <v>8</v>
      </c>
      <c r="I166" s="4">
        <v>8</v>
      </c>
      <c r="J166" s="4">
        <v>1</v>
      </c>
      <c r="K166" s="4">
        <v>2</v>
      </c>
      <c r="L166" s="4"/>
      <c r="M166" s="4"/>
      <c r="N166" s="4"/>
      <c r="O166" s="5">
        <f t="shared" si="2"/>
        <v>169</v>
      </c>
    </row>
    <row r="167" spans="1:15" x14ac:dyDescent="0.25">
      <c r="A167" s="4" t="s">
        <v>331</v>
      </c>
      <c r="B167" s="4" t="s">
        <v>581</v>
      </c>
      <c r="C167" s="4">
        <v>23</v>
      </c>
      <c r="D167" s="4">
        <v>4</v>
      </c>
      <c r="E167" s="4">
        <v>14</v>
      </c>
      <c r="F167" s="4">
        <v>74</v>
      </c>
      <c r="G167" s="4">
        <v>19</v>
      </c>
      <c r="H167" s="4">
        <v>14</v>
      </c>
      <c r="I167" s="4">
        <v>9</v>
      </c>
      <c r="J167" s="4">
        <v>6</v>
      </c>
      <c r="K167" s="4"/>
      <c r="L167" s="4"/>
      <c r="M167" s="4"/>
      <c r="N167" s="4"/>
      <c r="O167" s="5">
        <f t="shared" si="2"/>
        <v>163</v>
      </c>
    </row>
    <row r="168" spans="1:15" x14ac:dyDescent="0.25">
      <c r="A168" s="4" t="s">
        <v>335</v>
      </c>
      <c r="B168" s="4" t="s">
        <v>526</v>
      </c>
      <c r="C168" s="4">
        <v>15</v>
      </c>
      <c r="D168" s="4">
        <v>60</v>
      </c>
      <c r="E168" s="4">
        <v>13</v>
      </c>
      <c r="F168" s="4">
        <v>28</v>
      </c>
      <c r="G168" s="4">
        <v>11</v>
      </c>
      <c r="H168" s="4">
        <v>3</v>
      </c>
      <c r="I168" s="4">
        <v>1</v>
      </c>
      <c r="J168" s="4">
        <v>5</v>
      </c>
      <c r="K168" s="4">
        <v>6</v>
      </c>
      <c r="L168" s="4">
        <v>9</v>
      </c>
      <c r="M168" s="4">
        <v>2</v>
      </c>
      <c r="N168" s="4">
        <v>9</v>
      </c>
      <c r="O168" s="5">
        <f t="shared" si="2"/>
        <v>162</v>
      </c>
    </row>
    <row r="169" spans="1:15" x14ac:dyDescent="0.25">
      <c r="A169" s="4" t="s">
        <v>333</v>
      </c>
      <c r="B169" s="4" t="s">
        <v>308</v>
      </c>
      <c r="C169" s="4">
        <v>5</v>
      </c>
      <c r="D169" s="4">
        <v>8</v>
      </c>
      <c r="E169" s="4">
        <v>9</v>
      </c>
      <c r="F169" s="4">
        <v>10</v>
      </c>
      <c r="G169" s="4">
        <v>17</v>
      </c>
      <c r="H169" s="4">
        <v>21</v>
      </c>
      <c r="I169" s="4">
        <v>19</v>
      </c>
      <c r="J169" s="4">
        <v>29</v>
      </c>
      <c r="K169" s="4">
        <v>15</v>
      </c>
      <c r="L169" s="4">
        <v>9</v>
      </c>
      <c r="M169" s="4">
        <v>5</v>
      </c>
      <c r="N169" s="4">
        <v>7</v>
      </c>
      <c r="O169" s="5">
        <f t="shared" si="2"/>
        <v>154</v>
      </c>
    </row>
    <row r="170" spans="1:15" x14ac:dyDescent="0.25">
      <c r="A170" s="4" t="s">
        <v>337</v>
      </c>
      <c r="B170" s="4" t="s">
        <v>280</v>
      </c>
      <c r="C170" s="4">
        <v>6</v>
      </c>
      <c r="D170" s="4">
        <v>5</v>
      </c>
      <c r="E170" s="4">
        <v>3</v>
      </c>
      <c r="F170" s="4">
        <v>1</v>
      </c>
      <c r="G170" s="4"/>
      <c r="H170" s="4">
        <v>12</v>
      </c>
      <c r="I170" s="4">
        <v>21</v>
      </c>
      <c r="J170" s="4">
        <v>34</v>
      </c>
      <c r="K170" s="4">
        <v>17</v>
      </c>
      <c r="L170" s="4">
        <v>12</v>
      </c>
      <c r="M170" s="4">
        <v>12</v>
      </c>
      <c r="N170" s="4">
        <v>15</v>
      </c>
      <c r="O170" s="5">
        <f t="shared" si="2"/>
        <v>138</v>
      </c>
    </row>
    <row r="171" spans="1:15" x14ac:dyDescent="0.25">
      <c r="A171" s="4" t="s">
        <v>341</v>
      </c>
      <c r="B171" s="4" t="s">
        <v>480</v>
      </c>
      <c r="C171" s="4">
        <v>13</v>
      </c>
      <c r="D171" s="4">
        <v>11</v>
      </c>
      <c r="E171" s="4">
        <v>14</v>
      </c>
      <c r="F171" s="4">
        <v>11</v>
      </c>
      <c r="G171" s="4">
        <v>9</v>
      </c>
      <c r="H171" s="4">
        <v>16</v>
      </c>
      <c r="I171" s="4">
        <v>13</v>
      </c>
      <c r="J171" s="4">
        <v>15</v>
      </c>
      <c r="K171" s="4">
        <v>13</v>
      </c>
      <c r="L171" s="4">
        <v>4</v>
      </c>
      <c r="M171" s="4">
        <v>12</v>
      </c>
      <c r="N171" s="4">
        <v>6</v>
      </c>
      <c r="O171" s="5">
        <f t="shared" si="2"/>
        <v>137</v>
      </c>
    </row>
    <row r="172" spans="1:15" x14ac:dyDescent="0.25">
      <c r="A172" s="4" t="s">
        <v>339</v>
      </c>
      <c r="B172" s="4" t="s">
        <v>540</v>
      </c>
      <c r="C172" s="4">
        <v>52</v>
      </c>
      <c r="D172" s="4">
        <v>28</v>
      </c>
      <c r="E172" s="4">
        <v>9</v>
      </c>
      <c r="F172" s="4">
        <v>10</v>
      </c>
      <c r="G172" s="4">
        <v>4</v>
      </c>
      <c r="H172" s="4">
        <v>2</v>
      </c>
      <c r="I172" s="4">
        <v>1</v>
      </c>
      <c r="J172" s="4">
        <v>5</v>
      </c>
      <c r="K172" s="4">
        <v>3</v>
      </c>
      <c r="L172" s="4">
        <v>4</v>
      </c>
      <c r="M172" s="4">
        <v>13</v>
      </c>
      <c r="N172" s="4">
        <v>4</v>
      </c>
      <c r="O172" s="5">
        <f t="shared" si="2"/>
        <v>135</v>
      </c>
    </row>
    <row r="173" spans="1:15" x14ac:dyDescent="0.25">
      <c r="A173" s="4" t="s">
        <v>343</v>
      </c>
      <c r="B173" s="4" t="s">
        <v>426</v>
      </c>
      <c r="C173" s="4">
        <v>4</v>
      </c>
      <c r="D173" s="4">
        <v>10</v>
      </c>
      <c r="E173" s="4">
        <v>1</v>
      </c>
      <c r="F173" s="4">
        <v>4</v>
      </c>
      <c r="G173" s="4">
        <v>17</v>
      </c>
      <c r="H173" s="4">
        <v>43</v>
      </c>
      <c r="I173" s="4">
        <v>16</v>
      </c>
      <c r="J173" s="4">
        <v>37</v>
      </c>
      <c r="K173" s="4"/>
      <c r="L173" s="4"/>
      <c r="M173" s="4"/>
      <c r="N173" s="4"/>
      <c r="O173" s="5">
        <f t="shared" si="2"/>
        <v>132</v>
      </c>
    </row>
    <row r="174" spans="1:15" x14ac:dyDescent="0.25">
      <c r="A174" s="4" t="s">
        <v>345</v>
      </c>
      <c r="B174" s="4" t="s">
        <v>384</v>
      </c>
      <c r="C174" s="4">
        <v>3</v>
      </c>
      <c r="D174" s="4">
        <v>1</v>
      </c>
      <c r="E174" s="4">
        <v>1</v>
      </c>
      <c r="F174" s="4"/>
      <c r="G174" s="4"/>
      <c r="H174" s="4"/>
      <c r="I174" s="4"/>
      <c r="J174" s="4"/>
      <c r="K174" s="4">
        <v>7</v>
      </c>
      <c r="L174" s="4">
        <v>61</v>
      </c>
      <c r="M174" s="4">
        <v>17</v>
      </c>
      <c r="N174" s="4">
        <v>40</v>
      </c>
      <c r="O174" s="5">
        <f t="shared" si="2"/>
        <v>130</v>
      </c>
    </row>
    <row r="175" spans="1:15" x14ac:dyDescent="0.25">
      <c r="A175" s="4" t="s">
        <v>347</v>
      </c>
      <c r="B175" s="4" t="s">
        <v>350</v>
      </c>
      <c r="C175" s="4">
        <v>14</v>
      </c>
      <c r="D175" s="4">
        <v>17</v>
      </c>
      <c r="E175" s="4">
        <v>11</v>
      </c>
      <c r="F175" s="4">
        <v>6</v>
      </c>
      <c r="G175" s="4">
        <v>7</v>
      </c>
      <c r="H175" s="4">
        <v>10</v>
      </c>
      <c r="I175" s="4">
        <v>12</v>
      </c>
      <c r="J175" s="4">
        <v>15</v>
      </c>
      <c r="K175" s="4">
        <v>17</v>
      </c>
      <c r="L175" s="4">
        <v>9</v>
      </c>
      <c r="M175" s="4">
        <v>3</v>
      </c>
      <c r="N175" s="4">
        <v>6</v>
      </c>
      <c r="O175" s="5">
        <f t="shared" si="2"/>
        <v>127</v>
      </c>
    </row>
    <row r="176" spans="1:15" x14ac:dyDescent="0.25">
      <c r="A176" s="4" t="s">
        <v>353</v>
      </c>
      <c r="B176" s="4" t="s">
        <v>356</v>
      </c>
      <c r="C176" s="4"/>
      <c r="D176" s="4">
        <v>2</v>
      </c>
      <c r="E176" s="4">
        <v>14</v>
      </c>
      <c r="F176" s="4"/>
      <c r="G176" s="4">
        <v>4</v>
      </c>
      <c r="H176" s="4">
        <v>82</v>
      </c>
      <c r="I176" s="4">
        <v>3</v>
      </c>
      <c r="J176" s="4"/>
      <c r="K176" s="4"/>
      <c r="L176" s="4">
        <v>11</v>
      </c>
      <c r="M176" s="4"/>
      <c r="N176" s="4">
        <v>8</v>
      </c>
      <c r="O176" s="5">
        <f t="shared" si="2"/>
        <v>124</v>
      </c>
    </row>
    <row r="177" spans="1:15" x14ac:dyDescent="0.25">
      <c r="A177" s="4" t="s">
        <v>351</v>
      </c>
      <c r="B177" s="4" t="s">
        <v>582</v>
      </c>
      <c r="C177" s="4">
        <v>8</v>
      </c>
      <c r="D177" s="4">
        <v>11</v>
      </c>
      <c r="E177" s="4">
        <v>21</v>
      </c>
      <c r="F177" s="4">
        <v>22</v>
      </c>
      <c r="G177" s="4">
        <v>11</v>
      </c>
      <c r="H177" s="4">
        <v>19</v>
      </c>
      <c r="I177" s="4">
        <v>15</v>
      </c>
      <c r="J177" s="4">
        <v>6</v>
      </c>
      <c r="K177" s="4">
        <v>7</v>
      </c>
      <c r="L177" s="4">
        <v>3</v>
      </c>
      <c r="M177" s="4">
        <v>1</v>
      </c>
      <c r="N177" s="4"/>
      <c r="O177" s="5">
        <f t="shared" si="2"/>
        <v>124</v>
      </c>
    </row>
    <row r="178" spans="1:15" x14ac:dyDescent="0.25">
      <c r="A178" s="4" t="s">
        <v>349</v>
      </c>
      <c r="B178" s="4" t="s">
        <v>424</v>
      </c>
      <c r="C178" s="4">
        <v>13</v>
      </c>
      <c r="D178" s="4"/>
      <c r="E178" s="4">
        <v>1</v>
      </c>
      <c r="F178" s="4"/>
      <c r="G178" s="4"/>
      <c r="H178" s="4">
        <v>1</v>
      </c>
      <c r="I178" s="4">
        <v>2</v>
      </c>
      <c r="J178" s="4">
        <v>4</v>
      </c>
      <c r="K178" s="4">
        <v>1</v>
      </c>
      <c r="L178" s="4"/>
      <c r="M178" s="4">
        <v>97</v>
      </c>
      <c r="N178" s="4">
        <v>4</v>
      </c>
      <c r="O178" s="5">
        <f t="shared" si="2"/>
        <v>123</v>
      </c>
    </row>
    <row r="179" spans="1:15" x14ac:dyDescent="0.25">
      <c r="A179" s="4" t="s">
        <v>355</v>
      </c>
      <c r="B179" s="4" t="s">
        <v>378</v>
      </c>
      <c r="C179" s="4">
        <v>4</v>
      </c>
      <c r="D179" s="4">
        <v>1</v>
      </c>
      <c r="E179" s="4">
        <v>1</v>
      </c>
      <c r="F179" s="4"/>
      <c r="G179" s="4"/>
      <c r="H179" s="4"/>
      <c r="I179" s="4"/>
      <c r="J179" s="4">
        <v>28</v>
      </c>
      <c r="K179" s="4">
        <v>17</v>
      </c>
      <c r="L179" s="4"/>
      <c r="M179" s="4">
        <v>4</v>
      </c>
      <c r="N179" s="4">
        <v>66</v>
      </c>
      <c r="O179" s="5">
        <f t="shared" si="2"/>
        <v>121</v>
      </c>
    </row>
    <row r="180" spans="1:15" x14ac:dyDescent="0.25">
      <c r="A180" s="4" t="s">
        <v>357</v>
      </c>
      <c r="B180" s="4" t="s">
        <v>262</v>
      </c>
      <c r="C180" s="4">
        <v>1</v>
      </c>
      <c r="D180" s="4">
        <v>1</v>
      </c>
      <c r="E180" s="4">
        <v>2</v>
      </c>
      <c r="F180" s="4">
        <v>30</v>
      </c>
      <c r="G180" s="4">
        <v>17</v>
      </c>
      <c r="H180" s="4">
        <v>8</v>
      </c>
      <c r="I180" s="4">
        <v>8</v>
      </c>
      <c r="J180" s="4">
        <v>14</v>
      </c>
      <c r="K180" s="4">
        <v>8</v>
      </c>
      <c r="L180" s="4">
        <v>17</v>
      </c>
      <c r="M180" s="4">
        <v>3</v>
      </c>
      <c r="N180" s="4">
        <v>9</v>
      </c>
      <c r="O180" s="5">
        <f t="shared" si="2"/>
        <v>118</v>
      </c>
    </row>
    <row r="181" spans="1:15" x14ac:dyDescent="0.25">
      <c r="A181" s="4" t="s">
        <v>361</v>
      </c>
      <c r="B181" s="4" t="s">
        <v>268</v>
      </c>
      <c r="C181" s="4">
        <v>20</v>
      </c>
      <c r="D181" s="4">
        <v>10</v>
      </c>
      <c r="E181" s="4">
        <v>5</v>
      </c>
      <c r="F181" s="4">
        <v>2</v>
      </c>
      <c r="G181" s="4">
        <v>1</v>
      </c>
      <c r="H181" s="4">
        <v>1</v>
      </c>
      <c r="I181" s="4"/>
      <c r="J181" s="4"/>
      <c r="K181" s="4"/>
      <c r="L181" s="4">
        <v>4</v>
      </c>
      <c r="M181" s="4">
        <v>38</v>
      </c>
      <c r="N181" s="4">
        <v>33</v>
      </c>
      <c r="O181" s="5">
        <f t="shared" si="2"/>
        <v>114</v>
      </c>
    </row>
    <row r="182" spans="1:15" x14ac:dyDescent="0.25">
      <c r="A182" s="4" t="s">
        <v>359</v>
      </c>
      <c r="B182" s="4" t="s">
        <v>304</v>
      </c>
      <c r="C182" s="4">
        <v>6</v>
      </c>
      <c r="D182" s="4">
        <v>7</v>
      </c>
      <c r="E182" s="4">
        <v>11</v>
      </c>
      <c r="F182" s="4">
        <v>14</v>
      </c>
      <c r="G182" s="4">
        <v>14</v>
      </c>
      <c r="H182" s="4">
        <v>40</v>
      </c>
      <c r="I182" s="4">
        <v>10</v>
      </c>
      <c r="J182" s="4">
        <v>6</v>
      </c>
      <c r="K182" s="4"/>
      <c r="L182" s="4">
        <v>2</v>
      </c>
      <c r="M182" s="4">
        <v>1</v>
      </c>
      <c r="N182" s="4"/>
      <c r="O182" s="5">
        <f t="shared" si="2"/>
        <v>111</v>
      </c>
    </row>
    <row r="183" spans="1:15" x14ac:dyDescent="0.25">
      <c r="A183" s="4" t="s">
        <v>365</v>
      </c>
      <c r="B183" s="4" t="s">
        <v>338</v>
      </c>
      <c r="C183" s="4">
        <v>7</v>
      </c>
      <c r="D183" s="4">
        <v>1</v>
      </c>
      <c r="E183" s="4">
        <v>2</v>
      </c>
      <c r="F183" s="4">
        <v>2</v>
      </c>
      <c r="G183" s="4">
        <v>4</v>
      </c>
      <c r="H183" s="4">
        <v>14</v>
      </c>
      <c r="I183" s="4">
        <v>25</v>
      </c>
      <c r="J183" s="4">
        <v>18</v>
      </c>
      <c r="K183" s="4">
        <v>17</v>
      </c>
      <c r="L183" s="4">
        <v>7</v>
      </c>
      <c r="M183" s="4">
        <v>6</v>
      </c>
      <c r="N183" s="4">
        <v>3</v>
      </c>
      <c r="O183" s="5">
        <f t="shared" si="2"/>
        <v>106</v>
      </c>
    </row>
    <row r="184" spans="1:15" x14ac:dyDescent="0.25">
      <c r="A184" s="4" t="s">
        <v>363</v>
      </c>
      <c r="B184" s="4" t="s">
        <v>537</v>
      </c>
      <c r="C184" s="4"/>
      <c r="D184" s="4"/>
      <c r="E184" s="4">
        <v>6</v>
      </c>
      <c r="F184" s="4">
        <v>5</v>
      </c>
      <c r="G184" s="4">
        <v>77</v>
      </c>
      <c r="H184" s="4">
        <v>11</v>
      </c>
      <c r="I184" s="4"/>
      <c r="J184" s="4">
        <v>3</v>
      </c>
      <c r="K184" s="4">
        <v>2</v>
      </c>
      <c r="L184" s="4"/>
      <c r="M184" s="4"/>
      <c r="N184" s="4">
        <v>1</v>
      </c>
      <c r="O184" s="5">
        <f t="shared" si="2"/>
        <v>105</v>
      </c>
    </row>
    <row r="185" spans="1:15" x14ac:dyDescent="0.25">
      <c r="A185" s="4" t="s">
        <v>369</v>
      </c>
      <c r="B185" s="4" t="s">
        <v>332</v>
      </c>
      <c r="C185" s="4">
        <v>8</v>
      </c>
      <c r="D185" s="4">
        <v>6</v>
      </c>
      <c r="E185" s="4">
        <v>2</v>
      </c>
      <c r="F185" s="4">
        <v>9</v>
      </c>
      <c r="G185" s="4">
        <v>11</v>
      </c>
      <c r="H185" s="4">
        <v>10</v>
      </c>
      <c r="I185" s="4">
        <v>12</v>
      </c>
      <c r="J185" s="4">
        <v>3</v>
      </c>
      <c r="K185" s="4">
        <v>3</v>
      </c>
      <c r="L185" s="4">
        <v>5</v>
      </c>
      <c r="M185" s="4">
        <v>13</v>
      </c>
      <c r="N185" s="4">
        <v>21</v>
      </c>
      <c r="O185" s="5">
        <f t="shared" si="2"/>
        <v>103</v>
      </c>
    </row>
    <row r="186" spans="1:15" x14ac:dyDescent="0.25">
      <c r="A186" s="4" t="s">
        <v>367</v>
      </c>
      <c r="B186" s="4" t="s">
        <v>547</v>
      </c>
      <c r="C186" s="4">
        <v>6</v>
      </c>
      <c r="D186" s="4">
        <v>14</v>
      </c>
      <c r="E186" s="4">
        <v>17</v>
      </c>
      <c r="F186" s="4">
        <v>17</v>
      </c>
      <c r="G186" s="4">
        <v>18</v>
      </c>
      <c r="H186" s="4">
        <v>18</v>
      </c>
      <c r="I186" s="4">
        <v>10</v>
      </c>
      <c r="J186" s="4">
        <v>1</v>
      </c>
      <c r="K186" s="4"/>
      <c r="L186" s="4"/>
      <c r="M186" s="4"/>
      <c r="N186" s="4"/>
      <c r="O186" s="5">
        <f t="shared" si="2"/>
        <v>101</v>
      </c>
    </row>
    <row r="187" spans="1:15" x14ac:dyDescent="0.25">
      <c r="A187" s="4" t="s">
        <v>371</v>
      </c>
      <c r="B187" s="4" t="s">
        <v>583</v>
      </c>
      <c r="C187" s="4"/>
      <c r="D187" s="4"/>
      <c r="E187" s="4"/>
      <c r="F187" s="4"/>
      <c r="G187" s="4">
        <v>1</v>
      </c>
      <c r="H187" s="4">
        <v>32</v>
      </c>
      <c r="I187" s="4">
        <v>35</v>
      </c>
      <c r="J187" s="4">
        <v>17</v>
      </c>
      <c r="K187" s="4">
        <v>3</v>
      </c>
      <c r="L187" s="4">
        <v>2</v>
      </c>
      <c r="M187" s="4">
        <v>6</v>
      </c>
      <c r="N187" s="4">
        <v>3</v>
      </c>
      <c r="O187" s="5">
        <f t="shared" si="2"/>
        <v>99</v>
      </c>
    </row>
    <row r="188" spans="1:15" x14ac:dyDescent="0.25">
      <c r="A188" s="4" t="s">
        <v>373</v>
      </c>
      <c r="B188" s="4" t="s">
        <v>468</v>
      </c>
      <c r="C188" s="4">
        <v>11</v>
      </c>
      <c r="D188" s="4">
        <v>9</v>
      </c>
      <c r="E188" s="4">
        <v>13</v>
      </c>
      <c r="F188" s="4">
        <v>4</v>
      </c>
      <c r="G188" s="4">
        <v>13</v>
      </c>
      <c r="H188" s="4">
        <v>16</v>
      </c>
      <c r="I188" s="4">
        <v>14</v>
      </c>
      <c r="J188" s="4">
        <v>3</v>
      </c>
      <c r="K188" s="4">
        <v>2</v>
      </c>
      <c r="L188" s="4">
        <v>5</v>
      </c>
      <c r="M188" s="4">
        <v>5</v>
      </c>
      <c r="N188" s="4">
        <v>3</v>
      </c>
      <c r="O188" s="5">
        <f t="shared" si="2"/>
        <v>98</v>
      </c>
    </row>
    <row r="189" spans="1:15" x14ac:dyDescent="0.25">
      <c r="A189" s="4" t="s">
        <v>375</v>
      </c>
      <c r="B189" s="4" t="s">
        <v>370</v>
      </c>
      <c r="C189" s="4">
        <v>11</v>
      </c>
      <c r="D189" s="4">
        <v>26</v>
      </c>
      <c r="E189" s="4">
        <v>12</v>
      </c>
      <c r="F189" s="4">
        <v>10</v>
      </c>
      <c r="G189" s="4">
        <v>6</v>
      </c>
      <c r="H189" s="4">
        <v>14</v>
      </c>
      <c r="I189" s="4">
        <v>5</v>
      </c>
      <c r="J189" s="4">
        <v>3</v>
      </c>
      <c r="K189" s="4">
        <v>3</v>
      </c>
      <c r="L189" s="4">
        <v>4</v>
      </c>
      <c r="M189" s="4">
        <v>2</v>
      </c>
      <c r="N189" s="4"/>
      <c r="O189" s="5">
        <f t="shared" si="2"/>
        <v>96</v>
      </c>
    </row>
    <row r="190" spans="1:15" x14ac:dyDescent="0.25">
      <c r="A190" s="4" t="s">
        <v>377</v>
      </c>
      <c r="B190" s="4" t="s">
        <v>342</v>
      </c>
      <c r="C190" s="4">
        <v>11</v>
      </c>
      <c r="D190" s="4">
        <v>14</v>
      </c>
      <c r="E190" s="4">
        <v>6</v>
      </c>
      <c r="F190" s="4">
        <v>7</v>
      </c>
      <c r="G190" s="4">
        <v>14</v>
      </c>
      <c r="H190" s="4">
        <v>9</v>
      </c>
      <c r="I190" s="4">
        <v>8</v>
      </c>
      <c r="J190" s="4">
        <v>9</v>
      </c>
      <c r="K190" s="4">
        <v>7</v>
      </c>
      <c r="L190" s="4">
        <v>3</v>
      </c>
      <c r="M190" s="4">
        <v>1</v>
      </c>
      <c r="N190" s="4"/>
      <c r="O190" s="5">
        <f t="shared" si="2"/>
        <v>89</v>
      </c>
    </row>
    <row r="191" spans="1:15" x14ac:dyDescent="0.25">
      <c r="A191" s="4" t="s">
        <v>379</v>
      </c>
      <c r="B191" s="4" t="s">
        <v>525</v>
      </c>
      <c r="C191" s="4">
        <v>3</v>
      </c>
      <c r="D191" s="4">
        <v>4</v>
      </c>
      <c r="E191" s="4">
        <v>4</v>
      </c>
      <c r="F191" s="4">
        <v>3</v>
      </c>
      <c r="G191" s="4">
        <v>10</v>
      </c>
      <c r="H191" s="4">
        <v>12</v>
      </c>
      <c r="I191" s="4">
        <v>16</v>
      </c>
      <c r="J191" s="4">
        <v>16</v>
      </c>
      <c r="K191" s="4">
        <v>8</v>
      </c>
      <c r="L191" s="4">
        <v>4</v>
      </c>
      <c r="M191" s="4">
        <v>3</v>
      </c>
      <c r="N191" s="4">
        <v>4</v>
      </c>
      <c r="O191" s="5">
        <f t="shared" si="2"/>
        <v>87</v>
      </c>
    </row>
    <row r="192" spans="1:15" x14ac:dyDescent="0.25">
      <c r="A192" s="4" t="s">
        <v>383</v>
      </c>
      <c r="B192" s="4" t="s">
        <v>192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>
        <v>38</v>
      </c>
      <c r="N192" s="4">
        <v>45</v>
      </c>
      <c r="O192" s="5">
        <f t="shared" si="2"/>
        <v>83</v>
      </c>
    </row>
    <row r="193" spans="1:15" x14ac:dyDescent="0.25">
      <c r="A193" s="4" t="s">
        <v>381</v>
      </c>
      <c r="B193" s="4" t="s">
        <v>386</v>
      </c>
      <c r="C193" s="4">
        <v>10</v>
      </c>
      <c r="D193" s="4">
        <v>15</v>
      </c>
      <c r="E193" s="4">
        <v>9</v>
      </c>
      <c r="F193" s="4">
        <v>5</v>
      </c>
      <c r="G193" s="4">
        <v>7</v>
      </c>
      <c r="H193" s="4">
        <v>10</v>
      </c>
      <c r="I193" s="4">
        <v>9</v>
      </c>
      <c r="J193" s="4">
        <v>5</v>
      </c>
      <c r="K193" s="4">
        <v>3</v>
      </c>
      <c r="L193" s="4">
        <v>3</v>
      </c>
      <c r="M193" s="4">
        <v>2</v>
      </c>
      <c r="N193" s="4">
        <v>1</v>
      </c>
      <c r="O193" s="5">
        <f t="shared" si="2"/>
        <v>79</v>
      </c>
    </row>
    <row r="194" spans="1:15" x14ac:dyDescent="0.25">
      <c r="A194" s="4" t="s">
        <v>385</v>
      </c>
      <c r="B194" s="4" t="s">
        <v>532</v>
      </c>
      <c r="C194" s="4">
        <v>8</v>
      </c>
      <c r="D194" s="4">
        <v>3</v>
      </c>
      <c r="E194" s="4"/>
      <c r="F194" s="4">
        <v>2</v>
      </c>
      <c r="G194" s="4">
        <v>3</v>
      </c>
      <c r="H194" s="4">
        <v>5</v>
      </c>
      <c r="I194" s="4">
        <v>3</v>
      </c>
      <c r="J194" s="4">
        <v>9</v>
      </c>
      <c r="K194" s="4">
        <v>12</v>
      </c>
      <c r="L194" s="4">
        <v>11</v>
      </c>
      <c r="M194" s="4">
        <v>10</v>
      </c>
      <c r="N194" s="4">
        <v>10</v>
      </c>
      <c r="O194" s="5">
        <f t="shared" si="2"/>
        <v>76</v>
      </c>
    </row>
    <row r="195" spans="1:15" x14ac:dyDescent="0.25">
      <c r="A195" s="4" t="s">
        <v>389</v>
      </c>
      <c r="B195" s="4" t="s">
        <v>436</v>
      </c>
      <c r="C195" s="4">
        <v>15</v>
      </c>
      <c r="D195" s="4">
        <v>9</v>
      </c>
      <c r="E195" s="4">
        <v>9</v>
      </c>
      <c r="F195" s="4">
        <v>10</v>
      </c>
      <c r="G195" s="4">
        <v>7</v>
      </c>
      <c r="H195" s="4">
        <v>8</v>
      </c>
      <c r="I195" s="4">
        <v>6</v>
      </c>
      <c r="J195" s="4">
        <v>1</v>
      </c>
      <c r="K195" s="4">
        <v>5</v>
      </c>
      <c r="L195" s="4"/>
      <c r="M195" s="4">
        <v>1</v>
      </c>
      <c r="N195" s="4">
        <v>1</v>
      </c>
      <c r="O195" s="5">
        <f t="shared" si="2"/>
        <v>72</v>
      </c>
    </row>
    <row r="196" spans="1:15" x14ac:dyDescent="0.25">
      <c r="A196" s="4" t="s">
        <v>387</v>
      </c>
      <c r="B196" s="4" t="s">
        <v>194</v>
      </c>
      <c r="C196" s="4">
        <v>4</v>
      </c>
      <c r="D196" s="4">
        <v>14</v>
      </c>
      <c r="E196" s="4">
        <v>12</v>
      </c>
      <c r="F196" s="4">
        <v>9</v>
      </c>
      <c r="G196" s="4">
        <v>10</v>
      </c>
      <c r="H196" s="4">
        <v>2</v>
      </c>
      <c r="I196" s="4">
        <v>4</v>
      </c>
      <c r="J196" s="4">
        <v>2</v>
      </c>
      <c r="K196" s="4">
        <v>5</v>
      </c>
      <c r="L196" s="4"/>
      <c r="M196" s="4">
        <v>1</v>
      </c>
      <c r="N196" s="4">
        <v>4</v>
      </c>
      <c r="O196" s="5">
        <f t="shared" ref="O196:O259" si="3">SUM(C196:N196)</f>
        <v>67</v>
      </c>
    </row>
    <row r="197" spans="1:15" x14ac:dyDescent="0.25">
      <c r="A197" s="4" t="s">
        <v>391</v>
      </c>
      <c r="B197" s="4" t="s">
        <v>584</v>
      </c>
      <c r="C197" s="4">
        <v>34</v>
      </c>
      <c r="D197" s="4">
        <v>16</v>
      </c>
      <c r="E197" s="4">
        <v>8</v>
      </c>
      <c r="F197" s="4">
        <v>1</v>
      </c>
      <c r="G197" s="4">
        <v>2</v>
      </c>
      <c r="H197" s="4">
        <v>1</v>
      </c>
      <c r="I197" s="4">
        <v>1</v>
      </c>
      <c r="J197" s="4">
        <v>1</v>
      </c>
      <c r="K197" s="4"/>
      <c r="L197" s="4"/>
      <c r="M197" s="4"/>
      <c r="N197" s="4"/>
      <c r="O197" s="5">
        <f t="shared" si="3"/>
        <v>64</v>
      </c>
    </row>
    <row r="198" spans="1:15" x14ac:dyDescent="0.25">
      <c r="A198" s="4" t="s">
        <v>393</v>
      </c>
      <c r="B198" s="4" t="s">
        <v>585</v>
      </c>
      <c r="C198" s="4">
        <v>15</v>
      </c>
      <c r="D198" s="4">
        <v>11</v>
      </c>
      <c r="E198" s="4">
        <v>14</v>
      </c>
      <c r="F198" s="4">
        <v>8</v>
      </c>
      <c r="G198" s="4">
        <v>4</v>
      </c>
      <c r="H198" s="4">
        <v>3</v>
      </c>
      <c r="I198" s="4">
        <v>2</v>
      </c>
      <c r="J198" s="4">
        <v>3</v>
      </c>
      <c r="K198" s="4"/>
      <c r="L198" s="4"/>
      <c r="M198" s="4"/>
      <c r="N198" s="4">
        <v>1</v>
      </c>
      <c r="O198" s="5">
        <f t="shared" si="3"/>
        <v>61</v>
      </c>
    </row>
    <row r="199" spans="1:15" x14ac:dyDescent="0.25">
      <c r="A199" s="4" t="s">
        <v>397</v>
      </c>
      <c r="B199" s="4" t="s">
        <v>450</v>
      </c>
      <c r="C199" s="4">
        <v>3</v>
      </c>
      <c r="D199" s="4">
        <v>2</v>
      </c>
      <c r="E199" s="4"/>
      <c r="F199" s="4"/>
      <c r="G199" s="4"/>
      <c r="H199" s="4"/>
      <c r="I199" s="4">
        <v>1</v>
      </c>
      <c r="J199" s="4">
        <v>2</v>
      </c>
      <c r="K199" s="4">
        <v>20</v>
      </c>
      <c r="L199" s="4">
        <v>10</v>
      </c>
      <c r="M199" s="4">
        <v>7</v>
      </c>
      <c r="N199" s="4">
        <v>14</v>
      </c>
      <c r="O199" s="5">
        <f t="shared" si="3"/>
        <v>59</v>
      </c>
    </row>
    <row r="200" spans="1:15" x14ac:dyDescent="0.25">
      <c r="A200" s="4" t="s">
        <v>395</v>
      </c>
      <c r="B200" s="4" t="s">
        <v>520</v>
      </c>
      <c r="C200" s="4"/>
      <c r="D200" s="4"/>
      <c r="E200" s="4"/>
      <c r="F200" s="4">
        <v>10</v>
      </c>
      <c r="G200" s="4">
        <v>16</v>
      </c>
      <c r="H200" s="4">
        <v>2</v>
      </c>
      <c r="I200" s="4">
        <v>16</v>
      </c>
      <c r="J200" s="4">
        <v>3</v>
      </c>
      <c r="K200" s="4"/>
      <c r="L200" s="4"/>
      <c r="M200" s="4">
        <v>2</v>
      </c>
      <c r="N200" s="4">
        <v>9</v>
      </c>
      <c r="O200" s="5">
        <f t="shared" si="3"/>
        <v>58</v>
      </c>
    </row>
    <row r="201" spans="1:15" x14ac:dyDescent="0.25">
      <c r="A201" s="4" t="s">
        <v>399</v>
      </c>
      <c r="B201" s="4" t="s">
        <v>586</v>
      </c>
      <c r="C201" s="4">
        <v>7</v>
      </c>
      <c r="D201" s="4">
        <v>7</v>
      </c>
      <c r="E201" s="4">
        <v>1</v>
      </c>
      <c r="F201" s="4">
        <v>7</v>
      </c>
      <c r="G201" s="4">
        <v>6</v>
      </c>
      <c r="H201" s="4">
        <v>15</v>
      </c>
      <c r="I201" s="4">
        <v>14</v>
      </c>
      <c r="J201" s="4"/>
      <c r="K201" s="4"/>
      <c r="L201" s="4"/>
      <c r="M201" s="4"/>
      <c r="N201" s="4"/>
      <c r="O201" s="5">
        <f t="shared" si="3"/>
        <v>57</v>
      </c>
    </row>
    <row r="202" spans="1:15" x14ac:dyDescent="0.25">
      <c r="A202" s="4" t="s">
        <v>401</v>
      </c>
      <c r="B202" s="4" t="s">
        <v>527</v>
      </c>
      <c r="C202" s="4">
        <v>9</v>
      </c>
      <c r="D202" s="4">
        <v>2</v>
      </c>
      <c r="E202" s="4">
        <v>2</v>
      </c>
      <c r="F202" s="4">
        <v>3</v>
      </c>
      <c r="G202" s="4">
        <v>2</v>
      </c>
      <c r="H202" s="4">
        <v>4</v>
      </c>
      <c r="I202" s="4">
        <v>8</v>
      </c>
      <c r="J202" s="4">
        <v>8</v>
      </c>
      <c r="K202" s="4"/>
      <c r="L202" s="4">
        <v>10</v>
      </c>
      <c r="M202" s="4">
        <v>1</v>
      </c>
      <c r="N202" s="4">
        <v>2</v>
      </c>
      <c r="O202" s="5">
        <f t="shared" si="3"/>
        <v>51</v>
      </c>
    </row>
    <row r="203" spans="1:15" x14ac:dyDescent="0.25">
      <c r="A203" s="4" t="s">
        <v>409</v>
      </c>
      <c r="B203" s="4" t="s">
        <v>382</v>
      </c>
      <c r="C203" s="4"/>
      <c r="D203" s="4"/>
      <c r="E203" s="4"/>
      <c r="F203" s="4"/>
      <c r="G203" s="4">
        <v>1</v>
      </c>
      <c r="H203" s="4">
        <v>5</v>
      </c>
      <c r="I203" s="4">
        <v>45</v>
      </c>
      <c r="J203" s="4"/>
      <c r="K203" s="4"/>
      <c r="L203" s="4"/>
      <c r="M203" s="4"/>
      <c r="N203" s="4"/>
      <c r="O203" s="5">
        <f t="shared" si="3"/>
        <v>51</v>
      </c>
    </row>
    <row r="204" spans="1:15" x14ac:dyDescent="0.25">
      <c r="A204" s="4" t="s">
        <v>407</v>
      </c>
      <c r="B204" s="4" t="s">
        <v>340</v>
      </c>
      <c r="C204" s="4">
        <v>1</v>
      </c>
      <c r="D204" s="4">
        <v>4</v>
      </c>
      <c r="E204" s="4"/>
      <c r="F204" s="4">
        <v>4</v>
      </c>
      <c r="G204" s="4">
        <v>2</v>
      </c>
      <c r="H204" s="4">
        <v>3</v>
      </c>
      <c r="I204" s="4">
        <v>1</v>
      </c>
      <c r="J204" s="4">
        <v>5</v>
      </c>
      <c r="K204" s="4">
        <v>12</v>
      </c>
      <c r="L204" s="4">
        <v>6</v>
      </c>
      <c r="M204" s="4">
        <v>7</v>
      </c>
      <c r="N204" s="4">
        <v>4</v>
      </c>
      <c r="O204" s="5">
        <f t="shared" si="3"/>
        <v>49</v>
      </c>
    </row>
    <row r="205" spans="1:15" x14ac:dyDescent="0.25">
      <c r="A205" s="4" t="s">
        <v>405</v>
      </c>
      <c r="B205" s="4" t="s">
        <v>587</v>
      </c>
      <c r="C205" s="4">
        <v>28</v>
      </c>
      <c r="D205" s="4">
        <v>12</v>
      </c>
      <c r="E205" s="4">
        <v>2</v>
      </c>
      <c r="F205" s="4">
        <v>2</v>
      </c>
      <c r="G205" s="4">
        <v>1</v>
      </c>
      <c r="H205" s="4"/>
      <c r="I205" s="4">
        <v>1</v>
      </c>
      <c r="J205" s="4"/>
      <c r="K205" s="4">
        <v>2</v>
      </c>
      <c r="L205" s="4"/>
      <c r="M205" s="4"/>
      <c r="N205" s="4">
        <v>1</v>
      </c>
      <c r="O205" s="5">
        <f t="shared" si="3"/>
        <v>49</v>
      </c>
    </row>
    <row r="206" spans="1:15" x14ac:dyDescent="0.25">
      <c r="A206" s="4" t="s">
        <v>403</v>
      </c>
      <c r="B206" s="4" t="s">
        <v>368</v>
      </c>
      <c r="C206" s="4">
        <v>8</v>
      </c>
      <c r="D206" s="4">
        <v>9</v>
      </c>
      <c r="E206" s="4">
        <v>3</v>
      </c>
      <c r="F206" s="4">
        <v>5</v>
      </c>
      <c r="G206" s="4">
        <v>5</v>
      </c>
      <c r="H206" s="4">
        <v>3</v>
      </c>
      <c r="I206" s="4">
        <v>9</v>
      </c>
      <c r="J206" s="4"/>
      <c r="K206" s="4">
        <v>1</v>
      </c>
      <c r="L206" s="4">
        <v>1</v>
      </c>
      <c r="M206" s="4"/>
      <c r="N206" s="4">
        <v>4</v>
      </c>
      <c r="O206" s="5">
        <f t="shared" si="3"/>
        <v>48</v>
      </c>
    </row>
    <row r="207" spans="1:15" x14ac:dyDescent="0.25">
      <c r="A207" s="4" t="s">
        <v>413</v>
      </c>
      <c r="B207" s="4" t="s">
        <v>354</v>
      </c>
      <c r="C207" s="4">
        <v>4</v>
      </c>
      <c r="D207" s="4">
        <v>5</v>
      </c>
      <c r="E207" s="4">
        <v>2</v>
      </c>
      <c r="F207" s="4">
        <v>4</v>
      </c>
      <c r="G207" s="4">
        <v>4</v>
      </c>
      <c r="H207" s="4">
        <v>2</v>
      </c>
      <c r="I207" s="4"/>
      <c r="J207" s="4">
        <v>13</v>
      </c>
      <c r="K207" s="4">
        <v>3</v>
      </c>
      <c r="L207" s="4">
        <v>4</v>
      </c>
      <c r="M207" s="4">
        <v>1</v>
      </c>
      <c r="N207" s="4">
        <v>4</v>
      </c>
      <c r="O207" s="5">
        <f t="shared" si="3"/>
        <v>46</v>
      </c>
    </row>
    <row r="208" spans="1:15" x14ac:dyDescent="0.25">
      <c r="A208" s="4" t="s">
        <v>411</v>
      </c>
      <c r="B208" s="4" t="s">
        <v>588</v>
      </c>
      <c r="C208" s="4">
        <v>4</v>
      </c>
      <c r="D208" s="4">
        <v>3</v>
      </c>
      <c r="E208" s="4">
        <v>3</v>
      </c>
      <c r="F208" s="4">
        <v>11</v>
      </c>
      <c r="G208" s="4">
        <v>2</v>
      </c>
      <c r="H208" s="4">
        <v>12</v>
      </c>
      <c r="I208" s="4">
        <v>9</v>
      </c>
      <c r="J208" s="4"/>
      <c r="K208" s="4"/>
      <c r="L208" s="4"/>
      <c r="M208" s="4"/>
      <c r="N208" s="4"/>
      <c r="O208" s="5">
        <f t="shared" si="3"/>
        <v>44</v>
      </c>
    </row>
    <row r="209" spans="1:15" x14ac:dyDescent="0.25">
      <c r="A209" s="4" t="s">
        <v>417</v>
      </c>
      <c r="B209" s="4" t="s">
        <v>552</v>
      </c>
      <c r="C209" s="4"/>
      <c r="D209" s="4">
        <v>28</v>
      </c>
      <c r="E209" s="4">
        <v>3</v>
      </c>
      <c r="F209" s="4"/>
      <c r="G209" s="4"/>
      <c r="H209" s="4">
        <v>1</v>
      </c>
      <c r="I209" s="4"/>
      <c r="J209" s="4">
        <v>11</v>
      </c>
      <c r="K209" s="4"/>
      <c r="L209" s="4"/>
      <c r="M209" s="4"/>
      <c r="N209" s="4"/>
      <c r="O209" s="5">
        <f t="shared" si="3"/>
        <v>43</v>
      </c>
    </row>
    <row r="210" spans="1:15" x14ac:dyDescent="0.25">
      <c r="A210" s="4" t="s">
        <v>415</v>
      </c>
      <c r="B210" s="4" t="s">
        <v>589</v>
      </c>
      <c r="C210" s="4">
        <v>11</v>
      </c>
      <c r="D210" s="4">
        <v>29</v>
      </c>
      <c r="E210" s="4"/>
      <c r="F210" s="4"/>
      <c r="G210" s="4"/>
      <c r="H210" s="4"/>
      <c r="I210" s="4">
        <v>3</v>
      </c>
      <c r="J210" s="4"/>
      <c r="K210" s="4"/>
      <c r="L210" s="4"/>
      <c r="M210" s="4"/>
      <c r="N210" s="4"/>
      <c r="O210" s="5">
        <f t="shared" si="3"/>
        <v>43</v>
      </c>
    </row>
    <row r="211" spans="1:15" x14ac:dyDescent="0.25">
      <c r="A211" s="4" t="s">
        <v>421</v>
      </c>
      <c r="B211" s="4" t="s">
        <v>60</v>
      </c>
      <c r="C211" s="4">
        <v>18</v>
      </c>
      <c r="D211" s="4">
        <v>9</v>
      </c>
      <c r="E211" s="4">
        <v>4</v>
      </c>
      <c r="F211" s="4">
        <v>3</v>
      </c>
      <c r="G211" s="4">
        <v>2</v>
      </c>
      <c r="H211" s="4"/>
      <c r="I211" s="4">
        <v>1</v>
      </c>
      <c r="J211" s="4">
        <v>1</v>
      </c>
      <c r="K211" s="4">
        <v>1</v>
      </c>
      <c r="L211" s="4">
        <v>2</v>
      </c>
      <c r="M211" s="4"/>
      <c r="N211" s="4"/>
      <c r="O211" s="5">
        <f t="shared" si="3"/>
        <v>41</v>
      </c>
    </row>
    <row r="212" spans="1:15" x14ac:dyDescent="0.25">
      <c r="A212" s="4" t="s">
        <v>419</v>
      </c>
      <c r="B212" s="4" t="s">
        <v>545</v>
      </c>
      <c r="C212" s="4">
        <v>4</v>
      </c>
      <c r="D212" s="4">
        <v>5</v>
      </c>
      <c r="E212" s="4">
        <v>3</v>
      </c>
      <c r="F212" s="4">
        <v>9</v>
      </c>
      <c r="G212" s="4">
        <v>7</v>
      </c>
      <c r="H212" s="4">
        <v>4</v>
      </c>
      <c r="I212" s="4">
        <v>4</v>
      </c>
      <c r="J212" s="4">
        <v>2</v>
      </c>
      <c r="K212" s="4"/>
      <c r="L212" s="4"/>
      <c r="M212" s="4">
        <v>2</v>
      </c>
      <c r="N212" s="4">
        <v>1</v>
      </c>
      <c r="O212" s="5">
        <f t="shared" si="3"/>
        <v>41</v>
      </c>
    </row>
    <row r="213" spans="1:15" x14ac:dyDescent="0.25">
      <c r="A213" s="4" t="s">
        <v>423</v>
      </c>
      <c r="B213" s="4" t="s">
        <v>254</v>
      </c>
      <c r="C213" s="4"/>
      <c r="D213" s="4"/>
      <c r="E213" s="4"/>
      <c r="F213" s="4"/>
      <c r="G213" s="4"/>
      <c r="H213" s="4"/>
      <c r="I213" s="4"/>
      <c r="J213" s="4"/>
      <c r="K213" s="4">
        <v>2</v>
      </c>
      <c r="L213" s="4"/>
      <c r="M213" s="4">
        <v>23</v>
      </c>
      <c r="N213" s="4">
        <v>16</v>
      </c>
      <c r="O213" s="5">
        <f t="shared" si="3"/>
        <v>41</v>
      </c>
    </row>
    <row r="214" spans="1:15" x14ac:dyDescent="0.25">
      <c r="A214" s="4" t="s">
        <v>427</v>
      </c>
      <c r="B214" s="4" t="s">
        <v>166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>
        <v>39</v>
      </c>
      <c r="N214" s="4"/>
      <c r="O214" s="5">
        <f t="shared" si="3"/>
        <v>39</v>
      </c>
    </row>
    <row r="215" spans="1:15" x14ac:dyDescent="0.25">
      <c r="A215" s="4" t="s">
        <v>425</v>
      </c>
      <c r="B215" s="4" t="s">
        <v>400</v>
      </c>
      <c r="C215" s="4">
        <v>8</v>
      </c>
      <c r="D215" s="4">
        <v>8</v>
      </c>
      <c r="E215" s="4">
        <v>2</v>
      </c>
      <c r="F215" s="4">
        <v>3</v>
      </c>
      <c r="G215" s="4">
        <v>4</v>
      </c>
      <c r="H215" s="4">
        <v>1</v>
      </c>
      <c r="I215" s="4">
        <v>1</v>
      </c>
      <c r="J215" s="4">
        <v>1</v>
      </c>
      <c r="K215" s="4">
        <v>4</v>
      </c>
      <c r="L215" s="4">
        <v>2</v>
      </c>
      <c r="M215" s="4">
        <v>1</v>
      </c>
      <c r="N215" s="4">
        <v>4</v>
      </c>
      <c r="O215" s="5">
        <f t="shared" si="3"/>
        <v>39</v>
      </c>
    </row>
    <row r="216" spans="1:15" x14ac:dyDescent="0.25">
      <c r="A216" s="4" t="s">
        <v>445</v>
      </c>
      <c r="B216" s="4" t="s">
        <v>533</v>
      </c>
      <c r="C216" s="4">
        <v>1</v>
      </c>
      <c r="D216" s="4">
        <v>3</v>
      </c>
      <c r="E216" s="4">
        <v>4</v>
      </c>
      <c r="F216" s="4">
        <v>2</v>
      </c>
      <c r="G216" s="4"/>
      <c r="H216" s="4">
        <v>5</v>
      </c>
      <c r="I216" s="4">
        <v>8</v>
      </c>
      <c r="J216" s="4">
        <v>4</v>
      </c>
      <c r="K216" s="4">
        <v>2</v>
      </c>
      <c r="L216" s="4">
        <v>4</v>
      </c>
      <c r="M216" s="4">
        <v>5</v>
      </c>
      <c r="N216" s="4"/>
      <c r="O216" s="5">
        <f t="shared" si="3"/>
        <v>38</v>
      </c>
    </row>
    <row r="217" spans="1:15" x14ac:dyDescent="0.25">
      <c r="A217" s="4" t="s">
        <v>443</v>
      </c>
      <c r="B217" s="4" t="s">
        <v>543</v>
      </c>
      <c r="C217" s="4">
        <v>3</v>
      </c>
      <c r="D217" s="4">
        <v>5</v>
      </c>
      <c r="E217" s="4">
        <v>4</v>
      </c>
      <c r="F217" s="4">
        <v>2</v>
      </c>
      <c r="G217" s="4">
        <v>7</v>
      </c>
      <c r="H217" s="4">
        <v>6</v>
      </c>
      <c r="I217" s="4">
        <v>2</v>
      </c>
      <c r="J217" s="4">
        <v>3</v>
      </c>
      <c r="K217" s="4">
        <v>3</v>
      </c>
      <c r="L217" s="4"/>
      <c r="M217" s="4"/>
      <c r="N217" s="4">
        <v>3</v>
      </c>
      <c r="O217" s="5">
        <f t="shared" si="3"/>
        <v>38</v>
      </c>
    </row>
    <row r="218" spans="1:15" x14ac:dyDescent="0.25">
      <c r="A218" s="4" t="s">
        <v>441</v>
      </c>
      <c r="B218" s="4" t="s">
        <v>314</v>
      </c>
      <c r="C218" s="4"/>
      <c r="D218" s="4"/>
      <c r="E218" s="4"/>
      <c r="F218" s="4"/>
      <c r="G218" s="4"/>
      <c r="H218" s="4"/>
      <c r="I218" s="4"/>
      <c r="J218" s="4">
        <v>3</v>
      </c>
      <c r="K218" s="4">
        <v>8</v>
      </c>
      <c r="L218" s="4">
        <v>10</v>
      </c>
      <c r="M218" s="4">
        <v>12</v>
      </c>
      <c r="N218" s="4">
        <v>3</v>
      </c>
      <c r="O218" s="5">
        <f t="shared" si="3"/>
        <v>36</v>
      </c>
    </row>
    <row r="219" spans="1:15" x14ac:dyDescent="0.25">
      <c r="A219" s="4" t="s">
        <v>439</v>
      </c>
      <c r="B219" s="4" t="s">
        <v>590</v>
      </c>
      <c r="C219" s="4"/>
      <c r="D219" s="4"/>
      <c r="E219" s="4"/>
      <c r="F219" s="4"/>
      <c r="G219" s="4"/>
      <c r="H219" s="4">
        <v>11</v>
      </c>
      <c r="I219" s="4">
        <v>19</v>
      </c>
      <c r="J219" s="4"/>
      <c r="K219" s="4"/>
      <c r="L219" s="4"/>
      <c r="M219" s="4"/>
      <c r="N219" s="4"/>
      <c r="O219" s="5">
        <f t="shared" si="3"/>
        <v>30</v>
      </c>
    </row>
    <row r="220" spans="1:15" x14ac:dyDescent="0.25">
      <c r="A220" s="4" t="s">
        <v>437</v>
      </c>
      <c r="B220" s="4" t="s">
        <v>591</v>
      </c>
      <c r="C220" s="4">
        <v>3</v>
      </c>
      <c r="D220" s="4">
        <v>3</v>
      </c>
      <c r="E220" s="4">
        <v>5</v>
      </c>
      <c r="F220" s="4">
        <v>4</v>
      </c>
      <c r="G220" s="4"/>
      <c r="H220" s="4">
        <v>3</v>
      </c>
      <c r="I220" s="4">
        <v>7</v>
      </c>
      <c r="J220" s="4">
        <v>4</v>
      </c>
      <c r="K220" s="4"/>
      <c r="L220" s="4">
        <v>1</v>
      </c>
      <c r="M220" s="4"/>
      <c r="N220" s="4"/>
      <c r="O220" s="5">
        <f t="shared" si="3"/>
        <v>30</v>
      </c>
    </row>
    <row r="221" spans="1:15" x14ac:dyDescent="0.25">
      <c r="A221" s="4" t="s">
        <v>435</v>
      </c>
      <c r="B221" s="4" t="s">
        <v>523</v>
      </c>
      <c r="C221" s="4"/>
      <c r="D221" s="4">
        <v>2</v>
      </c>
      <c r="E221" s="4"/>
      <c r="F221" s="4">
        <v>1</v>
      </c>
      <c r="G221" s="4">
        <v>4</v>
      </c>
      <c r="H221" s="4"/>
      <c r="I221" s="4">
        <v>6</v>
      </c>
      <c r="J221" s="4">
        <v>2</v>
      </c>
      <c r="K221" s="4">
        <v>2</v>
      </c>
      <c r="L221" s="4">
        <v>1</v>
      </c>
      <c r="M221" s="4">
        <v>6</v>
      </c>
      <c r="N221" s="4">
        <v>5</v>
      </c>
      <c r="O221" s="5">
        <f t="shared" si="3"/>
        <v>29</v>
      </c>
    </row>
    <row r="222" spans="1:15" x14ac:dyDescent="0.25">
      <c r="A222" s="4" t="s">
        <v>433</v>
      </c>
      <c r="B222" s="4" t="s">
        <v>548</v>
      </c>
      <c r="C222" s="4">
        <v>2</v>
      </c>
      <c r="D222" s="4">
        <v>1</v>
      </c>
      <c r="E222" s="4"/>
      <c r="F222" s="4"/>
      <c r="G222" s="4">
        <v>5</v>
      </c>
      <c r="H222" s="4">
        <v>2</v>
      </c>
      <c r="I222" s="4">
        <v>5</v>
      </c>
      <c r="J222" s="4">
        <v>5</v>
      </c>
      <c r="K222" s="4"/>
      <c r="L222" s="4">
        <v>3</v>
      </c>
      <c r="M222" s="4">
        <v>3</v>
      </c>
      <c r="N222" s="4">
        <v>1</v>
      </c>
      <c r="O222" s="5">
        <f t="shared" si="3"/>
        <v>27</v>
      </c>
    </row>
    <row r="223" spans="1:15" x14ac:dyDescent="0.25">
      <c r="A223" s="4" t="s">
        <v>431</v>
      </c>
      <c r="B223" s="4" t="s">
        <v>592</v>
      </c>
      <c r="C223" s="4">
        <v>1</v>
      </c>
      <c r="D223" s="4">
        <v>4</v>
      </c>
      <c r="E223" s="4">
        <v>4</v>
      </c>
      <c r="F223" s="4">
        <v>4</v>
      </c>
      <c r="G223" s="4">
        <v>3</v>
      </c>
      <c r="H223" s="4">
        <v>5</v>
      </c>
      <c r="I223" s="4">
        <v>6</v>
      </c>
      <c r="J223" s="4"/>
      <c r="K223" s="4"/>
      <c r="L223" s="4"/>
      <c r="M223" s="4"/>
      <c r="N223" s="4"/>
      <c r="O223" s="5">
        <f t="shared" si="3"/>
        <v>27</v>
      </c>
    </row>
    <row r="224" spans="1:15" x14ac:dyDescent="0.25">
      <c r="A224" s="4" t="s">
        <v>429</v>
      </c>
      <c r="B224" s="4" t="s">
        <v>593</v>
      </c>
      <c r="C224" s="4">
        <v>7</v>
      </c>
      <c r="D224" s="4">
        <v>1</v>
      </c>
      <c r="E224" s="4">
        <v>4</v>
      </c>
      <c r="F224" s="4">
        <v>1</v>
      </c>
      <c r="G224" s="4">
        <v>1</v>
      </c>
      <c r="H224" s="4">
        <v>1</v>
      </c>
      <c r="I224" s="4">
        <v>1</v>
      </c>
      <c r="J224" s="4">
        <v>1</v>
      </c>
      <c r="K224" s="4">
        <v>1</v>
      </c>
      <c r="L224" s="4">
        <v>5</v>
      </c>
      <c r="M224" s="4">
        <v>2</v>
      </c>
      <c r="N224" s="4">
        <v>1</v>
      </c>
      <c r="O224" s="5">
        <f t="shared" si="3"/>
        <v>26</v>
      </c>
    </row>
    <row r="225" spans="1:15" x14ac:dyDescent="0.25">
      <c r="A225" s="4" t="s">
        <v>473</v>
      </c>
      <c r="B225" s="4" t="s">
        <v>364</v>
      </c>
      <c r="C225" s="4">
        <v>3</v>
      </c>
      <c r="D225" s="4"/>
      <c r="E225" s="4"/>
      <c r="F225" s="4">
        <v>1</v>
      </c>
      <c r="G225" s="4">
        <v>4</v>
      </c>
      <c r="H225" s="4">
        <v>7</v>
      </c>
      <c r="I225" s="4">
        <v>5</v>
      </c>
      <c r="J225" s="4"/>
      <c r="K225" s="4">
        <v>1</v>
      </c>
      <c r="L225" s="4"/>
      <c r="M225" s="4"/>
      <c r="N225" s="4"/>
      <c r="O225" s="5">
        <f t="shared" si="3"/>
        <v>21</v>
      </c>
    </row>
    <row r="226" spans="1:15" x14ac:dyDescent="0.25">
      <c r="A226" s="4" t="s">
        <v>471</v>
      </c>
      <c r="B226" s="4" t="s">
        <v>594</v>
      </c>
      <c r="C226" s="4">
        <v>5</v>
      </c>
      <c r="D226" s="4"/>
      <c r="E226" s="4"/>
      <c r="F226" s="4"/>
      <c r="G226" s="4">
        <v>1</v>
      </c>
      <c r="H226" s="4">
        <v>4</v>
      </c>
      <c r="I226" s="4">
        <v>5</v>
      </c>
      <c r="J226" s="4">
        <v>1</v>
      </c>
      <c r="K226" s="4"/>
      <c r="L226" s="4">
        <v>1</v>
      </c>
      <c r="M226" s="4"/>
      <c r="N226" s="4"/>
      <c r="O226" s="5">
        <f t="shared" si="3"/>
        <v>17</v>
      </c>
    </row>
    <row r="227" spans="1:15" x14ac:dyDescent="0.25">
      <c r="A227" s="4" t="s">
        <v>469</v>
      </c>
      <c r="B227" s="4" t="s">
        <v>595</v>
      </c>
      <c r="C227" s="4">
        <v>2</v>
      </c>
      <c r="D227" s="4">
        <v>2</v>
      </c>
      <c r="E227" s="4">
        <v>3</v>
      </c>
      <c r="F227" s="4">
        <v>5</v>
      </c>
      <c r="G227" s="4">
        <v>5</v>
      </c>
      <c r="H227" s="4"/>
      <c r="I227" s="4"/>
      <c r="J227" s="4"/>
      <c r="K227" s="4"/>
      <c r="L227" s="4"/>
      <c r="M227" s="4"/>
      <c r="N227" s="4"/>
      <c r="O227" s="5">
        <f t="shared" si="3"/>
        <v>17</v>
      </c>
    </row>
    <row r="228" spans="1:15" x14ac:dyDescent="0.25">
      <c r="A228" s="4" t="s">
        <v>467</v>
      </c>
      <c r="B228" s="4" t="s">
        <v>428</v>
      </c>
      <c r="C228" s="4">
        <v>2</v>
      </c>
      <c r="D228" s="4"/>
      <c r="E228" s="4"/>
      <c r="F228" s="4"/>
      <c r="G228" s="4">
        <v>1</v>
      </c>
      <c r="H228" s="4"/>
      <c r="I228" s="4"/>
      <c r="J228" s="4">
        <v>1</v>
      </c>
      <c r="K228" s="4"/>
      <c r="L228" s="4">
        <v>1</v>
      </c>
      <c r="M228" s="4">
        <v>4</v>
      </c>
      <c r="N228" s="4">
        <v>6</v>
      </c>
      <c r="O228" s="5">
        <f t="shared" si="3"/>
        <v>15</v>
      </c>
    </row>
    <row r="229" spans="1:15" x14ac:dyDescent="0.25">
      <c r="A229" s="4" t="s">
        <v>465</v>
      </c>
      <c r="B229" s="4" t="s">
        <v>549</v>
      </c>
      <c r="C229" s="4">
        <v>2</v>
      </c>
      <c r="D229" s="4"/>
      <c r="E229" s="4">
        <v>1</v>
      </c>
      <c r="F229" s="4">
        <v>1</v>
      </c>
      <c r="G229" s="4"/>
      <c r="H229" s="4">
        <v>3</v>
      </c>
      <c r="I229" s="4">
        <v>4</v>
      </c>
      <c r="J229" s="4">
        <v>2</v>
      </c>
      <c r="K229" s="4">
        <v>1</v>
      </c>
      <c r="L229" s="4">
        <v>1</v>
      </c>
      <c r="M229" s="4"/>
      <c r="N229" s="4"/>
      <c r="O229" s="5">
        <f t="shared" si="3"/>
        <v>15</v>
      </c>
    </row>
    <row r="230" spans="1:15" x14ac:dyDescent="0.25">
      <c r="A230" s="4" t="s">
        <v>463</v>
      </c>
      <c r="B230" s="4" t="s">
        <v>596</v>
      </c>
      <c r="C230" s="4">
        <v>2</v>
      </c>
      <c r="D230" s="4">
        <v>1</v>
      </c>
      <c r="E230" s="4"/>
      <c r="F230" s="4"/>
      <c r="G230" s="4">
        <v>2</v>
      </c>
      <c r="H230" s="4"/>
      <c r="I230" s="4"/>
      <c r="J230" s="4">
        <v>1</v>
      </c>
      <c r="K230" s="4">
        <v>7</v>
      </c>
      <c r="L230" s="4"/>
      <c r="M230" s="4"/>
      <c r="N230" s="4"/>
      <c r="O230" s="5">
        <f t="shared" si="3"/>
        <v>13</v>
      </c>
    </row>
    <row r="231" spans="1:15" x14ac:dyDescent="0.25">
      <c r="A231" s="4" t="s">
        <v>461</v>
      </c>
      <c r="B231" s="4" t="s">
        <v>597</v>
      </c>
      <c r="C231" s="4"/>
      <c r="D231" s="4"/>
      <c r="E231" s="4">
        <v>1</v>
      </c>
      <c r="F231" s="4"/>
      <c r="G231" s="4">
        <v>1</v>
      </c>
      <c r="H231" s="4">
        <v>1</v>
      </c>
      <c r="I231" s="4"/>
      <c r="J231" s="4"/>
      <c r="K231" s="4">
        <v>7</v>
      </c>
      <c r="L231" s="4">
        <v>1</v>
      </c>
      <c r="M231" s="4"/>
      <c r="N231" s="4">
        <v>2</v>
      </c>
      <c r="O231" s="5">
        <f t="shared" si="3"/>
        <v>13</v>
      </c>
    </row>
    <row r="232" spans="1:15" x14ac:dyDescent="0.25">
      <c r="A232" s="4" t="s">
        <v>459</v>
      </c>
      <c r="B232" s="4" t="s">
        <v>598</v>
      </c>
      <c r="C232" s="4">
        <v>5</v>
      </c>
      <c r="D232" s="4">
        <v>5</v>
      </c>
      <c r="E232" s="4"/>
      <c r="F232" s="4">
        <v>1</v>
      </c>
      <c r="G232" s="4"/>
      <c r="H232" s="4"/>
      <c r="I232" s="4"/>
      <c r="J232" s="4"/>
      <c r="K232" s="4"/>
      <c r="L232" s="4"/>
      <c r="M232" s="4"/>
      <c r="N232" s="4"/>
      <c r="O232" s="5">
        <f t="shared" si="3"/>
        <v>11</v>
      </c>
    </row>
    <row r="233" spans="1:15" x14ac:dyDescent="0.25">
      <c r="A233" s="4" t="s">
        <v>457</v>
      </c>
      <c r="B233" s="4" t="s">
        <v>599</v>
      </c>
      <c r="C233" s="4"/>
      <c r="D233" s="4">
        <v>3</v>
      </c>
      <c r="E233" s="4">
        <v>1</v>
      </c>
      <c r="F233" s="4">
        <v>1</v>
      </c>
      <c r="G233" s="4"/>
      <c r="H233" s="4">
        <v>2</v>
      </c>
      <c r="I233" s="4">
        <v>2</v>
      </c>
      <c r="J233" s="4">
        <v>1</v>
      </c>
      <c r="K233" s="4"/>
      <c r="L233" s="4"/>
      <c r="M233" s="4"/>
      <c r="N233" s="4">
        <v>1</v>
      </c>
      <c r="O233" s="5">
        <f t="shared" si="3"/>
        <v>11</v>
      </c>
    </row>
    <row r="234" spans="1:15" x14ac:dyDescent="0.25">
      <c r="A234" s="4" t="s">
        <v>455</v>
      </c>
      <c r="B234" s="4" t="s">
        <v>600</v>
      </c>
      <c r="C234" s="4"/>
      <c r="D234" s="4">
        <v>1</v>
      </c>
      <c r="E234" s="4"/>
      <c r="F234" s="4">
        <v>3</v>
      </c>
      <c r="G234" s="4">
        <v>1</v>
      </c>
      <c r="H234" s="4"/>
      <c r="I234" s="4">
        <v>3</v>
      </c>
      <c r="J234" s="4">
        <v>1</v>
      </c>
      <c r="K234" s="4"/>
      <c r="L234" s="4">
        <v>1</v>
      </c>
      <c r="M234" s="4"/>
      <c r="N234" s="4"/>
      <c r="O234" s="5">
        <f t="shared" si="3"/>
        <v>10</v>
      </c>
    </row>
    <row r="235" spans="1:15" x14ac:dyDescent="0.25">
      <c r="A235" s="4" t="s">
        <v>453</v>
      </c>
      <c r="B235" s="4" t="s">
        <v>438</v>
      </c>
      <c r="C235" s="4"/>
      <c r="D235" s="4"/>
      <c r="E235" s="4">
        <v>3</v>
      </c>
      <c r="F235" s="4">
        <v>1</v>
      </c>
      <c r="G235" s="4">
        <v>1</v>
      </c>
      <c r="H235" s="4">
        <v>1</v>
      </c>
      <c r="I235" s="4">
        <v>2</v>
      </c>
      <c r="J235" s="4">
        <v>1</v>
      </c>
      <c r="K235" s="4"/>
      <c r="L235" s="4"/>
      <c r="M235" s="4"/>
      <c r="N235" s="4"/>
      <c r="O235" s="5">
        <f t="shared" si="3"/>
        <v>9</v>
      </c>
    </row>
    <row r="236" spans="1:15" x14ac:dyDescent="0.25">
      <c r="A236" s="4" t="s">
        <v>451</v>
      </c>
      <c r="B236" s="4" t="s">
        <v>601</v>
      </c>
      <c r="C236" s="4">
        <v>1</v>
      </c>
      <c r="D236" s="4">
        <v>1</v>
      </c>
      <c r="E236" s="4">
        <v>2</v>
      </c>
      <c r="F236" s="4">
        <v>1</v>
      </c>
      <c r="G236" s="4"/>
      <c r="H236" s="4"/>
      <c r="I236" s="4"/>
      <c r="J236" s="4"/>
      <c r="K236" s="4"/>
      <c r="L236" s="4"/>
      <c r="M236" s="4"/>
      <c r="N236" s="4">
        <v>3</v>
      </c>
      <c r="O236" s="5">
        <f t="shared" si="3"/>
        <v>8</v>
      </c>
    </row>
    <row r="237" spans="1:15" x14ac:dyDescent="0.25">
      <c r="A237" s="4" t="s">
        <v>449</v>
      </c>
      <c r="B237" s="4" t="s">
        <v>358</v>
      </c>
      <c r="C237" s="4"/>
      <c r="D237" s="4">
        <v>4</v>
      </c>
      <c r="E237" s="4">
        <v>1</v>
      </c>
      <c r="F237" s="4"/>
      <c r="G237" s="4">
        <v>2</v>
      </c>
      <c r="H237" s="4"/>
      <c r="I237" s="4"/>
      <c r="J237" s="4">
        <v>1</v>
      </c>
      <c r="K237" s="4"/>
      <c r="L237" s="4"/>
      <c r="M237" s="4"/>
      <c r="N237" s="4"/>
      <c r="O237" s="5">
        <f t="shared" si="3"/>
        <v>8</v>
      </c>
    </row>
    <row r="238" spans="1:15" x14ac:dyDescent="0.25">
      <c r="A238" s="4" t="s">
        <v>447</v>
      </c>
      <c r="B238" s="4" t="s">
        <v>484</v>
      </c>
      <c r="C238" s="4">
        <v>1</v>
      </c>
      <c r="D238" s="4">
        <v>1</v>
      </c>
      <c r="E238" s="4">
        <v>1</v>
      </c>
      <c r="F238" s="4">
        <v>2</v>
      </c>
      <c r="G238" s="4">
        <v>3</v>
      </c>
      <c r="H238" s="4"/>
      <c r="I238" s="4"/>
      <c r="J238" s="4"/>
      <c r="K238" s="4"/>
      <c r="L238" s="4"/>
      <c r="M238" s="4"/>
      <c r="N238" s="4"/>
      <c r="O238" s="5">
        <f t="shared" si="3"/>
        <v>8</v>
      </c>
    </row>
    <row r="239" spans="1:15" x14ac:dyDescent="0.25">
      <c r="A239" s="4" t="s">
        <v>515</v>
      </c>
      <c r="B239" s="4" t="s">
        <v>116</v>
      </c>
      <c r="C239" s="4">
        <v>5</v>
      </c>
      <c r="D239" s="4"/>
      <c r="E239" s="4"/>
      <c r="F239" s="4">
        <v>2</v>
      </c>
      <c r="G239" s="4"/>
      <c r="H239" s="4"/>
      <c r="I239" s="4"/>
      <c r="J239" s="4"/>
      <c r="K239" s="4">
        <v>1</v>
      </c>
      <c r="L239" s="4"/>
      <c r="M239" s="4"/>
      <c r="N239" s="4"/>
      <c r="O239" s="5">
        <f t="shared" si="3"/>
        <v>8</v>
      </c>
    </row>
    <row r="240" spans="1:15" x14ac:dyDescent="0.25">
      <c r="A240" s="4" t="s">
        <v>513</v>
      </c>
      <c r="B240" s="4" t="s">
        <v>602</v>
      </c>
      <c r="C240" s="4"/>
      <c r="D240" s="4"/>
      <c r="E240" s="4"/>
      <c r="F240" s="4">
        <v>1</v>
      </c>
      <c r="G240" s="4">
        <v>1</v>
      </c>
      <c r="H240" s="4">
        <v>4</v>
      </c>
      <c r="I240" s="4"/>
      <c r="J240" s="4"/>
      <c r="K240" s="4">
        <v>1</v>
      </c>
      <c r="L240" s="4"/>
      <c r="M240" s="4"/>
      <c r="N240" s="4"/>
      <c r="O240" s="5">
        <f t="shared" si="3"/>
        <v>7</v>
      </c>
    </row>
    <row r="241" spans="1:15" x14ac:dyDescent="0.25">
      <c r="A241" s="4" t="s">
        <v>511</v>
      </c>
      <c r="B241" s="4" t="s">
        <v>603</v>
      </c>
      <c r="C241" s="4">
        <v>4</v>
      </c>
      <c r="D241" s="4">
        <v>1</v>
      </c>
      <c r="E241" s="4"/>
      <c r="F241" s="4"/>
      <c r="G241" s="4"/>
      <c r="H241" s="4"/>
      <c r="I241" s="4"/>
      <c r="J241" s="4"/>
      <c r="K241" s="4"/>
      <c r="L241" s="4">
        <v>1</v>
      </c>
      <c r="M241" s="4">
        <v>1</v>
      </c>
      <c r="N241" s="4"/>
      <c r="O241" s="5">
        <f t="shared" si="3"/>
        <v>7</v>
      </c>
    </row>
    <row r="242" spans="1:15" x14ac:dyDescent="0.25">
      <c r="A242" s="4" t="s">
        <v>509</v>
      </c>
      <c r="B242" s="4" t="s">
        <v>514</v>
      </c>
      <c r="C242" s="4"/>
      <c r="D242" s="4"/>
      <c r="E242" s="4">
        <v>1</v>
      </c>
      <c r="F242" s="4"/>
      <c r="G242" s="4">
        <v>1</v>
      </c>
      <c r="H242" s="4"/>
      <c r="I242" s="4"/>
      <c r="J242" s="4">
        <v>2</v>
      </c>
      <c r="K242" s="4"/>
      <c r="L242" s="4">
        <v>1</v>
      </c>
      <c r="M242" s="4">
        <v>2</v>
      </c>
      <c r="N242" s="4"/>
      <c r="O242" s="5">
        <f t="shared" si="3"/>
        <v>7</v>
      </c>
    </row>
    <row r="243" spans="1:15" x14ac:dyDescent="0.25">
      <c r="A243" s="4" t="s">
        <v>507</v>
      </c>
      <c r="B243" s="4" t="s">
        <v>560</v>
      </c>
      <c r="C243" s="4">
        <v>1</v>
      </c>
      <c r="D243" s="4"/>
      <c r="E243" s="4">
        <v>1</v>
      </c>
      <c r="F243" s="4"/>
      <c r="G243" s="4">
        <v>1</v>
      </c>
      <c r="H243" s="4">
        <v>1</v>
      </c>
      <c r="I243" s="4"/>
      <c r="J243" s="4"/>
      <c r="K243" s="4">
        <v>1</v>
      </c>
      <c r="L243" s="4"/>
      <c r="M243" s="4"/>
      <c r="N243" s="4">
        <v>1</v>
      </c>
      <c r="O243" s="5">
        <f t="shared" si="3"/>
        <v>6</v>
      </c>
    </row>
    <row r="244" spans="1:15" x14ac:dyDescent="0.25">
      <c r="A244" s="4" t="s">
        <v>505</v>
      </c>
      <c r="B244" s="4" t="s">
        <v>604</v>
      </c>
      <c r="C244" s="4"/>
      <c r="D244" s="4"/>
      <c r="E244" s="4">
        <v>4</v>
      </c>
      <c r="F244" s="4"/>
      <c r="G244" s="4"/>
      <c r="H244" s="4"/>
      <c r="I244" s="4"/>
      <c r="J244" s="4"/>
      <c r="K244" s="4">
        <v>2</v>
      </c>
      <c r="L244" s="4"/>
      <c r="M244" s="4"/>
      <c r="N244" s="4"/>
      <c r="O244" s="5">
        <f t="shared" si="3"/>
        <v>6</v>
      </c>
    </row>
    <row r="245" spans="1:15" x14ac:dyDescent="0.25">
      <c r="A245" s="4" t="s">
        <v>503</v>
      </c>
      <c r="B245" s="4" t="s">
        <v>530</v>
      </c>
      <c r="C245" s="4"/>
      <c r="D245" s="4"/>
      <c r="E245" s="4"/>
      <c r="F245" s="4"/>
      <c r="G245" s="4">
        <v>1</v>
      </c>
      <c r="H245" s="4"/>
      <c r="I245" s="4">
        <v>1</v>
      </c>
      <c r="J245" s="4"/>
      <c r="K245" s="4">
        <v>1</v>
      </c>
      <c r="L245" s="4">
        <v>1</v>
      </c>
      <c r="M245" s="4"/>
      <c r="N245" s="4">
        <v>2</v>
      </c>
      <c r="O245" s="5">
        <f t="shared" si="3"/>
        <v>6</v>
      </c>
    </row>
    <row r="246" spans="1:15" x14ac:dyDescent="0.25">
      <c r="A246" s="4" t="s">
        <v>501</v>
      </c>
      <c r="B246" s="4" t="s">
        <v>538</v>
      </c>
      <c r="C246" s="4"/>
      <c r="D246" s="4"/>
      <c r="E246" s="4"/>
      <c r="F246" s="4">
        <v>1</v>
      </c>
      <c r="G246" s="4"/>
      <c r="H246" s="4">
        <v>2</v>
      </c>
      <c r="I246" s="4">
        <v>1</v>
      </c>
      <c r="J246" s="4"/>
      <c r="K246" s="4"/>
      <c r="L246" s="4"/>
      <c r="M246" s="4"/>
      <c r="N246" s="4">
        <v>1</v>
      </c>
      <c r="O246" s="5">
        <f t="shared" si="3"/>
        <v>5</v>
      </c>
    </row>
    <row r="247" spans="1:15" x14ac:dyDescent="0.25">
      <c r="A247" s="4" t="s">
        <v>499</v>
      </c>
      <c r="B247" s="4" t="s">
        <v>544</v>
      </c>
      <c r="C247" s="4"/>
      <c r="D247" s="4"/>
      <c r="E247" s="4">
        <v>1</v>
      </c>
      <c r="F247" s="4"/>
      <c r="G247" s="4">
        <v>1</v>
      </c>
      <c r="H247" s="4"/>
      <c r="I247" s="4"/>
      <c r="J247" s="4"/>
      <c r="K247" s="4">
        <v>3</v>
      </c>
      <c r="L247" s="4"/>
      <c r="M247" s="4"/>
      <c r="N247" s="4"/>
      <c r="O247" s="5">
        <f t="shared" si="3"/>
        <v>5</v>
      </c>
    </row>
    <row r="248" spans="1:15" x14ac:dyDescent="0.25">
      <c r="A248" s="4" t="s">
        <v>497</v>
      </c>
      <c r="B248" s="4" t="s">
        <v>531</v>
      </c>
      <c r="C248" s="4">
        <v>1</v>
      </c>
      <c r="D248" s="4"/>
      <c r="E248" s="4">
        <v>1</v>
      </c>
      <c r="F248" s="4"/>
      <c r="G248" s="4">
        <v>2</v>
      </c>
      <c r="H248" s="4"/>
      <c r="I248" s="4"/>
      <c r="J248" s="4"/>
      <c r="K248" s="4"/>
      <c r="L248" s="4"/>
      <c r="M248" s="4"/>
      <c r="N248" s="4"/>
      <c r="O248" s="5">
        <f t="shared" si="3"/>
        <v>4</v>
      </c>
    </row>
    <row r="249" spans="1:15" x14ac:dyDescent="0.25">
      <c r="A249" s="4" t="s">
        <v>495</v>
      </c>
      <c r="B249" s="4" t="s">
        <v>504</v>
      </c>
      <c r="C249" s="4">
        <v>1</v>
      </c>
      <c r="D249" s="4">
        <v>2</v>
      </c>
      <c r="E249" s="4"/>
      <c r="F249" s="4">
        <v>1</v>
      </c>
      <c r="G249" s="4"/>
      <c r="H249" s="4"/>
      <c r="I249" s="4"/>
      <c r="J249" s="4"/>
      <c r="K249" s="4"/>
      <c r="L249" s="4"/>
      <c r="M249" s="4"/>
      <c r="N249" s="4"/>
      <c r="O249" s="5">
        <f t="shared" si="3"/>
        <v>4</v>
      </c>
    </row>
    <row r="250" spans="1:15" x14ac:dyDescent="0.25">
      <c r="A250" s="4" t="s">
        <v>493</v>
      </c>
      <c r="B250" s="4" t="s">
        <v>605</v>
      </c>
      <c r="C250" s="4">
        <v>1</v>
      </c>
      <c r="D250" s="4"/>
      <c r="E250" s="4"/>
      <c r="F250" s="4"/>
      <c r="G250" s="4"/>
      <c r="H250" s="4">
        <v>1</v>
      </c>
      <c r="I250" s="4">
        <v>1</v>
      </c>
      <c r="J250" s="4"/>
      <c r="K250" s="4">
        <v>1</v>
      </c>
      <c r="L250" s="4"/>
      <c r="M250" s="4"/>
      <c r="N250" s="4"/>
      <c r="O250" s="5">
        <f t="shared" si="3"/>
        <v>4</v>
      </c>
    </row>
    <row r="251" spans="1:15" x14ac:dyDescent="0.25">
      <c r="A251" s="4" t="s">
        <v>491</v>
      </c>
      <c r="B251" s="4" t="s">
        <v>502</v>
      </c>
      <c r="C251" s="4"/>
      <c r="D251" s="4"/>
      <c r="E251" s="4"/>
      <c r="F251" s="4"/>
      <c r="G251" s="4">
        <v>1</v>
      </c>
      <c r="H251" s="4"/>
      <c r="I251" s="4"/>
      <c r="J251" s="4"/>
      <c r="K251" s="4">
        <v>3</v>
      </c>
      <c r="L251" s="4"/>
      <c r="M251" s="4"/>
      <c r="N251" s="4"/>
      <c r="O251" s="5">
        <f t="shared" si="3"/>
        <v>4</v>
      </c>
    </row>
    <row r="252" spans="1:15" x14ac:dyDescent="0.25">
      <c r="A252" s="4" t="s">
        <v>489</v>
      </c>
      <c r="B252" s="4" t="s">
        <v>606</v>
      </c>
      <c r="C252" s="4"/>
      <c r="D252" s="4">
        <v>2</v>
      </c>
      <c r="E252" s="4"/>
      <c r="F252" s="4"/>
      <c r="G252" s="4"/>
      <c r="H252" s="4"/>
      <c r="I252" s="4"/>
      <c r="J252" s="4"/>
      <c r="K252" s="4"/>
      <c r="L252" s="4"/>
      <c r="M252" s="4"/>
      <c r="N252" s="4">
        <v>2</v>
      </c>
      <c r="O252" s="5">
        <f t="shared" si="3"/>
        <v>4</v>
      </c>
    </row>
    <row r="253" spans="1:15" x14ac:dyDescent="0.25">
      <c r="A253" s="4" t="s">
        <v>487</v>
      </c>
      <c r="B253" s="4" t="s">
        <v>464</v>
      </c>
      <c r="C253" s="4"/>
      <c r="D253" s="4"/>
      <c r="E253" s="4">
        <v>2</v>
      </c>
      <c r="F253" s="4"/>
      <c r="G253" s="4">
        <v>2</v>
      </c>
      <c r="H253" s="4"/>
      <c r="I253" s="4"/>
      <c r="J253" s="4"/>
      <c r="K253" s="4"/>
      <c r="L253" s="4"/>
      <c r="M253" s="4"/>
      <c r="N253" s="4"/>
      <c r="O253" s="5">
        <f t="shared" si="3"/>
        <v>4</v>
      </c>
    </row>
    <row r="254" spans="1:15" x14ac:dyDescent="0.25">
      <c r="A254" s="4" t="s">
        <v>485</v>
      </c>
      <c r="B254" s="4" t="s">
        <v>607</v>
      </c>
      <c r="C254" s="4">
        <v>1</v>
      </c>
      <c r="D254" s="4">
        <v>1</v>
      </c>
      <c r="E254" s="4"/>
      <c r="F254" s="4"/>
      <c r="G254" s="4"/>
      <c r="H254" s="4"/>
      <c r="I254" s="4">
        <v>1</v>
      </c>
      <c r="J254" s="4"/>
      <c r="K254" s="4"/>
      <c r="L254" s="4"/>
      <c r="M254" s="4"/>
      <c r="N254" s="4">
        <v>1</v>
      </c>
      <c r="O254" s="5">
        <f t="shared" si="3"/>
        <v>4</v>
      </c>
    </row>
    <row r="255" spans="1:15" x14ac:dyDescent="0.25">
      <c r="A255" s="4" t="s">
        <v>483</v>
      </c>
      <c r="B255" s="4" t="s">
        <v>562</v>
      </c>
      <c r="C255" s="4"/>
      <c r="D255" s="4"/>
      <c r="E255" s="4"/>
      <c r="F255" s="4"/>
      <c r="G255" s="4"/>
      <c r="H255" s="4"/>
      <c r="I255" s="4"/>
      <c r="J255" s="4"/>
      <c r="K255" s="4">
        <v>3</v>
      </c>
      <c r="L255" s="4"/>
      <c r="M255" s="4"/>
      <c r="N255" s="4"/>
      <c r="O255" s="5">
        <f t="shared" si="3"/>
        <v>3</v>
      </c>
    </row>
    <row r="256" spans="1:15" x14ac:dyDescent="0.25">
      <c r="A256" s="4" t="s">
        <v>481</v>
      </c>
      <c r="B256" s="4" t="s">
        <v>500</v>
      </c>
      <c r="C256" s="4"/>
      <c r="D256" s="4"/>
      <c r="E256" s="4"/>
      <c r="F256" s="4"/>
      <c r="G256" s="4">
        <v>3</v>
      </c>
      <c r="H256" s="4"/>
      <c r="I256" s="4"/>
      <c r="J256" s="4"/>
      <c r="K256" s="4"/>
      <c r="L256" s="4"/>
      <c r="M256" s="4"/>
      <c r="N256" s="4"/>
      <c r="O256" s="5">
        <f t="shared" si="3"/>
        <v>3</v>
      </c>
    </row>
    <row r="257" spans="1:15" x14ac:dyDescent="0.25">
      <c r="A257" s="4" t="s">
        <v>479</v>
      </c>
      <c r="B257" s="4" t="s">
        <v>402</v>
      </c>
      <c r="C257" s="4">
        <v>1</v>
      </c>
      <c r="D257" s="4"/>
      <c r="E257" s="4"/>
      <c r="F257" s="4"/>
      <c r="G257" s="4"/>
      <c r="H257" s="4">
        <v>1</v>
      </c>
      <c r="I257" s="4">
        <v>1</v>
      </c>
      <c r="J257" s="4"/>
      <c r="K257" s="4"/>
      <c r="L257" s="4"/>
      <c r="M257" s="4"/>
      <c r="N257" s="4"/>
      <c r="O257" s="5">
        <f t="shared" si="3"/>
        <v>3</v>
      </c>
    </row>
    <row r="258" spans="1:15" x14ac:dyDescent="0.25">
      <c r="A258" s="4" t="s">
        <v>477</v>
      </c>
      <c r="B258" s="4" t="s">
        <v>608</v>
      </c>
      <c r="C258" s="4"/>
      <c r="D258" s="4"/>
      <c r="E258" s="4">
        <v>1</v>
      </c>
      <c r="F258" s="4"/>
      <c r="G258" s="4"/>
      <c r="H258" s="4"/>
      <c r="I258" s="4">
        <v>1</v>
      </c>
      <c r="J258" s="4"/>
      <c r="K258" s="4"/>
      <c r="L258" s="4">
        <v>1</v>
      </c>
      <c r="M258" s="4"/>
      <c r="N258" s="4"/>
      <c r="O258" s="5">
        <f t="shared" si="3"/>
        <v>3</v>
      </c>
    </row>
    <row r="259" spans="1:15" x14ac:dyDescent="0.25">
      <c r="A259" s="4" t="s">
        <v>475</v>
      </c>
      <c r="B259" s="4" t="s">
        <v>609</v>
      </c>
      <c r="C259" s="4"/>
      <c r="D259" s="4"/>
      <c r="E259" s="4"/>
      <c r="F259" s="4"/>
      <c r="G259" s="4"/>
      <c r="H259" s="4">
        <v>3</v>
      </c>
      <c r="I259" s="4"/>
      <c r="J259" s="4"/>
      <c r="K259" s="4"/>
      <c r="L259" s="4"/>
      <c r="M259" s="4"/>
      <c r="N259" s="4"/>
      <c r="O259" s="5">
        <f t="shared" si="3"/>
        <v>3</v>
      </c>
    </row>
    <row r="260" spans="1:15" x14ac:dyDescent="0.25">
      <c r="A260" s="4" t="s">
        <v>555</v>
      </c>
      <c r="B260" s="4" t="s">
        <v>486</v>
      </c>
      <c r="C260" s="4"/>
      <c r="D260" s="4"/>
      <c r="E260" s="4">
        <v>1</v>
      </c>
      <c r="F260" s="4"/>
      <c r="G260" s="4"/>
      <c r="H260" s="4"/>
      <c r="I260" s="4"/>
      <c r="J260" s="4">
        <v>1</v>
      </c>
      <c r="K260" s="4"/>
      <c r="L260" s="4">
        <v>1</v>
      </c>
      <c r="M260" s="4"/>
      <c r="N260" s="4"/>
      <c r="O260" s="5">
        <f t="shared" ref="O260:O300" si="4">SUM(C260:N260)</f>
        <v>3</v>
      </c>
    </row>
    <row r="261" spans="1:15" x14ac:dyDescent="0.25">
      <c r="A261" s="4" t="s">
        <v>556</v>
      </c>
      <c r="B261" s="4" t="s">
        <v>406</v>
      </c>
      <c r="C261" s="4"/>
      <c r="D261" s="4"/>
      <c r="E261" s="4"/>
      <c r="F261" s="4"/>
      <c r="G261" s="4"/>
      <c r="H261" s="4"/>
      <c r="I261" s="4">
        <v>1</v>
      </c>
      <c r="J261" s="4">
        <v>1</v>
      </c>
      <c r="K261" s="4"/>
      <c r="L261" s="4">
        <v>1</v>
      </c>
      <c r="M261" s="4"/>
      <c r="N261" s="4"/>
      <c r="O261" s="5">
        <f t="shared" si="4"/>
        <v>3</v>
      </c>
    </row>
    <row r="262" spans="1:15" x14ac:dyDescent="0.25">
      <c r="A262" s="4" t="s">
        <v>557</v>
      </c>
      <c r="B262" s="4" t="s">
        <v>610</v>
      </c>
      <c r="C262" s="4">
        <v>1</v>
      </c>
      <c r="D262" s="4">
        <v>2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>
        <f t="shared" si="4"/>
        <v>3</v>
      </c>
    </row>
    <row r="263" spans="1:15" x14ac:dyDescent="0.25">
      <c r="A263" s="4" t="s">
        <v>558</v>
      </c>
      <c r="B263" s="4" t="s">
        <v>492</v>
      </c>
      <c r="C263" s="4"/>
      <c r="D263" s="4"/>
      <c r="E263" s="4"/>
      <c r="F263" s="4"/>
      <c r="G263" s="4">
        <v>1</v>
      </c>
      <c r="H263" s="4"/>
      <c r="I263" s="4"/>
      <c r="J263" s="4"/>
      <c r="K263" s="4">
        <v>2</v>
      </c>
      <c r="L263" s="4"/>
      <c r="M263" s="4"/>
      <c r="N263" s="4"/>
      <c r="O263" s="5">
        <f t="shared" si="4"/>
        <v>3</v>
      </c>
    </row>
    <row r="264" spans="1:15" x14ac:dyDescent="0.25">
      <c r="A264" s="4" t="s">
        <v>559</v>
      </c>
      <c r="B264" s="4" t="s">
        <v>611</v>
      </c>
      <c r="C264" s="4"/>
      <c r="D264" s="4"/>
      <c r="E264" s="4"/>
      <c r="F264" s="4"/>
      <c r="G264" s="4"/>
      <c r="H264" s="4"/>
      <c r="I264" s="4">
        <v>1</v>
      </c>
      <c r="J264" s="4"/>
      <c r="K264" s="4"/>
      <c r="L264" s="4"/>
      <c r="M264" s="4"/>
      <c r="N264" s="4">
        <v>1</v>
      </c>
      <c r="O264" s="5">
        <f t="shared" si="4"/>
        <v>2</v>
      </c>
    </row>
    <row r="265" spans="1:15" x14ac:dyDescent="0.25">
      <c r="A265" s="4" t="s">
        <v>561</v>
      </c>
      <c r="B265" s="4" t="s">
        <v>612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>
        <v>2</v>
      </c>
      <c r="N265" s="4"/>
      <c r="O265" s="5">
        <f t="shared" si="4"/>
        <v>2</v>
      </c>
    </row>
    <row r="266" spans="1:15" x14ac:dyDescent="0.25">
      <c r="A266" s="4" t="s">
        <v>563</v>
      </c>
      <c r="B266" s="4" t="s">
        <v>613</v>
      </c>
      <c r="C266" s="4"/>
      <c r="D266" s="4"/>
      <c r="E266" s="4"/>
      <c r="F266" s="4"/>
      <c r="G266" s="4">
        <v>1</v>
      </c>
      <c r="H266" s="4"/>
      <c r="I266" s="4">
        <v>1</v>
      </c>
      <c r="J266" s="4"/>
      <c r="K266" s="4"/>
      <c r="L266" s="4"/>
      <c r="M266" s="4"/>
      <c r="N266" s="4"/>
      <c r="O266" s="5">
        <f t="shared" si="4"/>
        <v>2</v>
      </c>
    </row>
    <row r="267" spans="1:15" x14ac:dyDescent="0.25">
      <c r="A267" s="4" t="s">
        <v>564</v>
      </c>
      <c r="B267" s="4" t="s">
        <v>614</v>
      </c>
      <c r="C267" s="4"/>
      <c r="D267" s="4"/>
      <c r="E267" s="4"/>
      <c r="F267" s="4">
        <v>1</v>
      </c>
      <c r="G267" s="4">
        <v>1</v>
      </c>
      <c r="H267" s="4"/>
      <c r="I267" s="4"/>
      <c r="J267" s="4"/>
      <c r="K267" s="4"/>
      <c r="L267" s="4"/>
      <c r="M267" s="4"/>
      <c r="N267" s="4"/>
      <c r="O267" s="5">
        <f t="shared" si="4"/>
        <v>2</v>
      </c>
    </row>
    <row r="268" spans="1:15" x14ac:dyDescent="0.25">
      <c r="A268" s="4" t="s">
        <v>566</v>
      </c>
      <c r="B268" s="4" t="s">
        <v>348</v>
      </c>
      <c r="C268" s="4"/>
      <c r="D268" s="4"/>
      <c r="E268" s="4"/>
      <c r="F268" s="4"/>
      <c r="G268" s="4"/>
      <c r="H268" s="4"/>
      <c r="I268" s="4"/>
      <c r="J268" s="4"/>
      <c r="K268" s="4">
        <v>1</v>
      </c>
      <c r="L268" s="4"/>
      <c r="M268" s="4"/>
      <c r="N268" s="4">
        <v>1</v>
      </c>
      <c r="O268" s="5">
        <f t="shared" si="4"/>
        <v>2</v>
      </c>
    </row>
    <row r="269" spans="1:15" x14ac:dyDescent="0.25">
      <c r="A269" s="4" t="s">
        <v>567</v>
      </c>
      <c r="B269" s="4" t="s">
        <v>615</v>
      </c>
      <c r="C269" s="4"/>
      <c r="D269" s="4"/>
      <c r="E269" s="4">
        <v>1</v>
      </c>
      <c r="F269" s="4"/>
      <c r="G269" s="4"/>
      <c r="H269" s="4"/>
      <c r="I269" s="4"/>
      <c r="J269" s="4"/>
      <c r="K269" s="4"/>
      <c r="L269" s="4"/>
      <c r="M269" s="4"/>
      <c r="N269" s="4">
        <v>1</v>
      </c>
      <c r="O269" s="5">
        <f t="shared" si="4"/>
        <v>2</v>
      </c>
    </row>
    <row r="270" spans="1:15" x14ac:dyDescent="0.25">
      <c r="A270" s="4" t="s">
        <v>569</v>
      </c>
      <c r="B270" s="4" t="s">
        <v>466</v>
      </c>
      <c r="C270" s="4"/>
      <c r="D270" s="4"/>
      <c r="E270" s="4">
        <v>1</v>
      </c>
      <c r="F270" s="4"/>
      <c r="G270" s="4"/>
      <c r="H270" s="4"/>
      <c r="I270" s="4"/>
      <c r="J270" s="4"/>
      <c r="K270" s="4"/>
      <c r="L270" s="4"/>
      <c r="M270" s="4">
        <v>1</v>
      </c>
      <c r="N270" s="4"/>
      <c r="O270" s="5">
        <f t="shared" si="4"/>
        <v>2</v>
      </c>
    </row>
    <row r="271" spans="1:15" x14ac:dyDescent="0.25">
      <c r="A271" s="4" t="s">
        <v>571</v>
      </c>
      <c r="B271" s="4" t="s">
        <v>616</v>
      </c>
      <c r="C271" s="4">
        <v>1</v>
      </c>
      <c r="D271" s="4"/>
      <c r="E271" s="4"/>
      <c r="F271" s="4"/>
      <c r="G271" s="4"/>
      <c r="H271" s="4"/>
      <c r="I271" s="4"/>
      <c r="J271" s="4"/>
      <c r="K271" s="4">
        <v>1</v>
      </c>
      <c r="L271" s="4"/>
      <c r="M271" s="4"/>
      <c r="N271" s="4"/>
      <c r="O271" s="5">
        <f t="shared" si="4"/>
        <v>2</v>
      </c>
    </row>
    <row r="272" spans="1:15" x14ac:dyDescent="0.25">
      <c r="A272" s="4" t="s">
        <v>572</v>
      </c>
      <c r="B272" s="4" t="s">
        <v>568</v>
      </c>
      <c r="C272" s="4">
        <v>2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>
        <f t="shared" si="4"/>
        <v>2</v>
      </c>
    </row>
    <row r="273" spans="1:15" x14ac:dyDescent="0.25">
      <c r="A273" s="4" t="s">
        <v>617</v>
      </c>
      <c r="B273" s="4" t="s">
        <v>422</v>
      </c>
      <c r="C273" s="4"/>
      <c r="D273" s="4"/>
      <c r="E273" s="4"/>
      <c r="F273" s="4"/>
      <c r="G273" s="4"/>
      <c r="H273" s="4"/>
      <c r="I273" s="4">
        <v>1</v>
      </c>
      <c r="J273" s="4"/>
      <c r="K273" s="4">
        <v>1</v>
      </c>
      <c r="L273" s="4"/>
      <c r="M273" s="4"/>
      <c r="N273" s="4"/>
      <c r="O273" s="5">
        <f t="shared" si="4"/>
        <v>2</v>
      </c>
    </row>
    <row r="274" spans="1:15" x14ac:dyDescent="0.25">
      <c r="A274" s="4" t="s">
        <v>618</v>
      </c>
      <c r="B274" s="4" t="s">
        <v>488</v>
      </c>
      <c r="C274" s="4"/>
      <c r="D274" s="4"/>
      <c r="E274" s="4"/>
      <c r="F274" s="4">
        <v>1</v>
      </c>
      <c r="G274" s="4"/>
      <c r="H274" s="4"/>
      <c r="I274" s="4"/>
      <c r="J274" s="4"/>
      <c r="K274" s="4"/>
      <c r="L274" s="4">
        <v>1</v>
      </c>
      <c r="M274" s="4"/>
      <c r="N274" s="4"/>
      <c r="O274" s="5">
        <f t="shared" si="4"/>
        <v>2</v>
      </c>
    </row>
    <row r="275" spans="1:15" x14ac:dyDescent="0.25">
      <c r="A275" s="4" t="s">
        <v>619</v>
      </c>
      <c r="B275" s="4" t="s">
        <v>539</v>
      </c>
      <c r="C275" s="4"/>
      <c r="D275" s="4"/>
      <c r="E275" s="4">
        <v>1</v>
      </c>
      <c r="F275" s="4"/>
      <c r="G275" s="4"/>
      <c r="H275" s="4"/>
      <c r="I275" s="4"/>
      <c r="J275" s="4">
        <v>1</v>
      </c>
      <c r="K275" s="4"/>
      <c r="L275" s="4"/>
      <c r="M275" s="4"/>
      <c r="N275" s="4"/>
      <c r="O275" s="5">
        <f t="shared" si="4"/>
        <v>2</v>
      </c>
    </row>
    <row r="276" spans="1:15" x14ac:dyDescent="0.25">
      <c r="A276" s="4" t="s">
        <v>620</v>
      </c>
      <c r="B276" s="4" t="s">
        <v>570</v>
      </c>
      <c r="C276" s="4">
        <v>1</v>
      </c>
      <c r="D276" s="4"/>
      <c r="E276" s="4"/>
      <c r="F276" s="4"/>
      <c r="G276" s="4"/>
      <c r="H276" s="4"/>
      <c r="I276" s="4"/>
      <c r="J276" s="4">
        <v>1</v>
      </c>
      <c r="K276" s="4"/>
      <c r="L276" s="4"/>
      <c r="M276" s="4"/>
      <c r="N276" s="4"/>
      <c r="O276" s="5">
        <f t="shared" si="4"/>
        <v>2</v>
      </c>
    </row>
    <row r="277" spans="1:15" x14ac:dyDescent="0.25">
      <c r="A277" s="4" t="s">
        <v>621</v>
      </c>
      <c r="B277" s="4" t="s">
        <v>622</v>
      </c>
      <c r="C277" s="4"/>
      <c r="D277" s="4"/>
      <c r="E277" s="4">
        <v>1</v>
      </c>
      <c r="F277" s="4"/>
      <c r="G277" s="4"/>
      <c r="H277" s="4"/>
      <c r="I277" s="4"/>
      <c r="J277" s="4"/>
      <c r="K277" s="4"/>
      <c r="L277" s="4"/>
      <c r="M277" s="4"/>
      <c r="N277" s="4"/>
      <c r="O277" s="5">
        <f t="shared" si="4"/>
        <v>1</v>
      </c>
    </row>
    <row r="278" spans="1:15" x14ac:dyDescent="0.25">
      <c r="A278" s="4" t="s">
        <v>623</v>
      </c>
      <c r="B278" s="4" t="s">
        <v>418</v>
      </c>
      <c r="C278" s="4"/>
      <c r="D278" s="4"/>
      <c r="E278" s="4"/>
      <c r="F278" s="4">
        <v>1</v>
      </c>
      <c r="G278" s="4"/>
      <c r="H278" s="4"/>
      <c r="I278" s="4"/>
      <c r="J278" s="4"/>
      <c r="K278" s="4"/>
      <c r="L278" s="4"/>
      <c r="M278" s="4"/>
      <c r="N278" s="4"/>
      <c r="O278" s="5">
        <f t="shared" si="4"/>
        <v>1</v>
      </c>
    </row>
    <row r="279" spans="1:15" x14ac:dyDescent="0.25">
      <c r="A279" s="4" t="s">
        <v>624</v>
      </c>
      <c r="B279" s="4" t="s">
        <v>625</v>
      </c>
      <c r="C279" s="4"/>
      <c r="D279" s="4"/>
      <c r="E279" s="4"/>
      <c r="F279" s="4"/>
      <c r="G279" s="4">
        <v>1</v>
      </c>
      <c r="H279" s="4"/>
      <c r="I279" s="4"/>
      <c r="J279" s="4"/>
      <c r="K279" s="4"/>
      <c r="L279" s="4"/>
      <c r="M279" s="4"/>
      <c r="N279" s="4"/>
      <c r="O279" s="5">
        <f t="shared" si="4"/>
        <v>1</v>
      </c>
    </row>
    <row r="280" spans="1:15" x14ac:dyDescent="0.25">
      <c r="A280" s="4" t="s">
        <v>626</v>
      </c>
      <c r="B280" s="4" t="s">
        <v>627</v>
      </c>
      <c r="C280" s="4"/>
      <c r="D280" s="4"/>
      <c r="E280" s="4"/>
      <c r="F280" s="4"/>
      <c r="G280" s="4"/>
      <c r="H280" s="4"/>
      <c r="I280" s="4">
        <v>1</v>
      </c>
      <c r="J280" s="4"/>
      <c r="K280" s="4"/>
      <c r="L280" s="4"/>
      <c r="M280" s="4"/>
      <c r="N280" s="4"/>
      <c r="O280" s="5">
        <f t="shared" si="4"/>
        <v>1</v>
      </c>
    </row>
    <row r="281" spans="1:15" x14ac:dyDescent="0.25">
      <c r="A281" s="4" t="s">
        <v>628</v>
      </c>
      <c r="B281" s="4" t="s">
        <v>629</v>
      </c>
      <c r="C281" s="4"/>
      <c r="D281" s="4"/>
      <c r="E281" s="4"/>
      <c r="F281" s="4"/>
      <c r="G281" s="4"/>
      <c r="H281" s="4"/>
      <c r="I281" s="4"/>
      <c r="J281" s="4"/>
      <c r="K281" s="4">
        <v>1</v>
      </c>
      <c r="L281" s="4"/>
      <c r="M281" s="4"/>
      <c r="N281" s="4"/>
      <c r="O281" s="5">
        <f t="shared" si="4"/>
        <v>1</v>
      </c>
    </row>
    <row r="282" spans="1:15" x14ac:dyDescent="0.25">
      <c r="A282" s="4" t="s">
        <v>630</v>
      </c>
      <c r="B282" s="4" t="s">
        <v>565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>
        <v>1</v>
      </c>
      <c r="O282" s="5">
        <f t="shared" si="4"/>
        <v>1</v>
      </c>
    </row>
    <row r="283" spans="1:15" x14ac:dyDescent="0.25">
      <c r="A283" s="4" t="s">
        <v>631</v>
      </c>
      <c r="B283" s="4" t="s">
        <v>632</v>
      </c>
      <c r="C283" s="4"/>
      <c r="D283" s="4"/>
      <c r="E283" s="4"/>
      <c r="F283" s="4"/>
      <c r="G283" s="4"/>
      <c r="H283" s="4"/>
      <c r="I283" s="4">
        <v>1</v>
      </c>
      <c r="J283" s="4"/>
      <c r="K283" s="4"/>
      <c r="L283" s="4"/>
      <c r="M283" s="4"/>
      <c r="N283" s="4"/>
      <c r="O283" s="5">
        <f t="shared" si="4"/>
        <v>1</v>
      </c>
    </row>
    <row r="284" spans="1:15" x14ac:dyDescent="0.25">
      <c r="A284" s="4" t="s">
        <v>633</v>
      </c>
      <c r="B284" s="4" t="s">
        <v>634</v>
      </c>
      <c r="C284" s="4">
        <v>1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>
        <f t="shared" si="4"/>
        <v>1</v>
      </c>
    </row>
    <row r="285" spans="1:15" x14ac:dyDescent="0.25">
      <c r="A285" s="4" t="s">
        <v>635</v>
      </c>
      <c r="B285" s="4" t="s">
        <v>636</v>
      </c>
      <c r="C285" s="4"/>
      <c r="D285" s="4"/>
      <c r="E285" s="4">
        <v>1</v>
      </c>
      <c r="F285" s="4"/>
      <c r="G285" s="4"/>
      <c r="H285" s="4"/>
      <c r="I285" s="4"/>
      <c r="J285" s="4"/>
      <c r="K285" s="4"/>
      <c r="L285" s="4"/>
      <c r="M285" s="4"/>
      <c r="N285" s="4"/>
      <c r="O285" s="5">
        <f t="shared" si="4"/>
        <v>1</v>
      </c>
    </row>
    <row r="286" spans="1:15" x14ac:dyDescent="0.25">
      <c r="A286" s="4" t="s">
        <v>637</v>
      </c>
      <c r="B286" s="4" t="s">
        <v>506</v>
      </c>
      <c r="C286" s="4"/>
      <c r="D286" s="4"/>
      <c r="E286" s="4"/>
      <c r="F286" s="4">
        <v>1</v>
      </c>
      <c r="G286" s="4"/>
      <c r="H286" s="4"/>
      <c r="I286" s="4"/>
      <c r="J286" s="4"/>
      <c r="K286" s="4"/>
      <c r="L286" s="4"/>
      <c r="M286" s="4"/>
      <c r="N286" s="4"/>
      <c r="O286" s="5">
        <f t="shared" si="4"/>
        <v>1</v>
      </c>
    </row>
    <row r="287" spans="1:15" x14ac:dyDescent="0.25">
      <c r="A287" s="4" t="s">
        <v>638</v>
      </c>
      <c r="B287" s="4" t="s">
        <v>535</v>
      </c>
      <c r="C287" s="4"/>
      <c r="D287" s="4"/>
      <c r="E287" s="4"/>
      <c r="F287" s="4"/>
      <c r="G287" s="4"/>
      <c r="H287" s="4"/>
      <c r="I287" s="4"/>
      <c r="J287" s="4"/>
      <c r="K287" s="4">
        <v>1</v>
      </c>
      <c r="L287" s="4"/>
      <c r="M287" s="4"/>
      <c r="N287" s="4"/>
      <c r="O287" s="5">
        <f t="shared" si="4"/>
        <v>1</v>
      </c>
    </row>
    <row r="288" spans="1:15" x14ac:dyDescent="0.25">
      <c r="A288" s="4" t="s">
        <v>639</v>
      </c>
      <c r="B288" s="4" t="s">
        <v>640</v>
      </c>
      <c r="C288" s="4"/>
      <c r="D288" s="4"/>
      <c r="E288" s="4"/>
      <c r="F288" s="4"/>
      <c r="G288" s="4">
        <v>1</v>
      </c>
      <c r="H288" s="4"/>
      <c r="I288" s="4"/>
      <c r="J288" s="4"/>
      <c r="K288" s="4"/>
      <c r="L288" s="4"/>
      <c r="M288" s="4"/>
      <c r="N288" s="4"/>
      <c r="O288" s="5">
        <f t="shared" si="4"/>
        <v>1</v>
      </c>
    </row>
    <row r="289" spans="1:15" x14ac:dyDescent="0.25">
      <c r="A289" s="4" t="s">
        <v>641</v>
      </c>
      <c r="B289" s="4" t="s">
        <v>510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>
        <v>1</v>
      </c>
      <c r="O289" s="5">
        <f t="shared" si="4"/>
        <v>1</v>
      </c>
    </row>
    <row r="290" spans="1:15" x14ac:dyDescent="0.25">
      <c r="A290" s="4" t="s">
        <v>642</v>
      </c>
      <c r="B290" s="4" t="s">
        <v>643</v>
      </c>
      <c r="C290" s="4">
        <v>1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>
        <f t="shared" si="4"/>
        <v>1</v>
      </c>
    </row>
    <row r="291" spans="1:15" x14ac:dyDescent="0.25">
      <c r="A291" s="4" t="s">
        <v>644</v>
      </c>
      <c r="B291" s="4" t="s">
        <v>645</v>
      </c>
      <c r="C291" s="4">
        <v>1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>
        <f t="shared" si="4"/>
        <v>1</v>
      </c>
    </row>
    <row r="292" spans="1:15" x14ac:dyDescent="0.25">
      <c r="A292" s="4" t="s">
        <v>646</v>
      </c>
      <c r="B292" s="4" t="s">
        <v>647</v>
      </c>
      <c r="C292" s="4"/>
      <c r="D292" s="4"/>
      <c r="E292" s="4"/>
      <c r="F292" s="4"/>
      <c r="G292" s="4"/>
      <c r="H292" s="4"/>
      <c r="I292" s="4"/>
      <c r="J292" s="4"/>
      <c r="K292" s="4"/>
      <c r="L292" s="4">
        <v>1</v>
      </c>
      <c r="M292" s="4"/>
      <c r="N292" s="4"/>
      <c r="O292" s="5">
        <f t="shared" si="4"/>
        <v>1</v>
      </c>
    </row>
    <row r="293" spans="1:15" x14ac:dyDescent="0.25">
      <c r="A293" s="4" t="s">
        <v>648</v>
      </c>
      <c r="B293" s="4" t="s">
        <v>649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>
        <v>1</v>
      </c>
      <c r="N293" s="4"/>
      <c r="O293" s="5">
        <f t="shared" si="4"/>
        <v>1</v>
      </c>
    </row>
    <row r="294" spans="1:15" x14ac:dyDescent="0.25">
      <c r="A294" s="4" t="s">
        <v>650</v>
      </c>
      <c r="B294" s="4" t="s">
        <v>516</v>
      </c>
      <c r="C294" s="4"/>
      <c r="D294" s="4"/>
      <c r="E294" s="4"/>
      <c r="F294" s="4">
        <v>1</v>
      </c>
      <c r="G294" s="4"/>
      <c r="H294" s="4"/>
      <c r="I294" s="4"/>
      <c r="J294" s="4"/>
      <c r="K294" s="4"/>
      <c r="L294" s="4"/>
      <c r="M294" s="4"/>
      <c r="N294" s="4"/>
      <c r="O294" s="5">
        <f t="shared" si="4"/>
        <v>1</v>
      </c>
    </row>
    <row r="295" spans="1:15" x14ac:dyDescent="0.25">
      <c r="A295" s="4" t="s">
        <v>651</v>
      </c>
      <c r="B295" s="4" t="s">
        <v>652</v>
      </c>
      <c r="C295" s="4">
        <v>1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>
        <f t="shared" si="4"/>
        <v>1</v>
      </c>
    </row>
    <row r="296" spans="1:15" x14ac:dyDescent="0.25">
      <c r="A296" s="4" t="s">
        <v>653</v>
      </c>
      <c r="B296" s="4" t="s">
        <v>654</v>
      </c>
      <c r="C296" s="4"/>
      <c r="D296" s="4"/>
      <c r="E296" s="4">
        <v>1</v>
      </c>
      <c r="F296" s="4"/>
      <c r="G296" s="4"/>
      <c r="H296" s="4"/>
      <c r="I296" s="4"/>
      <c r="J296" s="4"/>
      <c r="K296" s="4"/>
      <c r="L296" s="4"/>
      <c r="M296" s="4"/>
      <c r="N296" s="4"/>
      <c r="O296" s="5">
        <f t="shared" si="4"/>
        <v>1</v>
      </c>
    </row>
    <row r="297" spans="1:15" x14ac:dyDescent="0.25">
      <c r="A297" s="4" t="s">
        <v>655</v>
      </c>
      <c r="B297" s="4" t="s">
        <v>656</v>
      </c>
      <c r="C297" s="4"/>
      <c r="D297" s="4"/>
      <c r="E297" s="4">
        <v>1</v>
      </c>
      <c r="F297" s="4"/>
      <c r="G297" s="4"/>
      <c r="H297" s="4"/>
      <c r="I297" s="4"/>
      <c r="J297" s="4"/>
      <c r="K297" s="4"/>
      <c r="L297" s="4"/>
      <c r="M297" s="4"/>
      <c r="N297" s="4"/>
      <c r="O297" s="5">
        <f t="shared" si="4"/>
        <v>1</v>
      </c>
    </row>
    <row r="298" spans="1:15" x14ac:dyDescent="0.25">
      <c r="A298" s="4" t="s">
        <v>657</v>
      </c>
      <c r="B298" s="4" t="s">
        <v>573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>
        <v>1</v>
      </c>
      <c r="O298" s="5">
        <f t="shared" si="4"/>
        <v>1</v>
      </c>
    </row>
    <row r="299" spans="1:15" x14ac:dyDescent="0.25">
      <c r="A299" s="4" t="s">
        <v>658</v>
      </c>
      <c r="B299" s="4" t="s">
        <v>659</v>
      </c>
      <c r="C299" s="4">
        <v>1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>
        <f t="shared" si="4"/>
        <v>1</v>
      </c>
    </row>
    <row r="300" spans="1:15" x14ac:dyDescent="0.25">
      <c r="A300" s="4" t="s">
        <v>660</v>
      </c>
      <c r="B300" s="4" t="s">
        <v>661</v>
      </c>
      <c r="C300" s="4"/>
      <c r="D300" s="4"/>
      <c r="E300" s="4"/>
      <c r="F300" s="4">
        <v>1</v>
      </c>
      <c r="G300" s="4"/>
      <c r="H300" s="4"/>
      <c r="I300" s="4"/>
      <c r="J300" s="4"/>
      <c r="K300" s="4"/>
      <c r="L300" s="4"/>
      <c r="M300" s="4"/>
      <c r="N300" s="4"/>
      <c r="O300" s="5">
        <f t="shared" si="4"/>
        <v>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ED20-2B74-419C-AF5F-710B925EDF35}">
  <dimension ref="A1:O271"/>
  <sheetViews>
    <sheetView workbookViewId="0">
      <selection sqref="A1:XFD1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9" bestFit="1" customWidth="1"/>
    <col min="4" max="4" width="9.28515625" bestFit="1" customWidth="1"/>
    <col min="5" max="5" width="9.5703125" bestFit="1" customWidth="1"/>
    <col min="6" max="6" width="9.28515625" bestFit="1" customWidth="1"/>
    <col min="7" max="7" width="9.42578125" bestFit="1" customWidth="1"/>
    <col min="8" max="12" width="9.28515625" bestFit="1" customWidth="1"/>
    <col min="13" max="13" width="9.42578125" bestFit="1" customWidth="1"/>
    <col min="14" max="15" width="9.28515625" bestFit="1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1</v>
      </c>
      <c r="C2" s="5">
        <v>6716</v>
      </c>
      <c r="D2" s="5">
        <v>7409</v>
      </c>
      <c r="E2" s="5">
        <v>7567</v>
      </c>
      <c r="F2" s="5">
        <v>7983</v>
      </c>
      <c r="G2" s="5">
        <v>11532</v>
      </c>
      <c r="H2" s="5">
        <v>9840</v>
      </c>
      <c r="I2" s="5">
        <v>10897</v>
      </c>
      <c r="J2" s="5">
        <v>14157</v>
      </c>
      <c r="K2" s="5">
        <v>9908</v>
      </c>
      <c r="L2" s="5">
        <v>8046</v>
      </c>
      <c r="M2" s="5">
        <v>9240</v>
      </c>
      <c r="N2" s="5">
        <v>9169</v>
      </c>
      <c r="O2" s="5">
        <f>SUM(C2:N2)</f>
        <v>112464</v>
      </c>
    </row>
    <row r="3" spans="1:15" x14ac:dyDescent="0.25">
      <c r="A3" s="4" t="s">
        <v>2</v>
      </c>
      <c r="B3" s="4" t="s">
        <v>7</v>
      </c>
      <c r="C3" s="5">
        <v>5634</v>
      </c>
      <c r="D3" s="5">
        <v>6161</v>
      </c>
      <c r="E3" s="5">
        <v>6908</v>
      </c>
      <c r="F3" s="5">
        <v>6502</v>
      </c>
      <c r="G3" s="5">
        <v>9634</v>
      </c>
      <c r="H3" s="5">
        <v>7938</v>
      </c>
      <c r="I3" s="5">
        <v>8156</v>
      </c>
      <c r="J3" s="5">
        <v>10919</v>
      </c>
      <c r="K3" s="5">
        <v>8836</v>
      </c>
      <c r="L3" s="5">
        <v>9084</v>
      </c>
      <c r="M3" s="5">
        <v>9457</v>
      </c>
      <c r="N3" s="5">
        <v>6970</v>
      </c>
      <c r="O3" s="5">
        <f>SUM(C3:N3)</f>
        <v>96199</v>
      </c>
    </row>
    <row r="4" spans="1:15" x14ac:dyDescent="0.25">
      <c r="A4" s="4" t="s">
        <v>4</v>
      </c>
      <c r="B4" s="4" t="s">
        <v>3</v>
      </c>
      <c r="C4" s="5">
        <v>5205</v>
      </c>
      <c r="D4" s="5">
        <v>6723</v>
      </c>
      <c r="E4" s="5">
        <v>5421</v>
      </c>
      <c r="F4" s="5">
        <v>5574</v>
      </c>
      <c r="G4" s="5">
        <v>6982</v>
      </c>
      <c r="H4" s="5">
        <v>3949</v>
      </c>
      <c r="I4" s="5">
        <v>8836</v>
      </c>
      <c r="J4" s="5">
        <v>9821</v>
      </c>
      <c r="K4" s="5">
        <v>8078</v>
      </c>
      <c r="L4" s="5">
        <v>7768</v>
      </c>
      <c r="M4" s="5">
        <v>7393</v>
      </c>
      <c r="N4" s="5">
        <v>9511</v>
      </c>
      <c r="O4" s="5">
        <f t="shared" ref="O4:O67" si="0">SUM(C4:N4)</f>
        <v>85261</v>
      </c>
    </row>
    <row r="5" spans="1:15" x14ac:dyDescent="0.25">
      <c r="A5" s="4" t="s">
        <v>6</v>
      </c>
      <c r="B5" s="4" t="s">
        <v>9</v>
      </c>
      <c r="C5" s="5">
        <v>3431</v>
      </c>
      <c r="D5" s="5">
        <v>4571</v>
      </c>
      <c r="E5" s="5">
        <v>4179</v>
      </c>
      <c r="F5" s="5">
        <v>5240</v>
      </c>
      <c r="G5" s="5">
        <v>5647</v>
      </c>
      <c r="H5" s="5">
        <v>3874</v>
      </c>
      <c r="I5" s="5">
        <v>8135</v>
      </c>
      <c r="J5" s="5">
        <v>8968</v>
      </c>
      <c r="K5" s="5">
        <v>7781</v>
      </c>
      <c r="L5" s="5">
        <v>7354</v>
      </c>
      <c r="M5" s="5">
        <v>8035</v>
      </c>
      <c r="N5" s="5">
        <v>8030</v>
      </c>
      <c r="O5" s="5">
        <f t="shared" si="0"/>
        <v>75245</v>
      </c>
    </row>
    <row r="6" spans="1:15" x14ac:dyDescent="0.25">
      <c r="A6" s="4" t="s">
        <v>8</v>
      </c>
      <c r="B6" s="4" t="s">
        <v>15</v>
      </c>
      <c r="C6" s="5">
        <v>2528</v>
      </c>
      <c r="D6" s="5">
        <v>4217</v>
      </c>
      <c r="E6" s="5">
        <v>6581</v>
      </c>
      <c r="F6" s="5">
        <v>5911</v>
      </c>
      <c r="G6" s="5">
        <v>7493</v>
      </c>
      <c r="H6" s="5">
        <v>4725</v>
      </c>
      <c r="I6" s="5">
        <v>3493</v>
      </c>
      <c r="J6" s="5">
        <v>7613</v>
      </c>
      <c r="K6" s="5">
        <v>7476</v>
      </c>
      <c r="L6" s="5">
        <v>6741</v>
      </c>
      <c r="M6" s="5">
        <v>8724</v>
      </c>
      <c r="N6" s="5">
        <v>7258</v>
      </c>
      <c r="O6" s="5">
        <f t="shared" si="0"/>
        <v>72760</v>
      </c>
    </row>
    <row r="7" spans="1:15" x14ac:dyDescent="0.25">
      <c r="A7" s="4" t="s">
        <v>10</v>
      </c>
      <c r="B7" s="4" t="s">
        <v>92</v>
      </c>
      <c r="C7" s="5">
        <v>3435</v>
      </c>
      <c r="D7" s="5">
        <v>1710</v>
      </c>
      <c r="E7" s="5">
        <v>1193</v>
      </c>
      <c r="F7" s="4">
        <v>837</v>
      </c>
      <c r="G7" s="5">
        <v>6980</v>
      </c>
      <c r="H7" s="5">
        <v>9435</v>
      </c>
      <c r="I7" s="5">
        <v>11925</v>
      </c>
      <c r="J7" s="5">
        <v>11719</v>
      </c>
      <c r="K7" s="5">
        <v>5773</v>
      </c>
      <c r="L7" s="5">
        <v>3099</v>
      </c>
      <c r="M7" s="5">
        <v>7320</v>
      </c>
      <c r="N7" s="5">
        <v>9166</v>
      </c>
      <c r="O7" s="5">
        <f t="shared" si="0"/>
        <v>72592</v>
      </c>
    </row>
    <row r="8" spans="1:15" x14ac:dyDescent="0.25">
      <c r="A8" s="4" t="s">
        <v>14</v>
      </c>
      <c r="B8" s="4" t="s">
        <v>19</v>
      </c>
      <c r="C8" s="5">
        <v>2376</v>
      </c>
      <c r="D8" s="5">
        <v>3560</v>
      </c>
      <c r="E8" s="5">
        <v>4748</v>
      </c>
      <c r="F8" s="5">
        <v>4410</v>
      </c>
      <c r="G8" s="5">
        <v>6564</v>
      </c>
      <c r="H8" s="5">
        <v>5312</v>
      </c>
      <c r="I8" s="5">
        <v>5998</v>
      </c>
      <c r="J8" s="5">
        <v>6708</v>
      </c>
      <c r="K8" s="5">
        <v>7127</v>
      </c>
      <c r="L8" s="5">
        <v>8496</v>
      </c>
      <c r="M8" s="5">
        <v>7231</v>
      </c>
      <c r="N8" s="5">
        <v>8283</v>
      </c>
      <c r="O8" s="5">
        <f t="shared" si="0"/>
        <v>70813</v>
      </c>
    </row>
    <row r="9" spans="1:15" x14ac:dyDescent="0.25">
      <c r="A9" s="4" t="s">
        <v>16</v>
      </c>
      <c r="B9" s="4" t="s">
        <v>11</v>
      </c>
      <c r="C9" s="5">
        <v>3761</v>
      </c>
      <c r="D9" s="5">
        <v>5118</v>
      </c>
      <c r="E9" s="5">
        <v>6549</v>
      </c>
      <c r="F9" s="5">
        <v>4570</v>
      </c>
      <c r="G9" s="5">
        <v>6406</v>
      </c>
      <c r="H9" s="5">
        <v>6308</v>
      </c>
      <c r="I9" s="5">
        <v>3535</v>
      </c>
      <c r="J9" s="5">
        <v>6194</v>
      </c>
      <c r="K9" s="5">
        <v>5803</v>
      </c>
      <c r="L9" s="5">
        <v>5590</v>
      </c>
      <c r="M9" s="5">
        <v>5174</v>
      </c>
      <c r="N9" s="5">
        <v>6182</v>
      </c>
      <c r="O9" s="5">
        <f t="shared" si="0"/>
        <v>65190</v>
      </c>
    </row>
    <row r="10" spans="1:15" x14ac:dyDescent="0.25">
      <c r="A10" s="4" t="s">
        <v>18</v>
      </c>
      <c r="B10" s="4" t="s">
        <v>17</v>
      </c>
      <c r="C10" s="5">
        <v>2676</v>
      </c>
      <c r="D10" s="5">
        <v>4376</v>
      </c>
      <c r="E10" s="5">
        <v>3078</v>
      </c>
      <c r="F10" s="5">
        <v>5488</v>
      </c>
      <c r="G10" s="5">
        <v>3415</v>
      </c>
      <c r="H10" s="5">
        <v>3097</v>
      </c>
      <c r="I10" s="5">
        <v>6103</v>
      </c>
      <c r="J10" s="5">
        <v>7594</v>
      </c>
      <c r="K10" s="5">
        <v>7093</v>
      </c>
      <c r="L10" s="5">
        <v>6628</v>
      </c>
      <c r="M10" s="5">
        <v>7737</v>
      </c>
      <c r="N10" s="5">
        <v>6737</v>
      </c>
      <c r="O10" s="5">
        <f t="shared" si="0"/>
        <v>64022</v>
      </c>
    </row>
    <row r="11" spans="1:15" x14ac:dyDescent="0.25">
      <c r="A11" s="4" t="s">
        <v>20</v>
      </c>
      <c r="B11" s="4" t="s">
        <v>24</v>
      </c>
      <c r="C11" s="5">
        <v>4905</v>
      </c>
      <c r="D11" s="5">
        <v>4503</v>
      </c>
      <c r="E11" s="5">
        <v>4724</v>
      </c>
      <c r="F11" s="5">
        <v>4766</v>
      </c>
      <c r="G11" s="5">
        <v>5924</v>
      </c>
      <c r="H11" s="5">
        <v>6104</v>
      </c>
      <c r="I11" s="5">
        <v>4402</v>
      </c>
      <c r="J11" s="5">
        <v>5284</v>
      </c>
      <c r="K11" s="5">
        <v>5047</v>
      </c>
      <c r="L11" s="5">
        <v>5307</v>
      </c>
      <c r="M11" s="5">
        <v>6409</v>
      </c>
      <c r="N11" s="5">
        <v>6092</v>
      </c>
      <c r="O11" s="5">
        <f t="shared" si="0"/>
        <v>63467</v>
      </c>
    </row>
    <row r="12" spans="1:15" x14ac:dyDescent="0.25">
      <c r="A12" s="4" t="s">
        <v>23</v>
      </c>
      <c r="B12" s="4" t="s">
        <v>21</v>
      </c>
      <c r="C12" s="5">
        <v>4175</v>
      </c>
      <c r="D12" s="5">
        <v>4163</v>
      </c>
      <c r="E12" s="5">
        <v>4238</v>
      </c>
      <c r="F12" s="5">
        <v>4255</v>
      </c>
      <c r="G12" s="5">
        <v>6411</v>
      </c>
      <c r="H12" s="5">
        <v>5924</v>
      </c>
      <c r="I12" s="5">
        <v>5125</v>
      </c>
      <c r="J12" s="5">
        <v>5806</v>
      </c>
      <c r="K12" s="5">
        <v>5586</v>
      </c>
      <c r="L12" s="5">
        <v>5048</v>
      </c>
      <c r="M12" s="5">
        <v>5269</v>
      </c>
      <c r="N12" s="5">
        <v>6572</v>
      </c>
      <c r="O12" s="5">
        <f t="shared" si="0"/>
        <v>62572</v>
      </c>
    </row>
    <row r="13" spans="1:15" x14ac:dyDescent="0.25">
      <c r="A13" s="4" t="s">
        <v>25</v>
      </c>
      <c r="B13" s="4" t="s">
        <v>26</v>
      </c>
      <c r="C13" s="5">
        <v>3180</v>
      </c>
      <c r="D13" s="5">
        <v>4262</v>
      </c>
      <c r="E13" s="5">
        <v>3585</v>
      </c>
      <c r="F13" s="5">
        <v>3849</v>
      </c>
      <c r="G13" s="5">
        <v>2757</v>
      </c>
      <c r="H13" s="5">
        <v>5043</v>
      </c>
      <c r="I13" s="5">
        <v>4489</v>
      </c>
      <c r="J13" s="5">
        <v>6829</v>
      </c>
      <c r="K13" s="5">
        <v>5719</v>
      </c>
      <c r="L13" s="5">
        <v>6041</v>
      </c>
      <c r="M13" s="5">
        <v>6182</v>
      </c>
      <c r="N13" s="5">
        <v>5083</v>
      </c>
      <c r="O13" s="5">
        <f t="shared" si="0"/>
        <v>57019</v>
      </c>
    </row>
    <row r="14" spans="1:15" x14ac:dyDescent="0.25">
      <c r="A14" s="4" t="s">
        <v>27</v>
      </c>
      <c r="B14" s="4" t="s">
        <v>30</v>
      </c>
      <c r="C14" s="5">
        <v>4999</v>
      </c>
      <c r="D14" s="5">
        <v>2229</v>
      </c>
      <c r="E14" s="5">
        <v>3789</v>
      </c>
      <c r="F14" s="5">
        <v>4165</v>
      </c>
      <c r="G14" s="5">
        <v>5489</v>
      </c>
      <c r="H14" s="5">
        <v>4123</v>
      </c>
      <c r="I14" s="5">
        <v>4264</v>
      </c>
      <c r="J14" s="5">
        <v>4654</v>
      </c>
      <c r="K14" s="5">
        <v>3755</v>
      </c>
      <c r="L14" s="5">
        <v>3957</v>
      </c>
      <c r="M14" s="5">
        <v>4474</v>
      </c>
      <c r="N14" s="5">
        <v>5420</v>
      </c>
      <c r="O14" s="5">
        <f t="shared" si="0"/>
        <v>51318</v>
      </c>
    </row>
    <row r="15" spans="1:15" x14ac:dyDescent="0.25">
      <c r="A15" s="4" t="s">
        <v>29</v>
      </c>
      <c r="B15" s="4" t="s">
        <v>42</v>
      </c>
      <c r="C15" s="5">
        <v>3192</v>
      </c>
      <c r="D15" s="5">
        <v>1887</v>
      </c>
      <c r="E15" s="5">
        <v>3650</v>
      </c>
      <c r="F15" s="5">
        <v>5520</v>
      </c>
      <c r="G15" s="5">
        <v>4950</v>
      </c>
      <c r="H15" s="5">
        <v>4839</v>
      </c>
      <c r="I15" s="5">
        <v>5300</v>
      </c>
      <c r="J15" s="5">
        <v>4771</v>
      </c>
      <c r="K15" s="5">
        <v>4398</v>
      </c>
      <c r="L15" s="5">
        <v>4311</v>
      </c>
      <c r="M15" s="5">
        <v>3685</v>
      </c>
      <c r="N15" s="5">
        <v>4019</v>
      </c>
      <c r="O15" s="5">
        <f t="shared" si="0"/>
        <v>50522</v>
      </c>
    </row>
    <row r="16" spans="1:15" x14ac:dyDescent="0.25">
      <c r="A16" s="4" t="s">
        <v>31</v>
      </c>
      <c r="B16" s="4" t="s">
        <v>28</v>
      </c>
      <c r="C16" s="5">
        <v>3293</v>
      </c>
      <c r="D16" s="5">
        <v>3256</v>
      </c>
      <c r="E16" s="5">
        <v>4442</v>
      </c>
      <c r="F16" s="5">
        <v>5107</v>
      </c>
      <c r="G16" s="5">
        <v>5287</v>
      </c>
      <c r="H16" s="5">
        <v>4481</v>
      </c>
      <c r="I16" s="5">
        <v>4333</v>
      </c>
      <c r="J16" s="5">
        <v>4290</v>
      </c>
      <c r="K16" s="5">
        <v>4335</v>
      </c>
      <c r="L16" s="5">
        <v>2980</v>
      </c>
      <c r="M16" s="5">
        <v>3473</v>
      </c>
      <c r="N16" s="5">
        <v>4296</v>
      </c>
      <c r="O16" s="5">
        <f t="shared" si="0"/>
        <v>49573</v>
      </c>
    </row>
    <row r="17" spans="1:15" x14ac:dyDescent="0.25">
      <c r="A17" s="4" t="s">
        <v>33</v>
      </c>
      <c r="B17" s="4" t="s">
        <v>38</v>
      </c>
      <c r="C17" s="5">
        <v>2912</v>
      </c>
      <c r="D17" s="5">
        <v>2558</v>
      </c>
      <c r="E17" s="5">
        <v>3971</v>
      </c>
      <c r="F17" s="5">
        <v>4069</v>
      </c>
      <c r="G17" s="5">
        <v>4145</v>
      </c>
      <c r="H17" s="5">
        <v>3844</v>
      </c>
      <c r="I17" s="5">
        <v>4122</v>
      </c>
      <c r="J17" s="5">
        <v>3979</v>
      </c>
      <c r="K17" s="5">
        <v>4163</v>
      </c>
      <c r="L17" s="5">
        <v>4203</v>
      </c>
      <c r="M17" s="5">
        <v>4816</v>
      </c>
      <c r="N17" s="5">
        <v>5783</v>
      </c>
      <c r="O17" s="5">
        <f t="shared" si="0"/>
        <v>48565</v>
      </c>
    </row>
    <row r="18" spans="1:15" x14ac:dyDescent="0.25">
      <c r="A18" s="4" t="s">
        <v>35</v>
      </c>
      <c r="B18" s="4" t="s">
        <v>48</v>
      </c>
      <c r="C18" s="5">
        <v>2142</v>
      </c>
      <c r="D18" s="5">
        <v>2729</v>
      </c>
      <c r="E18" s="5">
        <v>4196</v>
      </c>
      <c r="F18" s="5">
        <v>3729</v>
      </c>
      <c r="G18" s="5">
        <v>4169</v>
      </c>
      <c r="H18" s="5">
        <v>3834</v>
      </c>
      <c r="I18" s="5">
        <v>4035</v>
      </c>
      <c r="J18" s="5">
        <v>3386</v>
      </c>
      <c r="K18" s="5">
        <v>3360</v>
      </c>
      <c r="L18" s="5">
        <v>3286</v>
      </c>
      <c r="M18" s="5">
        <v>3656</v>
      </c>
      <c r="N18" s="5">
        <v>4330</v>
      </c>
      <c r="O18" s="5">
        <f t="shared" si="0"/>
        <v>42852</v>
      </c>
    </row>
    <row r="19" spans="1:15" x14ac:dyDescent="0.25">
      <c r="A19" s="4" t="s">
        <v>37</v>
      </c>
      <c r="B19" s="4" t="s">
        <v>46</v>
      </c>
      <c r="C19" s="5">
        <v>2478</v>
      </c>
      <c r="D19" s="5">
        <v>3732</v>
      </c>
      <c r="E19" s="5">
        <v>4318</v>
      </c>
      <c r="F19" s="5">
        <v>3861</v>
      </c>
      <c r="G19" s="5">
        <v>3905</v>
      </c>
      <c r="H19" s="5">
        <v>3920</v>
      </c>
      <c r="I19" s="5">
        <v>3614</v>
      </c>
      <c r="J19" s="5">
        <v>3250</v>
      </c>
      <c r="K19" s="5">
        <v>2861</v>
      </c>
      <c r="L19" s="5">
        <v>3225</v>
      </c>
      <c r="M19" s="5">
        <v>3402</v>
      </c>
      <c r="N19" s="5">
        <v>3894</v>
      </c>
      <c r="O19" s="5">
        <f t="shared" si="0"/>
        <v>42460</v>
      </c>
    </row>
    <row r="20" spans="1:15" x14ac:dyDescent="0.25">
      <c r="A20" s="4" t="s">
        <v>39</v>
      </c>
      <c r="B20" s="4" t="s">
        <v>40</v>
      </c>
      <c r="C20" s="5">
        <v>1732</v>
      </c>
      <c r="D20" s="4">
        <v>853</v>
      </c>
      <c r="E20" s="4">
        <v>785</v>
      </c>
      <c r="F20" s="5">
        <v>3043</v>
      </c>
      <c r="G20" s="5">
        <v>3682</v>
      </c>
      <c r="H20" s="5">
        <v>6047</v>
      </c>
      <c r="I20" s="5">
        <v>3829</v>
      </c>
      <c r="J20" s="5">
        <v>3757</v>
      </c>
      <c r="K20" s="5">
        <v>3066</v>
      </c>
      <c r="L20" s="5">
        <v>3716</v>
      </c>
      <c r="M20" s="5">
        <v>6575</v>
      </c>
      <c r="N20" s="5">
        <v>4598</v>
      </c>
      <c r="O20" s="5">
        <f t="shared" si="0"/>
        <v>41683</v>
      </c>
    </row>
    <row r="21" spans="1:15" x14ac:dyDescent="0.25">
      <c r="A21" s="4" t="s">
        <v>41</v>
      </c>
      <c r="B21" s="4" t="s">
        <v>32</v>
      </c>
      <c r="C21" s="5">
        <v>1384</v>
      </c>
      <c r="D21" s="5">
        <v>2417</v>
      </c>
      <c r="E21" s="5">
        <v>3154</v>
      </c>
      <c r="F21" s="5">
        <v>2644</v>
      </c>
      <c r="G21" s="5">
        <v>4087</v>
      </c>
      <c r="H21" s="5">
        <v>2930</v>
      </c>
      <c r="I21" s="5">
        <v>2995</v>
      </c>
      <c r="J21" s="5">
        <v>3380</v>
      </c>
      <c r="K21" s="5">
        <v>3029</v>
      </c>
      <c r="L21" s="5">
        <v>3772</v>
      </c>
      <c r="M21" s="5">
        <v>4859</v>
      </c>
      <c r="N21" s="5">
        <v>4756</v>
      </c>
      <c r="O21" s="5">
        <f t="shared" si="0"/>
        <v>39407</v>
      </c>
    </row>
    <row r="22" spans="1:15" x14ac:dyDescent="0.25">
      <c r="A22" s="4" t="s">
        <v>43</v>
      </c>
      <c r="B22" s="4" t="s">
        <v>36</v>
      </c>
      <c r="C22" s="5">
        <v>1682</v>
      </c>
      <c r="D22" s="5">
        <v>1112</v>
      </c>
      <c r="E22" s="5">
        <v>2569</v>
      </c>
      <c r="F22" s="5">
        <v>2473</v>
      </c>
      <c r="G22" s="5">
        <v>4892</v>
      </c>
      <c r="H22" s="5">
        <v>4316</v>
      </c>
      <c r="I22" s="5">
        <v>5221</v>
      </c>
      <c r="J22" s="5">
        <v>4250</v>
      </c>
      <c r="K22" s="5">
        <v>3549</v>
      </c>
      <c r="L22" s="5">
        <v>2604</v>
      </c>
      <c r="M22" s="5">
        <v>2607</v>
      </c>
      <c r="N22" s="5">
        <v>3667</v>
      </c>
      <c r="O22" s="5">
        <f t="shared" si="0"/>
        <v>38942</v>
      </c>
    </row>
    <row r="23" spans="1:15" x14ac:dyDescent="0.25">
      <c r="A23" s="4" t="s">
        <v>45</v>
      </c>
      <c r="B23" s="4" t="s">
        <v>130</v>
      </c>
      <c r="C23" s="4">
        <v>479</v>
      </c>
      <c r="D23" s="4">
        <v>187</v>
      </c>
      <c r="E23" s="4">
        <v>121</v>
      </c>
      <c r="F23" s="4">
        <v>302</v>
      </c>
      <c r="G23" s="5">
        <v>3511</v>
      </c>
      <c r="H23" s="5">
        <v>3603</v>
      </c>
      <c r="I23" s="5">
        <v>4776</v>
      </c>
      <c r="J23" s="5">
        <v>5564</v>
      </c>
      <c r="K23" s="5">
        <v>4476</v>
      </c>
      <c r="L23" s="5">
        <v>4229</v>
      </c>
      <c r="M23" s="5">
        <v>4677</v>
      </c>
      <c r="N23" s="5">
        <v>4002</v>
      </c>
      <c r="O23" s="5">
        <f t="shared" si="0"/>
        <v>35927</v>
      </c>
    </row>
    <row r="24" spans="1:15" x14ac:dyDescent="0.25">
      <c r="A24" s="4" t="s">
        <v>47</v>
      </c>
      <c r="B24" s="4" t="s">
        <v>54</v>
      </c>
      <c r="C24" s="5">
        <v>1989</v>
      </c>
      <c r="D24" s="5">
        <v>1847</v>
      </c>
      <c r="E24" s="5">
        <v>2307</v>
      </c>
      <c r="F24" s="5">
        <v>1736</v>
      </c>
      <c r="G24" s="5">
        <v>2812</v>
      </c>
      <c r="H24" s="5">
        <v>4349</v>
      </c>
      <c r="I24" s="5">
        <v>2803</v>
      </c>
      <c r="J24" s="5">
        <v>2825</v>
      </c>
      <c r="K24" s="5">
        <v>2214</v>
      </c>
      <c r="L24" s="5">
        <v>1232</v>
      </c>
      <c r="M24" s="5">
        <v>3978</v>
      </c>
      <c r="N24" s="5">
        <v>1787</v>
      </c>
      <c r="O24" s="5">
        <f t="shared" si="0"/>
        <v>29879</v>
      </c>
    </row>
    <row r="25" spans="1:15" x14ac:dyDescent="0.25">
      <c r="A25" s="4" t="s">
        <v>49</v>
      </c>
      <c r="B25" s="4" t="s">
        <v>56</v>
      </c>
      <c r="C25" s="4">
        <v>739</v>
      </c>
      <c r="D25" s="5">
        <v>2259</v>
      </c>
      <c r="E25" s="5">
        <v>2563</v>
      </c>
      <c r="F25" s="5">
        <v>2736</v>
      </c>
      <c r="G25" s="5">
        <v>2715</v>
      </c>
      <c r="H25" s="5">
        <v>2965</v>
      </c>
      <c r="I25" s="5">
        <v>2229</v>
      </c>
      <c r="J25" s="5">
        <v>2115</v>
      </c>
      <c r="K25" s="5">
        <v>2408</v>
      </c>
      <c r="L25" s="5">
        <v>1625</v>
      </c>
      <c r="M25" s="5">
        <v>1404</v>
      </c>
      <c r="N25" s="5">
        <v>3374</v>
      </c>
      <c r="O25" s="5">
        <f t="shared" si="0"/>
        <v>27132</v>
      </c>
    </row>
    <row r="26" spans="1:15" x14ac:dyDescent="0.25">
      <c r="A26" s="4" t="s">
        <v>51</v>
      </c>
      <c r="B26" s="4" t="s">
        <v>64</v>
      </c>
      <c r="C26" s="4">
        <v>955</v>
      </c>
      <c r="D26" s="5">
        <v>2067</v>
      </c>
      <c r="E26" s="5">
        <v>2084</v>
      </c>
      <c r="F26" s="5">
        <v>2324</v>
      </c>
      <c r="G26" s="5">
        <v>2281</v>
      </c>
      <c r="H26" s="5">
        <v>2239</v>
      </c>
      <c r="I26" s="5">
        <v>2208</v>
      </c>
      <c r="J26" s="5">
        <v>2235</v>
      </c>
      <c r="K26" s="5">
        <v>2341</v>
      </c>
      <c r="L26" s="5">
        <v>2254</v>
      </c>
      <c r="M26" s="5">
        <v>2365</v>
      </c>
      <c r="N26" s="5">
        <v>3221</v>
      </c>
      <c r="O26" s="5">
        <f t="shared" si="0"/>
        <v>26574</v>
      </c>
    </row>
    <row r="27" spans="1:15" x14ac:dyDescent="0.25">
      <c r="A27" s="4" t="s">
        <v>53</v>
      </c>
      <c r="B27" s="4" t="s">
        <v>58</v>
      </c>
      <c r="C27" s="5">
        <v>2391</v>
      </c>
      <c r="D27" s="5">
        <v>2055</v>
      </c>
      <c r="E27" s="5">
        <v>2304</v>
      </c>
      <c r="F27" s="5">
        <v>3192</v>
      </c>
      <c r="G27" s="5">
        <v>3003</v>
      </c>
      <c r="H27" s="5">
        <v>2499</v>
      </c>
      <c r="I27" s="4">
        <v>958</v>
      </c>
      <c r="J27" s="4">
        <v>997</v>
      </c>
      <c r="K27" s="5">
        <v>1599</v>
      </c>
      <c r="L27" s="5">
        <v>2155</v>
      </c>
      <c r="M27" s="5">
        <v>1412</v>
      </c>
      <c r="N27" s="5">
        <v>2920</v>
      </c>
      <c r="O27" s="5">
        <f t="shared" si="0"/>
        <v>25485</v>
      </c>
    </row>
    <row r="28" spans="1:15" x14ac:dyDescent="0.25">
      <c r="A28" s="4" t="s">
        <v>55</v>
      </c>
      <c r="B28" s="4" t="s">
        <v>44</v>
      </c>
      <c r="C28" s="5">
        <v>1180</v>
      </c>
      <c r="D28" s="4">
        <v>247</v>
      </c>
      <c r="E28" s="4">
        <v>98</v>
      </c>
      <c r="F28" s="4">
        <v>42</v>
      </c>
      <c r="G28" s="5">
        <v>1456</v>
      </c>
      <c r="H28" s="4">
        <v>755</v>
      </c>
      <c r="I28" s="5">
        <v>1751</v>
      </c>
      <c r="J28" s="5">
        <v>2836</v>
      </c>
      <c r="K28" s="5">
        <v>4608</v>
      </c>
      <c r="L28" s="5">
        <v>4447</v>
      </c>
      <c r="M28" s="5">
        <v>2975</v>
      </c>
      <c r="N28" s="5">
        <v>3024</v>
      </c>
      <c r="O28" s="5">
        <f t="shared" si="0"/>
        <v>23419</v>
      </c>
    </row>
    <row r="29" spans="1:15" x14ac:dyDescent="0.25">
      <c r="A29" s="4" t="s">
        <v>57</v>
      </c>
      <c r="B29" s="4" t="s">
        <v>66</v>
      </c>
      <c r="C29" s="5">
        <v>1445</v>
      </c>
      <c r="D29" s="5">
        <v>1550</v>
      </c>
      <c r="E29" s="5">
        <v>1908</v>
      </c>
      <c r="F29" s="5">
        <v>1405</v>
      </c>
      <c r="G29" s="5">
        <v>1311</v>
      </c>
      <c r="H29" s="5">
        <v>1839</v>
      </c>
      <c r="I29" s="5">
        <v>2039</v>
      </c>
      <c r="J29" s="5">
        <v>2087</v>
      </c>
      <c r="K29" s="5">
        <v>2506</v>
      </c>
      <c r="L29" s="5">
        <v>1913</v>
      </c>
      <c r="M29" s="5">
        <v>2245</v>
      </c>
      <c r="N29" s="5">
        <v>2268</v>
      </c>
      <c r="O29" s="5">
        <f t="shared" si="0"/>
        <v>22516</v>
      </c>
    </row>
    <row r="30" spans="1:15" x14ac:dyDescent="0.25">
      <c r="A30" s="4" t="s">
        <v>59</v>
      </c>
      <c r="B30" s="4" t="s">
        <v>68</v>
      </c>
      <c r="C30" s="5">
        <v>1437</v>
      </c>
      <c r="D30" s="5">
        <v>1614</v>
      </c>
      <c r="E30" s="5">
        <v>1835</v>
      </c>
      <c r="F30" s="5">
        <v>1894</v>
      </c>
      <c r="G30" s="5">
        <v>1405</v>
      </c>
      <c r="H30" s="5">
        <v>1426</v>
      </c>
      <c r="I30" s="5">
        <v>1483</v>
      </c>
      <c r="J30" s="5">
        <v>2338</v>
      </c>
      <c r="K30" s="5">
        <v>2064</v>
      </c>
      <c r="L30" s="5">
        <v>2112</v>
      </c>
      <c r="M30" s="5">
        <v>2422</v>
      </c>
      <c r="N30" s="5">
        <v>2281</v>
      </c>
      <c r="O30" s="5">
        <f t="shared" si="0"/>
        <v>22311</v>
      </c>
    </row>
    <row r="31" spans="1:15" x14ac:dyDescent="0.25">
      <c r="A31" s="4" t="s">
        <v>61</v>
      </c>
      <c r="B31" s="4" t="s">
        <v>82</v>
      </c>
      <c r="C31" s="5">
        <v>1011</v>
      </c>
      <c r="D31" s="5">
        <v>2326</v>
      </c>
      <c r="E31" s="5">
        <v>1992</v>
      </c>
      <c r="F31" s="5">
        <v>2182</v>
      </c>
      <c r="G31" s="5">
        <v>2383</v>
      </c>
      <c r="H31" s="5">
        <v>2431</v>
      </c>
      <c r="I31" s="5">
        <v>2342</v>
      </c>
      <c r="J31" s="5">
        <v>2084</v>
      </c>
      <c r="K31" s="5">
        <v>1742</v>
      </c>
      <c r="L31" s="5">
        <v>1137</v>
      </c>
      <c r="M31" s="5">
        <v>1147</v>
      </c>
      <c r="N31" s="5">
        <v>1324</v>
      </c>
      <c r="O31" s="5">
        <f t="shared" si="0"/>
        <v>22101</v>
      </c>
    </row>
    <row r="32" spans="1:15" x14ac:dyDescent="0.25">
      <c r="A32" s="4" t="s">
        <v>63</v>
      </c>
      <c r="B32" s="4" t="s">
        <v>72</v>
      </c>
      <c r="C32" s="5">
        <v>1343</v>
      </c>
      <c r="D32" s="5">
        <v>1607</v>
      </c>
      <c r="E32" s="5">
        <v>2017</v>
      </c>
      <c r="F32" s="4">
        <v>886</v>
      </c>
      <c r="G32" s="5">
        <v>2165</v>
      </c>
      <c r="H32" s="5">
        <v>1572</v>
      </c>
      <c r="I32" s="5">
        <v>1528</v>
      </c>
      <c r="J32" s="5">
        <v>1897</v>
      </c>
      <c r="K32" s="5">
        <v>1903</v>
      </c>
      <c r="L32" s="5">
        <v>1905</v>
      </c>
      <c r="M32" s="5">
        <v>2111</v>
      </c>
      <c r="N32" s="5">
        <v>2019</v>
      </c>
      <c r="O32" s="5">
        <f t="shared" si="0"/>
        <v>20953</v>
      </c>
    </row>
    <row r="33" spans="1:15" x14ac:dyDescent="0.25">
      <c r="A33" s="4" t="s">
        <v>65</v>
      </c>
      <c r="B33" s="4" t="s">
        <v>122</v>
      </c>
      <c r="C33" s="5">
        <v>2283</v>
      </c>
      <c r="D33" s="5">
        <v>1628</v>
      </c>
      <c r="E33" s="4">
        <v>883</v>
      </c>
      <c r="F33" s="4">
        <v>570</v>
      </c>
      <c r="G33" s="5">
        <v>1590</v>
      </c>
      <c r="H33" s="5">
        <v>3664</v>
      </c>
      <c r="I33" s="4">
        <v>798</v>
      </c>
      <c r="J33" s="5">
        <v>1983</v>
      </c>
      <c r="K33" s="5">
        <v>2118</v>
      </c>
      <c r="L33" s="5">
        <v>1171</v>
      </c>
      <c r="M33" s="5">
        <v>1004</v>
      </c>
      <c r="N33" s="4">
        <v>758</v>
      </c>
      <c r="O33" s="5">
        <f t="shared" si="0"/>
        <v>18450</v>
      </c>
    </row>
    <row r="34" spans="1:15" x14ac:dyDescent="0.25">
      <c r="A34" s="4" t="s">
        <v>67</v>
      </c>
      <c r="B34" s="4" t="s">
        <v>70</v>
      </c>
      <c r="C34" s="4">
        <v>513</v>
      </c>
      <c r="D34" s="4">
        <v>90</v>
      </c>
      <c r="E34" s="5">
        <v>1224</v>
      </c>
      <c r="F34" s="5">
        <v>1611</v>
      </c>
      <c r="G34" s="5">
        <v>1926</v>
      </c>
      <c r="H34" s="5">
        <v>1539</v>
      </c>
      <c r="I34" s="5">
        <v>1266</v>
      </c>
      <c r="J34" s="5">
        <v>1515</v>
      </c>
      <c r="K34" s="5">
        <v>2062</v>
      </c>
      <c r="L34" s="5">
        <v>1736</v>
      </c>
      <c r="M34" s="5">
        <v>1903</v>
      </c>
      <c r="N34" s="5">
        <v>2432</v>
      </c>
      <c r="O34" s="5">
        <f t="shared" si="0"/>
        <v>17817</v>
      </c>
    </row>
    <row r="35" spans="1:15" x14ac:dyDescent="0.25">
      <c r="A35" s="4" t="s">
        <v>69</v>
      </c>
      <c r="B35" s="4" t="s">
        <v>86</v>
      </c>
      <c r="C35" s="4">
        <v>2</v>
      </c>
      <c r="D35" s="4">
        <v>245</v>
      </c>
      <c r="E35" s="5">
        <v>1933</v>
      </c>
      <c r="F35" s="5">
        <v>1782</v>
      </c>
      <c r="G35" s="5">
        <v>1800</v>
      </c>
      <c r="H35" s="5">
        <v>1564</v>
      </c>
      <c r="I35" s="5">
        <v>1609</v>
      </c>
      <c r="J35" s="5">
        <v>1504</v>
      </c>
      <c r="K35" s="5">
        <v>1452</v>
      </c>
      <c r="L35" s="5">
        <v>1322</v>
      </c>
      <c r="M35" s="5">
        <v>1381</v>
      </c>
      <c r="N35" s="5">
        <v>1507</v>
      </c>
      <c r="O35" s="5">
        <f t="shared" si="0"/>
        <v>16101</v>
      </c>
    </row>
    <row r="36" spans="1:15" x14ac:dyDescent="0.25">
      <c r="A36" s="4" t="s">
        <v>71</v>
      </c>
      <c r="B36" s="4" t="s">
        <v>88</v>
      </c>
      <c r="C36" s="4">
        <v>826</v>
      </c>
      <c r="D36" s="4">
        <v>783</v>
      </c>
      <c r="E36" s="5">
        <v>1095</v>
      </c>
      <c r="F36" s="5">
        <v>1055</v>
      </c>
      <c r="G36" s="5">
        <v>1819</v>
      </c>
      <c r="H36" s="5">
        <v>1654</v>
      </c>
      <c r="I36" s="5">
        <v>1794</v>
      </c>
      <c r="J36" s="5">
        <v>1284</v>
      </c>
      <c r="K36" s="5">
        <v>1429</v>
      </c>
      <c r="L36" s="5">
        <v>1242</v>
      </c>
      <c r="M36" s="5">
        <v>1252</v>
      </c>
      <c r="N36" s="5">
        <v>1589</v>
      </c>
      <c r="O36" s="5">
        <f t="shared" si="0"/>
        <v>15822</v>
      </c>
    </row>
    <row r="37" spans="1:15" x14ac:dyDescent="0.25">
      <c r="A37" s="4" t="s">
        <v>73</v>
      </c>
      <c r="B37" s="4" t="s">
        <v>76</v>
      </c>
      <c r="C37" s="4">
        <v>593</v>
      </c>
      <c r="D37" s="5">
        <v>1202</v>
      </c>
      <c r="E37" s="5">
        <v>1221</v>
      </c>
      <c r="F37" s="5">
        <v>1160</v>
      </c>
      <c r="G37" s="5">
        <v>1353</v>
      </c>
      <c r="H37" s="5">
        <v>1276</v>
      </c>
      <c r="I37" s="5">
        <v>1350</v>
      </c>
      <c r="J37" s="5">
        <v>1174</v>
      </c>
      <c r="K37" s="5">
        <v>1360</v>
      </c>
      <c r="L37" s="5">
        <v>1456</v>
      </c>
      <c r="M37" s="5">
        <v>1615</v>
      </c>
      <c r="N37" s="5">
        <v>2004</v>
      </c>
      <c r="O37" s="5">
        <f t="shared" si="0"/>
        <v>15764</v>
      </c>
    </row>
    <row r="38" spans="1:15" x14ac:dyDescent="0.25">
      <c r="A38" s="4" t="s">
        <v>75</v>
      </c>
      <c r="B38" s="4" t="s">
        <v>34</v>
      </c>
      <c r="C38" s="5">
        <v>1792</v>
      </c>
      <c r="D38" s="4">
        <v>826</v>
      </c>
      <c r="E38" s="4">
        <v>466</v>
      </c>
      <c r="F38" s="4">
        <v>115</v>
      </c>
      <c r="G38" s="4">
        <v>21</v>
      </c>
      <c r="H38" s="4">
        <v>7</v>
      </c>
      <c r="I38" s="4">
        <v>9</v>
      </c>
      <c r="J38" s="4">
        <v>486</v>
      </c>
      <c r="K38" s="5">
        <v>2956</v>
      </c>
      <c r="L38" s="5">
        <v>2603</v>
      </c>
      <c r="M38" s="5">
        <v>2904</v>
      </c>
      <c r="N38" s="5">
        <v>3198</v>
      </c>
      <c r="O38" s="5">
        <f t="shared" si="0"/>
        <v>15383</v>
      </c>
    </row>
    <row r="39" spans="1:15" x14ac:dyDescent="0.25">
      <c r="A39" s="4" t="s">
        <v>77</v>
      </c>
      <c r="B39" s="4" t="s">
        <v>74</v>
      </c>
      <c r="C39" s="5">
        <v>1221</v>
      </c>
      <c r="D39" s="4">
        <v>769</v>
      </c>
      <c r="E39" s="5">
        <v>1001</v>
      </c>
      <c r="F39" s="5">
        <v>1111</v>
      </c>
      <c r="G39" s="5">
        <v>1215</v>
      </c>
      <c r="H39" s="5">
        <v>1335</v>
      </c>
      <c r="I39" s="4">
        <v>653</v>
      </c>
      <c r="J39" s="5">
        <v>1371</v>
      </c>
      <c r="K39" s="5">
        <v>1328</v>
      </c>
      <c r="L39" s="5">
        <v>1403</v>
      </c>
      <c r="M39" s="5">
        <v>1284</v>
      </c>
      <c r="N39" s="5">
        <v>1594</v>
      </c>
      <c r="O39" s="5">
        <f t="shared" si="0"/>
        <v>14285</v>
      </c>
    </row>
    <row r="40" spans="1:15" x14ac:dyDescent="0.25">
      <c r="A40" s="4" t="s">
        <v>79</v>
      </c>
      <c r="B40" s="4" t="s">
        <v>78</v>
      </c>
      <c r="C40" s="4">
        <v>889</v>
      </c>
      <c r="D40" s="4">
        <v>997</v>
      </c>
      <c r="E40" s="5">
        <v>1201</v>
      </c>
      <c r="F40" s="5">
        <v>1149</v>
      </c>
      <c r="G40" s="5">
        <v>1274</v>
      </c>
      <c r="H40" s="5">
        <v>1169</v>
      </c>
      <c r="I40" s="5">
        <v>1271</v>
      </c>
      <c r="J40" s="5">
        <v>1221</v>
      </c>
      <c r="K40" s="4">
        <v>758</v>
      </c>
      <c r="L40" s="4">
        <v>869</v>
      </c>
      <c r="M40" s="5">
        <v>1522</v>
      </c>
      <c r="N40" s="5">
        <v>1380</v>
      </c>
      <c r="O40" s="5">
        <f t="shared" si="0"/>
        <v>13700</v>
      </c>
    </row>
    <row r="41" spans="1:15" x14ac:dyDescent="0.25">
      <c r="A41" s="4" t="s">
        <v>81</v>
      </c>
      <c r="B41" s="4" t="s">
        <v>84</v>
      </c>
      <c r="C41" s="5">
        <v>1447</v>
      </c>
      <c r="D41" s="4">
        <v>542</v>
      </c>
      <c r="E41" s="4">
        <v>219</v>
      </c>
      <c r="F41" s="4">
        <v>297</v>
      </c>
      <c r="G41" s="4">
        <v>385</v>
      </c>
      <c r="H41" s="4">
        <v>931</v>
      </c>
      <c r="I41" s="5">
        <v>1368</v>
      </c>
      <c r="J41" s="5">
        <v>1134</v>
      </c>
      <c r="K41" s="5">
        <v>1641</v>
      </c>
      <c r="L41" s="5">
        <v>1443</v>
      </c>
      <c r="M41" s="5">
        <v>1410</v>
      </c>
      <c r="N41" s="5">
        <v>1192</v>
      </c>
      <c r="O41" s="5">
        <f t="shared" si="0"/>
        <v>12009</v>
      </c>
    </row>
    <row r="42" spans="1:15" x14ac:dyDescent="0.25">
      <c r="A42" s="4" t="s">
        <v>83</v>
      </c>
      <c r="B42" s="4" t="s">
        <v>80</v>
      </c>
      <c r="C42" s="4">
        <v>946</v>
      </c>
      <c r="D42" s="4">
        <v>667</v>
      </c>
      <c r="E42" s="4">
        <v>445</v>
      </c>
      <c r="F42" s="4">
        <v>225</v>
      </c>
      <c r="G42" s="4">
        <v>765</v>
      </c>
      <c r="H42" s="4">
        <v>837</v>
      </c>
      <c r="I42" s="5">
        <v>1119</v>
      </c>
      <c r="J42" s="5">
        <v>1167</v>
      </c>
      <c r="K42" s="5">
        <v>1421</v>
      </c>
      <c r="L42" s="4">
        <v>989</v>
      </c>
      <c r="M42" s="5">
        <v>1149</v>
      </c>
      <c r="N42" s="5">
        <v>1495</v>
      </c>
      <c r="O42" s="5">
        <f t="shared" si="0"/>
        <v>11225</v>
      </c>
    </row>
    <row r="43" spans="1:15" x14ac:dyDescent="0.25">
      <c r="A43" s="4" t="s">
        <v>85</v>
      </c>
      <c r="B43" s="4" t="s">
        <v>60</v>
      </c>
      <c r="C43" s="4">
        <v>1</v>
      </c>
      <c r="D43" s="4"/>
      <c r="E43" s="4"/>
      <c r="F43" s="4"/>
      <c r="G43" s="4"/>
      <c r="H43" s="4">
        <v>16</v>
      </c>
      <c r="I43" s="4">
        <v>30</v>
      </c>
      <c r="J43" s="4">
        <v>102</v>
      </c>
      <c r="K43" s="5">
        <v>1604</v>
      </c>
      <c r="L43" s="5">
        <v>2620</v>
      </c>
      <c r="M43" s="5">
        <v>3191</v>
      </c>
      <c r="N43" s="5">
        <v>3271</v>
      </c>
      <c r="O43" s="5">
        <f t="shared" si="0"/>
        <v>10835</v>
      </c>
    </row>
    <row r="44" spans="1:15" x14ac:dyDescent="0.25">
      <c r="A44" s="4" t="s">
        <v>87</v>
      </c>
      <c r="B44" s="4" t="s">
        <v>100</v>
      </c>
      <c r="C44" s="4">
        <v>607</v>
      </c>
      <c r="D44" s="4">
        <v>469</v>
      </c>
      <c r="E44" s="4">
        <v>607</v>
      </c>
      <c r="F44" s="4">
        <v>824</v>
      </c>
      <c r="G44" s="5">
        <v>1089</v>
      </c>
      <c r="H44" s="5">
        <v>1062</v>
      </c>
      <c r="I44" s="4">
        <v>897</v>
      </c>
      <c r="J44" s="5">
        <v>1002</v>
      </c>
      <c r="K44" s="4">
        <v>777</v>
      </c>
      <c r="L44" s="4">
        <v>588</v>
      </c>
      <c r="M44" s="5">
        <v>1341</v>
      </c>
      <c r="N44" s="5">
        <v>1365</v>
      </c>
      <c r="O44" s="5">
        <f t="shared" si="0"/>
        <v>10628</v>
      </c>
    </row>
    <row r="45" spans="1:15" x14ac:dyDescent="0.25">
      <c r="A45" s="4" t="s">
        <v>89</v>
      </c>
      <c r="B45" s="4" t="s">
        <v>96</v>
      </c>
      <c r="C45" s="4">
        <v>670</v>
      </c>
      <c r="D45" s="4">
        <v>887</v>
      </c>
      <c r="E45" s="4">
        <v>543</v>
      </c>
      <c r="F45" s="4">
        <v>883</v>
      </c>
      <c r="G45" s="4">
        <v>632</v>
      </c>
      <c r="H45" s="4">
        <v>910</v>
      </c>
      <c r="I45" s="4">
        <v>665</v>
      </c>
      <c r="J45" s="5">
        <v>1189</v>
      </c>
      <c r="K45" s="5">
        <v>1593</v>
      </c>
      <c r="L45" s="4">
        <v>978</v>
      </c>
      <c r="M45" s="4">
        <v>776</v>
      </c>
      <c r="N45" s="4">
        <v>715</v>
      </c>
      <c r="O45" s="5">
        <f t="shared" si="0"/>
        <v>10441</v>
      </c>
    </row>
    <row r="46" spans="1:15" x14ac:dyDescent="0.25">
      <c r="A46" s="4" t="s">
        <v>91</v>
      </c>
      <c r="B46" s="4" t="s">
        <v>112</v>
      </c>
      <c r="C46" s="4">
        <v>607</v>
      </c>
      <c r="D46" s="5">
        <v>1363</v>
      </c>
      <c r="E46" s="4">
        <v>798</v>
      </c>
      <c r="F46" s="4">
        <v>649</v>
      </c>
      <c r="G46" s="4">
        <v>329</v>
      </c>
      <c r="H46" s="4">
        <v>895</v>
      </c>
      <c r="I46" s="5">
        <v>1333</v>
      </c>
      <c r="J46" s="4">
        <v>687</v>
      </c>
      <c r="K46" s="4">
        <v>834</v>
      </c>
      <c r="L46" s="4">
        <v>689</v>
      </c>
      <c r="M46" s="5">
        <v>1206</v>
      </c>
      <c r="N46" s="4">
        <v>916</v>
      </c>
      <c r="O46" s="5">
        <f t="shared" si="0"/>
        <v>10306</v>
      </c>
    </row>
    <row r="47" spans="1:15" x14ac:dyDescent="0.25">
      <c r="A47" s="4" t="s">
        <v>93</v>
      </c>
      <c r="B47" s="4" t="s">
        <v>90</v>
      </c>
      <c r="C47" s="4">
        <v>623</v>
      </c>
      <c r="D47" s="4">
        <v>480</v>
      </c>
      <c r="E47" s="4">
        <v>661</v>
      </c>
      <c r="F47" s="4">
        <v>829</v>
      </c>
      <c r="G47" s="5">
        <v>1170</v>
      </c>
      <c r="H47" s="4">
        <v>663</v>
      </c>
      <c r="I47" s="4">
        <v>941</v>
      </c>
      <c r="J47" s="5">
        <v>1062</v>
      </c>
      <c r="K47" s="5">
        <v>1187</v>
      </c>
      <c r="L47" s="4">
        <v>746</v>
      </c>
      <c r="M47" s="4">
        <v>756</v>
      </c>
      <c r="N47" s="4">
        <v>894</v>
      </c>
      <c r="O47" s="5">
        <f t="shared" si="0"/>
        <v>10012</v>
      </c>
    </row>
    <row r="48" spans="1:15" x14ac:dyDescent="0.25">
      <c r="A48" s="4" t="s">
        <v>95</v>
      </c>
      <c r="B48" s="4" t="s">
        <v>50</v>
      </c>
      <c r="C48" s="4"/>
      <c r="D48" s="4"/>
      <c r="E48" s="4"/>
      <c r="F48" s="4"/>
      <c r="G48" s="4"/>
      <c r="H48" s="4"/>
      <c r="I48" s="4"/>
      <c r="J48" s="4">
        <v>16</v>
      </c>
      <c r="K48" s="4">
        <v>432</v>
      </c>
      <c r="L48" s="5">
        <v>2843</v>
      </c>
      <c r="M48" s="5">
        <v>3190</v>
      </c>
      <c r="N48" s="5">
        <v>3411</v>
      </c>
      <c r="O48" s="5">
        <f t="shared" si="0"/>
        <v>9892</v>
      </c>
    </row>
    <row r="49" spans="1:15" x14ac:dyDescent="0.25">
      <c r="A49" s="4" t="s">
        <v>97</v>
      </c>
      <c r="B49" s="4" t="s">
        <v>94</v>
      </c>
      <c r="C49" s="4">
        <v>598</v>
      </c>
      <c r="D49" s="4">
        <v>666</v>
      </c>
      <c r="E49" s="5">
        <v>1081</v>
      </c>
      <c r="F49" s="4">
        <v>859</v>
      </c>
      <c r="G49" s="4">
        <v>918</v>
      </c>
      <c r="H49" s="5">
        <v>1028</v>
      </c>
      <c r="I49" s="4">
        <v>741</v>
      </c>
      <c r="J49" s="4">
        <v>763</v>
      </c>
      <c r="K49" s="4">
        <v>677</v>
      </c>
      <c r="L49" s="4">
        <v>456</v>
      </c>
      <c r="M49" s="5">
        <v>1178</v>
      </c>
      <c r="N49" s="4">
        <v>689</v>
      </c>
      <c r="O49" s="5">
        <f t="shared" si="0"/>
        <v>9654</v>
      </c>
    </row>
    <row r="50" spans="1:15" x14ac:dyDescent="0.25">
      <c r="A50" s="4" t="s">
        <v>99</v>
      </c>
      <c r="B50" s="4" t="s">
        <v>108</v>
      </c>
      <c r="C50" s="4">
        <v>511</v>
      </c>
      <c r="D50" s="4">
        <v>750</v>
      </c>
      <c r="E50" s="4">
        <v>654</v>
      </c>
      <c r="F50" s="4">
        <v>716</v>
      </c>
      <c r="G50" s="5">
        <v>1111</v>
      </c>
      <c r="H50" s="4">
        <v>744</v>
      </c>
      <c r="I50" s="4">
        <v>556</v>
      </c>
      <c r="J50" s="4">
        <v>983</v>
      </c>
      <c r="K50" s="4">
        <v>823</v>
      </c>
      <c r="L50" s="4">
        <v>479</v>
      </c>
      <c r="M50" s="4">
        <v>672</v>
      </c>
      <c r="N50" s="4">
        <v>880</v>
      </c>
      <c r="O50" s="5">
        <f t="shared" si="0"/>
        <v>8879</v>
      </c>
    </row>
    <row r="51" spans="1:15" x14ac:dyDescent="0.25">
      <c r="A51" s="4" t="s">
        <v>101</v>
      </c>
      <c r="B51" s="4" t="s">
        <v>102</v>
      </c>
      <c r="C51" s="4">
        <v>950</v>
      </c>
      <c r="D51" s="4">
        <v>565</v>
      </c>
      <c r="E51" s="4">
        <v>618</v>
      </c>
      <c r="F51" s="4">
        <v>338</v>
      </c>
      <c r="G51" s="4">
        <v>721</v>
      </c>
      <c r="H51" s="4">
        <v>792</v>
      </c>
      <c r="I51" s="4">
        <v>743</v>
      </c>
      <c r="J51" s="4">
        <v>600</v>
      </c>
      <c r="K51" s="4">
        <v>674</v>
      </c>
      <c r="L51" s="4">
        <v>602</v>
      </c>
      <c r="M51" s="5">
        <v>1108</v>
      </c>
      <c r="N51" s="4">
        <v>945</v>
      </c>
      <c r="O51" s="5">
        <f t="shared" si="0"/>
        <v>8656</v>
      </c>
    </row>
    <row r="52" spans="1:15" x14ac:dyDescent="0.25">
      <c r="A52" s="4" t="s">
        <v>103</v>
      </c>
      <c r="B52" s="4" t="s">
        <v>178</v>
      </c>
      <c r="C52" s="4">
        <v>458</v>
      </c>
      <c r="D52" s="4">
        <v>485</v>
      </c>
      <c r="E52" s="4">
        <v>746</v>
      </c>
      <c r="F52" s="5">
        <v>1115</v>
      </c>
      <c r="G52" s="5">
        <v>1085</v>
      </c>
      <c r="H52" s="4">
        <v>946</v>
      </c>
      <c r="I52" s="5">
        <v>1049</v>
      </c>
      <c r="J52" s="4">
        <v>889</v>
      </c>
      <c r="K52" s="4">
        <v>780</v>
      </c>
      <c r="L52" s="4">
        <v>413</v>
      </c>
      <c r="M52" s="4">
        <v>371</v>
      </c>
      <c r="N52" s="4">
        <v>181</v>
      </c>
      <c r="O52" s="5">
        <f t="shared" si="0"/>
        <v>8518</v>
      </c>
    </row>
    <row r="53" spans="1:15" x14ac:dyDescent="0.25">
      <c r="A53" s="4" t="s">
        <v>105</v>
      </c>
      <c r="B53" s="4" t="s">
        <v>5</v>
      </c>
      <c r="C53" s="4">
        <v>253</v>
      </c>
      <c r="D53" s="4">
        <v>295</v>
      </c>
      <c r="E53" s="4">
        <v>491</v>
      </c>
      <c r="F53" s="4">
        <v>329</v>
      </c>
      <c r="G53" s="4">
        <v>391</v>
      </c>
      <c r="H53" s="4">
        <v>248</v>
      </c>
      <c r="I53" s="4">
        <v>177</v>
      </c>
      <c r="J53" s="4">
        <v>130</v>
      </c>
      <c r="K53" s="4">
        <v>89</v>
      </c>
      <c r="L53" s="4">
        <v>740</v>
      </c>
      <c r="M53" s="5">
        <v>2152</v>
      </c>
      <c r="N53" s="5">
        <v>2887</v>
      </c>
      <c r="O53" s="5">
        <f t="shared" si="0"/>
        <v>8182</v>
      </c>
    </row>
    <row r="54" spans="1:15" x14ac:dyDescent="0.25">
      <c r="A54" s="4" t="s">
        <v>107</v>
      </c>
      <c r="B54" s="4" t="s">
        <v>104</v>
      </c>
      <c r="C54" s="4">
        <v>954</v>
      </c>
      <c r="D54" s="4">
        <v>506</v>
      </c>
      <c r="E54" s="4">
        <v>243</v>
      </c>
      <c r="F54" s="4">
        <v>101</v>
      </c>
      <c r="G54" s="4">
        <v>47</v>
      </c>
      <c r="H54" s="4">
        <v>83</v>
      </c>
      <c r="I54" s="4">
        <v>636</v>
      </c>
      <c r="J54" s="4">
        <v>719</v>
      </c>
      <c r="K54" s="4">
        <v>621</v>
      </c>
      <c r="L54" s="4">
        <v>432</v>
      </c>
      <c r="M54" s="4">
        <v>774</v>
      </c>
      <c r="N54" s="4">
        <v>888</v>
      </c>
      <c r="O54" s="5">
        <f t="shared" si="0"/>
        <v>6004</v>
      </c>
    </row>
    <row r="55" spans="1:15" x14ac:dyDescent="0.25">
      <c r="A55" s="4" t="s">
        <v>109</v>
      </c>
      <c r="B55" s="4" t="s">
        <v>98</v>
      </c>
      <c r="C55" s="4">
        <v>796</v>
      </c>
      <c r="D55" s="5">
        <v>1058</v>
      </c>
      <c r="E55" s="4">
        <v>836</v>
      </c>
      <c r="F55" s="4">
        <v>560</v>
      </c>
      <c r="G55" s="4">
        <v>532</v>
      </c>
      <c r="H55" s="4">
        <v>364</v>
      </c>
      <c r="I55" s="4">
        <v>339</v>
      </c>
      <c r="J55" s="4">
        <v>266</v>
      </c>
      <c r="K55" s="4">
        <v>196</v>
      </c>
      <c r="L55" s="4">
        <v>77</v>
      </c>
      <c r="M55" s="4">
        <v>131</v>
      </c>
      <c r="N55" s="4">
        <v>482</v>
      </c>
      <c r="O55" s="5">
        <f t="shared" si="0"/>
        <v>5637</v>
      </c>
    </row>
    <row r="56" spans="1:15" x14ac:dyDescent="0.25">
      <c r="A56" s="4" t="s">
        <v>111</v>
      </c>
      <c r="B56" s="4" t="s">
        <v>62</v>
      </c>
      <c r="C56" s="4">
        <v>612</v>
      </c>
      <c r="D56" s="4">
        <v>301</v>
      </c>
      <c r="E56" s="4">
        <v>429</v>
      </c>
      <c r="F56" s="4">
        <v>433</v>
      </c>
      <c r="G56" s="4">
        <v>592</v>
      </c>
      <c r="H56" s="4">
        <v>415</v>
      </c>
      <c r="I56" s="4">
        <v>381</v>
      </c>
      <c r="J56" s="4">
        <v>367</v>
      </c>
      <c r="K56" s="4">
        <v>313</v>
      </c>
      <c r="L56" s="4">
        <v>382</v>
      </c>
      <c r="M56" s="4">
        <v>600</v>
      </c>
      <c r="N56" s="4">
        <v>796</v>
      </c>
      <c r="O56" s="5">
        <f t="shared" si="0"/>
        <v>5621</v>
      </c>
    </row>
    <row r="57" spans="1:15" x14ac:dyDescent="0.25">
      <c r="A57" s="4" t="s">
        <v>113</v>
      </c>
      <c r="B57" s="4" t="s">
        <v>110</v>
      </c>
      <c r="C57" s="4">
        <v>276</v>
      </c>
      <c r="D57" s="4">
        <v>492</v>
      </c>
      <c r="E57" s="4">
        <v>558</v>
      </c>
      <c r="F57" s="4">
        <v>327</v>
      </c>
      <c r="G57" s="4">
        <v>396</v>
      </c>
      <c r="H57" s="4">
        <v>422</v>
      </c>
      <c r="I57" s="4">
        <v>334</v>
      </c>
      <c r="J57" s="4">
        <v>328</v>
      </c>
      <c r="K57" s="4">
        <v>377</v>
      </c>
      <c r="L57" s="4">
        <v>517</v>
      </c>
      <c r="M57" s="4">
        <v>692</v>
      </c>
      <c r="N57" s="4">
        <v>812</v>
      </c>
      <c r="O57" s="5">
        <f t="shared" si="0"/>
        <v>5531</v>
      </c>
    </row>
    <row r="58" spans="1:15" x14ac:dyDescent="0.25">
      <c r="A58" s="4" t="s">
        <v>115</v>
      </c>
      <c r="B58" s="4" t="s">
        <v>150</v>
      </c>
      <c r="C58" s="5">
        <v>1631</v>
      </c>
      <c r="D58" s="4">
        <v>445</v>
      </c>
      <c r="E58" s="4">
        <v>393</v>
      </c>
      <c r="F58" s="4">
        <v>289</v>
      </c>
      <c r="G58" s="5">
        <v>1042</v>
      </c>
      <c r="H58" s="4">
        <v>125</v>
      </c>
      <c r="I58" s="4">
        <v>227</v>
      </c>
      <c r="J58" s="4">
        <v>118</v>
      </c>
      <c r="K58" s="4">
        <v>227</v>
      </c>
      <c r="L58" s="4">
        <v>225</v>
      </c>
      <c r="M58" s="4">
        <v>210</v>
      </c>
      <c r="N58" s="4">
        <v>240</v>
      </c>
      <c r="O58" s="5">
        <f t="shared" si="0"/>
        <v>5172</v>
      </c>
    </row>
    <row r="59" spans="1:15" x14ac:dyDescent="0.25">
      <c r="A59" s="4" t="s">
        <v>117</v>
      </c>
      <c r="B59" s="4" t="s">
        <v>390</v>
      </c>
      <c r="C59" s="5">
        <v>666</v>
      </c>
      <c r="D59" s="5">
        <v>2639</v>
      </c>
      <c r="E59" s="4">
        <v>296</v>
      </c>
      <c r="F59" s="4">
        <v>205</v>
      </c>
      <c r="G59" s="5">
        <v>131</v>
      </c>
      <c r="H59" s="4">
        <v>83</v>
      </c>
      <c r="I59" s="4">
        <v>59</v>
      </c>
      <c r="J59" s="4">
        <v>34</v>
      </c>
      <c r="K59" s="4">
        <v>12</v>
      </c>
      <c r="L59" s="4">
        <v>7</v>
      </c>
      <c r="M59" s="4">
        <v>6</v>
      </c>
      <c r="N59" s="4">
        <v>4</v>
      </c>
      <c r="O59" s="5">
        <f t="shared" si="0"/>
        <v>4142</v>
      </c>
    </row>
    <row r="60" spans="1:15" x14ac:dyDescent="0.25">
      <c r="A60" s="4" t="s">
        <v>119</v>
      </c>
      <c r="B60" s="4" t="s">
        <v>132</v>
      </c>
      <c r="C60" s="4">
        <v>139</v>
      </c>
      <c r="D60" s="5">
        <v>140</v>
      </c>
      <c r="E60" s="4">
        <v>138</v>
      </c>
      <c r="F60" s="4">
        <v>217</v>
      </c>
      <c r="G60" s="4">
        <v>566</v>
      </c>
      <c r="H60" s="4">
        <v>358</v>
      </c>
      <c r="I60" s="4">
        <v>315</v>
      </c>
      <c r="J60" s="4">
        <v>400</v>
      </c>
      <c r="K60" s="4">
        <v>426</v>
      </c>
      <c r="L60" s="4">
        <v>264</v>
      </c>
      <c r="M60" s="4">
        <v>476</v>
      </c>
      <c r="N60" s="4">
        <v>284</v>
      </c>
      <c r="O60" s="5">
        <f t="shared" si="0"/>
        <v>3723</v>
      </c>
    </row>
    <row r="61" spans="1:15" x14ac:dyDescent="0.25">
      <c r="A61" s="4" t="s">
        <v>121</v>
      </c>
      <c r="B61" s="4" t="s">
        <v>344</v>
      </c>
      <c r="C61" s="5">
        <v>1023</v>
      </c>
      <c r="D61" s="4">
        <v>798</v>
      </c>
      <c r="E61" s="4">
        <v>708</v>
      </c>
      <c r="F61" s="4">
        <v>544</v>
      </c>
      <c r="G61" s="4">
        <v>246</v>
      </c>
      <c r="H61" s="4">
        <v>94</v>
      </c>
      <c r="I61" s="4">
        <v>68</v>
      </c>
      <c r="J61" s="4">
        <v>53</v>
      </c>
      <c r="K61" s="4">
        <v>29</v>
      </c>
      <c r="L61" s="4">
        <v>17</v>
      </c>
      <c r="M61" s="4">
        <v>37</v>
      </c>
      <c r="N61" s="4">
        <v>40</v>
      </c>
      <c r="O61" s="5">
        <f t="shared" si="0"/>
        <v>3657</v>
      </c>
    </row>
    <row r="62" spans="1:15" x14ac:dyDescent="0.25">
      <c r="A62" s="4" t="s">
        <v>123</v>
      </c>
      <c r="B62" s="4" t="s">
        <v>158</v>
      </c>
      <c r="C62" s="5">
        <v>398</v>
      </c>
      <c r="D62" s="4">
        <v>261</v>
      </c>
      <c r="E62" s="4">
        <v>309</v>
      </c>
      <c r="F62" s="4">
        <v>247</v>
      </c>
      <c r="G62" s="4">
        <v>429</v>
      </c>
      <c r="H62" s="4">
        <v>339</v>
      </c>
      <c r="I62" s="4">
        <v>225</v>
      </c>
      <c r="J62" s="4">
        <v>386</v>
      </c>
      <c r="K62" s="4">
        <v>298</v>
      </c>
      <c r="L62" s="4">
        <v>314</v>
      </c>
      <c r="M62" s="4">
        <v>155</v>
      </c>
      <c r="N62" s="4">
        <v>184</v>
      </c>
      <c r="O62" s="5">
        <f t="shared" si="0"/>
        <v>3545</v>
      </c>
    </row>
    <row r="63" spans="1:15" x14ac:dyDescent="0.25">
      <c r="A63" s="4" t="s">
        <v>125</v>
      </c>
      <c r="B63" s="4" t="s">
        <v>124</v>
      </c>
      <c r="C63" s="4">
        <v>136</v>
      </c>
      <c r="D63" s="4">
        <v>142</v>
      </c>
      <c r="E63" s="4">
        <v>395</v>
      </c>
      <c r="F63" s="4">
        <v>361</v>
      </c>
      <c r="G63" s="4">
        <v>474</v>
      </c>
      <c r="H63" s="4">
        <v>470</v>
      </c>
      <c r="I63" s="4">
        <v>406</v>
      </c>
      <c r="J63" s="4">
        <v>487</v>
      </c>
      <c r="K63" s="4">
        <v>346</v>
      </c>
      <c r="L63" s="4">
        <v>161</v>
      </c>
      <c r="M63" s="4">
        <v>74</v>
      </c>
      <c r="N63" s="4">
        <v>28</v>
      </c>
      <c r="O63" s="5">
        <f t="shared" si="0"/>
        <v>3480</v>
      </c>
    </row>
    <row r="64" spans="1:15" x14ac:dyDescent="0.25">
      <c r="A64" s="4" t="s">
        <v>127</v>
      </c>
      <c r="B64" s="4" t="s">
        <v>160</v>
      </c>
      <c r="C64" s="4">
        <v>347</v>
      </c>
      <c r="D64" s="4">
        <v>113</v>
      </c>
      <c r="E64" s="4">
        <v>80</v>
      </c>
      <c r="F64" s="4">
        <v>305</v>
      </c>
      <c r="G64" s="4">
        <v>209</v>
      </c>
      <c r="H64" s="4">
        <v>126</v>
      </c>
      <c r="I64" s="4">
        <v>86</v>
      </c>
      <c r="J64" s="4">
        <v>245</v>
      </c>
      <c r="K64" s="4">
        <v>717</v>
      </c>
      <c r="L64" s="4">
        <v>349</v>
      </c>
      <c r="M64" s="4">
        <v>337</v>
      </c>
      <c r="N64" s="4">
        <v>296</v>
      </c>
      <c r="O64" s="5">
        <f t="shared" si="0"/>
        <v>3210</v>
      </c>
    </row>
    <row r="65" spans="1:15" x14ac:dyDescent="0.25">
      <c r="A65" s="4" t="s">
        <v>129</v>
      </c>
      <c r="B65" s="4" t="s">
        <v>260</v>
      </c>
      <c r="C65" s="4">
        <v>567</v>
      </c>
      <c r="D65" s="4">
        <v>480</v>
      </c>
      <c r="E65" s="4">
        <v>595</v>
      </c>
      <c r="F65" s="4">
        <v>315</v>
      </c>
      <c r="G65" s="4">
        <v>240</v>
      </c>
      <c r="H65" s="4">
        <v>209</v>
      </c>
      <c r="I65" s="4">
        <v>180</v>
      </c>
      <c r="J65" s="4">
        <v>130</v>
      </c>
      <c r="K65" s="4">
        <v>69</v>
      </c>
      <c r="L65" s="4">
        <v>58</v>
      </c>
      <c r="M65" s="4">
        <v>49</v>
      </c>
      <c r="N65" s="4">
        <v>75</v>
      </c>
      <c r="O65" s="5">
        <f t="shared" si="0"/>
        <v>2967</v>
      </c>
    </row>
    <row r="66" spans="1:15" x14ac:dyDescent="0.25">
      <c r="A66" s="4" t="s">
        <v>131</v>
      </c>
      <c r="B66" s="4" t="s">
        <v>140</v>
      </c>
      <c r="C66" s="4">
        <v>225</v>
      </c>
      <c r="D66" s="4">
        <v>242</v>
      </c>
      <c r="E66" s="4">
        <v>281</v>
      </c>
      <c r="F66" s="4">
        <v>357</v>
      </c>
      <c r="G66" s="4">
        <v>326</v>
      </c>
      <c r="H66" s="4">
        <v>312</v>
      </c>
      <c r="I66" s="4">
        <v>248</v>
      </c>
      <c r="J66" s="4">
        <v>229</v>
      </c>
      <c r="K66" s="4">
        <v>195</v>
      </c>
      <c r="L66" s="4">
        <v>139</v>
      </c>
      <c r="M66" s="4">
        <v>151</v>
      </c>
      <c r="N66" s="4">
        <v>129</v>
      </c>
      <c r="O66" s="5">
        <f t="shared" si="0"/>
        <v>2834</v>
      </c>
    </row>
    <row r="67" spans="1:15" x14ac:dyDescent="0.25">
      <c r="A67" s="4" t="s">
        <v>133</v>
      </c>
      <c r="B67" s="4" t="s">
        <v>146</v>
      </c>
      <c r="C67" s="4">
        <v>198</v>
      </c>
      <c r="D67" s="4">
        <v>194</v>
      </c>
      <c r="E67" s="4">
        <v>284</v>
      </c>
      <c r="F67" s="4">
        <v>242</v>
      </c>
      <c r="G67" s="4">
        <v>387</v>
      </c>
      <c r="H67" s="4">
        <v>278</v>
      </c>
      <c r="I67" s="4">
        <v>165</v>
      </c>
      <c r="J67" s="4">
        <v>299</v>
      </c>
      <c r="K67" s="4">
        <v>255</v>
      </c>
      <c r="L67" s="4">
        <v>129</v>
      </c>
      <c r="M67" s="4">
        <v>167</v>
      </c>
      <c r="N67" s="4">
        <v>152</v>
      </c>
      <c r="O67" s="5">
        <f t="shared" si="0"/>
        <v>2750</v>
      </c>
    </row>
    <row r="68" spans="1:15" x14ac:dyDescent="0.25">
      <c r="A68" s="4" t="s">
        <v>135</v>
      </c>
      <c r="B68" s="4" t="s">
        <v>152</v>
      </c>
      <c r="C68" s="4">
        <v>151</v>
      </c>
      <c r="D68" s="4">
        <v>155</v>
      </c>
      <c r="E68" s="4">
        <v>182</v>
      </c>
      <c r="F68" s="4">
        <v>206</v>
      </c>
      <c r="G68" s="4">
        <v>256</v>
      </c>
      <c r="H68" s="4">
        <v>236</v>
      </c>
      <c r="I68" s="4">
        <v>258</v>
      </c>
      <c r="J68" s="4">
        <v>277</v>
      </c>
      <c r="K68" s="4">
        <v>251</v>
      </c>
      <c r="L68" s="4">
        <v>257</v>
      </c>
      <c r="M68" s="4">
        <v>267</v>
      </c>
      <c r="N68" s="4">
        <v>228</v>
      </c>
      <c r="O68" s="5">
        <f t="shared" ref="O68:O131" si="1">SUM(C68:N68)</f>
        <v>2724</v>
      </c>
    </row>
    <row r="69" spans="1:15" x14ac:dyDescent="0.25">
      <c r="A69" s="4" t="s">
        <v>137</v>
      </c>
      <c r="B69" s="4" t="s">
        <v>298</v>
      </c>
      <c r="C69" s="4">
        <v>220</v>
      </c>
      <c r="D69" s="4">
        <v>820</v>
      </c>
      <c r="E69" s="4">
        <v>592</v>
      </c>
      <c r="F69" s="4">
        <v>42</v>
      </c>
      <c r="G69" s="4">
        <v>156</v>
      </c>
      <c r="H69" s="4">
        <v>240</v>
      </c>
      <c r="I69" s="4">
        <v>26</v>
      </c>
      <c r="J69" s="4">
        <v>38</v>
      </c>
      <c r="K69" s="4">
        <v>33</v>
      </c>
      <c r="L69" s="4">
        <v>22</v>
      </c>
      <c r="M69" s="4">
        <v>20</v>
      </c>
      <c r="N69" s="4">
        <v>21</v>
      </c>
      <c r="O69" s="5">
        <f t="shared" si="1"/>
        <v>2230</v>
      </c>
    </row>
    <row r="70" spans="1:15" x14ac:dyDescent="0.25">
      <c r="A70" s="4" t="s">
        <v>139</v>
      </c>
      <c r="B70" s="4" t="s">
        <v>120</v>
      </c>
      <c r="C70" s="4">
        <v>1</v>
      </c>
      <c r="D70" s="4">
        <v>1</v>
      </c>
      <c r="E70" s="4"/>
      <c r="F70" s="4">
        <v>2</v>
      </c>
      <c r="G70" s="4">
        <v>94</v>
      </c>
      <c r="H70" s="4">
        <v>151</v>
      </c>
      <c r="I70" s="4">
        <v>267</v>
      </c>
      <c r="J70" s="4">
        <v>225</v>
      </c>
      <c r="K70" s="4">
        <v>441</v>
      </c>
      <c r="L70" s="4">
        <v>267</v>
      </c>
      <c r="M70" s="4">
        <v>304</v>
      </c>
      <c r="N70" s="4">
        <v>452</v>
      </c>
      <c r="O70" s="5">
        <f t="shared" si="1"/>
        <v>2205</v>
      </c>
    </row>
    <row r="71" spans="1:15" x14ac:dyDescent="0.25">
      <c r="A71" s="4" t="s">
        <v>141</v>
      </c>
      <c r="B71" s="4" t="s">
        <v>148</v>
      </c>
      <c r="C71" s="4">
        <v>172</v>
      </c>
      <c r="D71" s="4">
        <v>268</v>
      </c>
      <c r="E71" s="4">
        <v>216</v>
      </c>
      <c r="F71" s="4">
        <v>176</v>
      </c>
      <c r="G71" s="4">
        <v>189</v>
      </c>
      <c r="H71" s="4">
        <v>154</v>
      </c>
      <c r="I71" s="4">
        <v>185</v>
      </c>
      <c r="J71" s="4">
        <v>200</v>
      </c>
      <c r="K71" s="4">
        <v>178</v>
      </c>
      <c r="L71" s="4">
        <v>125</v>
      </c>
      <c r="M71" s="4">
        <v>112</v>
      </c>
      <c r="N71" s="4">
        <v>150</v>
      </c>
      <c r="O71" s="5">
        <f t="shared" si="1"/>
        <v>2125</v>
      </c>
    </row>
    <row r="72" spans="1:15" x14ac:dyDescent="0.25">
      <c r="A72" s="4" t="s">
        <v>143</v>
      </c>
      <c r="B72" s="4" t="s">
        <v>232</v>
      </c>
      <c r="C72" s="5">
        <v>1133</v>
      </c>
      <c r="D72" s="4">
        <v>471</v>
      </c>
      <c r="E72" s="4">
        <v>250</v>
      </c>
      <c r="F72" s="4">
        <v>77</v>
      </c>
      <c r="G72" s="4">
        <v>27</v>
      </c>
      <c r="H72" s="4">
        <v>6</v>
      </c>
      <c r="I72" s="4">
        <v>11</v>
      </c>
      <c r="J72" s="4">
        <v>6</v>
      </c>
      <c r="K72" s="4">
        <v>1</v>
      </c>
      <c r="L72" s="4">
        <v>2</v>
      </c>
      <c r="M72" s="4">
        <v>1</v>
      </c>
      <c r="N72" s="4">
        <v>5</v>
      </c>
      <c r="O72" s="5">
        <f t="shared" si="1"/>
        <v>1990</v>
      </c>
    </row>
    <row r="73" spans="1:15" x14ac:dyDescent="0.25">
      <c r="A73" s="4" t="s">
        <v>145</v>
      </c>
      <c r="B73" s="4" t="s">
        <v>142</v>
      </c>
      <c r="C73" s="4">
        <v>78</v>
      </c>
      <c r="D73" s="4">
        <v>273</v>
      </c>
      <c r="E73" s="4">
        <v>290</v>
      </c>
      <c r="F73" s="4">
        <v>223</v>
      </c>
      <c r="G73" s="4">
        <v>210</v>
      </c>
      <c r="H73" s="4">
        <v>138</v>
      </c>
      <c r="I73" s="4">
        <v>77</v>
      </c>
      <c r="J73" s="4">
        <v>43</v>
      </c>
      <c r="K73" s="4">
        <v>42</v>
      </c>
      <c r="L73" s="4">
        <v>37</v>
      </c>
      <c r="M73" s="4">
        <v>186</v>
      </c>
      <c r="N73" s="4">
        <v>349</v>
      </c>
      <c r="O73" s="5">
        <f t="shared" si="1"/>
        <v>1946</v>
      </c>
    </row>
    <row r="74" spans="1:15" x14ac:dyDescent="0.25">
      <c r="A74" s="4" t="s">
        <v>147</v>
      </c>
      <c r="B74" s="4" t="s">
        <v>136</v>
      </c>
      <c r="C74" s="4">
        <v>89</v>
      </c>
      <c r="D74" s="4">
        <v>92</v>
      </c>
      <c r="E74" s="4">
        <v>118</v>
      </c>
      <c r="F74" s="4">
        <v>113</v>
      </c>
      <c r="G74" s="4">
        <v>116</v>
      </c>
      <c r="H74" s="4">
        <v>749</v>
      </c>
      <c r="I74" s="4">
        <v>145</v>
      </c>
      <c r="J74" s="4">
        <v>118</v>
      </c>
      <c r="K74" s="4">
        <v>96</v>
      </c>
      <c r="L74" s="4">
        <v>83</v>
      </c>
      <c r="M74" s="4">
        <v>138</v>
      </c>
      <c r="N74" s="4">
        <v>80</v>
      </c>
      <c r="O74" s="5">
        <f t="shared" si="1"/>
        <v>1937</v>
      </c>
    </row>
    <row r="75" spans="1:15" x14ac:dyDescent="0.25">
      <c r="A75" s="4" t="s">
        <v>149</v>
      </c>
      <c r="B75" s="4" t="s">
        <v>168</v>
      </c>
      <c r="C75" s="4">
        <v>219</v>
      </c>
      <c r="D75" s="4">
        <v>91</v>
      </c>
      <c r="E75" s="4">
        <v>128</v>
      </c>
      <c r="F75" s="4">
        <v>98</v>
      </c>
      <c r="G75" s="4">
        <v>109</v>
      </c>
      <c r="H75" s="4">
        <v>122</v>
      </c>
      <c r="I75" s="4">
        <v>75</v>
      </c>
      <c r="J75" s="4">
        <v>98</v>
      </c>
      <c r="K75" s="4">
        <v>145</v>
      </c>
      <c r="L75" s="4">
        <v>264</v>
      </c>
      <c r="M75" s="4">
        <v>257</v>
      </c>
      <c r="N75" s="4">
        <v>309</v>
      </c>
      <c r="O75" s="5">
        <f t="shared" si="1"/>
        <v>1915</v>
      </c>
    </row>
    <row r="76" spans="1:15" x14ac:dyDescent="0.25">
      <c r="A76" s="4" t="s">
        <v>151</v>
      </c>
      <c r="B76" s="4" t="s">
        <v>114</v>
      </c>
      <c r="C76" s="4">
        <v>198</v>
      </c>
      <c r="D76" s="4">
        <v>201</v>
      </c>
      <c r="E76" s="4">
        <v>103</v>
      </c>
      <c r="F76" s="4">
        <v>136</v>
      </c>
      <c r="G76" s="4">
        <v>279</v>
      </c>
      <c r="H76" s="4">
        <v>84</v>
      </c>
      <c r="I76" s="4">
        <v>101</v>
      </c>
      <c r="J76" s="4">
        <v>66</v>
      </c>
      <c r="K76" s="4">
        <v>216</v>
      </c>
      <c r="L76" s="4">
        <v>77</v>
      </c>
      <c r="M76" s="4">
        <v>109</v>
      </c>
      <c r="N76" s="4">
        <v>312</v>
      </c>
      <c r="O76" s="5">
        <f t="shared" si="1"/>
        <v>1882</v>
      </c>
    </row>
    <row r="77" spans="1:15" x14ac:dyDescent="0.25">
      <c r="A77" s="4" t="s">
        <v>153</v>
      </c>
      <c r="B77" s="4" t="s">
        <v>250</v>
      </c>
      <c r="C77" s="4">
        <v>452</v>
      </c>
      <c r="D77" s="4">
        <v>326</v>
      </c>
      <c r="E77" s="4">
        <v>348</v>
      </c>
      <c r="F77" s="4">
        <v>188</v>
      </c>
      <c r="G77" s="4">
        <v>247</v>
      </c>
      <c r="H77" s="4">
        <v>131</v>
      </c>
      <c r="I77" s="4">
        <v>54</v>
      </c>
      <c r="J77" s="4">
        <v>40</v>
      </c>
      <c r="K77" s="4">
        <v>30</v>
      </c>
      <c r="L77" s="4">
        <v>15</v>
      </c>
      <c r="M77" s="4">
        <v>8</v>
      </c>
      <c r="N77" s="4">
        <v>11</v>
      </c>
      <c r="O77" s="5">
        <f t="shared" si="1"/>
        <v>1850</v>
      </c>
    </row>
    <row r="78" spans="1:15" x14ac:dyDescent="0.25">
      <c r="A78" s="4" t="s">
        <v>155</v>
      </c>
      <c r="B78" s="4" t="s">
        <v>118</v>
      </c>
      <c r="C78" s="4">
        <v>3</v>
      </c>
      <c r="D78" s="4">
        <v>4</v>
      </c>
      <c r="E78" s="4">
        <v>15</v>
      </c>
      <c r="F78" s="4">
        <v>24</v>
      </c>
      <c r="G78" s="4">
        <v>42</v>
      </c>
      <c r="H78" s="4">
        <v>227</v>
      </c>
      <c r="I78" s="4">
        <v>161</v>
      </c>
      <c r="J78" s="4">
        <v>143</v>
      </c>
      <c r="K78" s="4">
        <v>217</v>
      </c>
      <c r="L78" s="4">
        <v>289</v>
      </c>
      <c r="M78" s="4">
        <v>288</v>
      </c>
      <c r="N78" s="4">
        <v>356</v>
      </c>
      <c r="O78" s="5">
        <f t="shared" si="1"/>
        <v>1769</v>
      </c>
    </row>
    <row r="79" spans="1:15" x14ac:dyDescent="0.25">
      <c r="A79" s="4" t="s">
        <v>157</v>
      </c>
      <c r="B79" s="4" t="s">
        <v>134</v>
      </c>
      <c r="C79" s="4"/>
      <c r="D79" s="4">
        <v>3</v>
      </c>
      <c r="E79" s="4">
        <v>8</v>
      </c>
      <c r="F79" s="4">
        <v>4</v>
      </c>
      <c r="G79" s="4">
        <v>5</v>
      </c>
      <c r="H79" s="4">
        <v>108</v>
      </c>
      <c r="I79" s="4">
        <v>162</v>
      </c>
      <c r="J79" s="4">
        <v>182</v>
      </c>
      <c r="K79" s="4">
        <v>284</v>
      </c>
      <c r="L79" s="4">
        <v>162</v>
      </c>
      <c r="M79" s="4">
        <v>274</v>
      </c>
      <c r="N79" s="4">
        <v>555</v>
      </c>
      <c r="O79" s="5">
        <f t="shared" si="1"/>
        <v>1747</v>
      </c>
    </row>
    <row r="80" spans="1:15" x14ac:dyDescent="0.25">
      <c r="A80" s="4" t="s">
        <v>159</v>
      </c>
      <c r="B80" s="4" t="s">
        <v>174</v>
      </c>
      <c r="C80" s="4">
        <v>86</v>
      </c>
      <c r="D80" s="4">
        <v>30</v>
      </c>
      <c r="E80" s="4">
        <v>20</v>
      </c>
      <c r="F80" s="4">
        <v>13</v>
      </c>
      <c r="G80" s="4">
        <v>135</v>
      </c>
      <c r="H80" s="4">
        <v>58</v>
      </c>
      <c r="I80" s="4">
        <v>108</v>
      </c>
      <c r="J80" s="4">
        <v>188</v>
      </c>
      <c r="K80" s="4">
        <v>279</v>
      </c>
      <c r="L80" s="4">
        <v>224</v>
      </c>
      <c r="M80" s="4">
        <v>213</v>
      </c>
      <c r="N80" s="4">
        <v>269</v>
      </c>
      <c r="O80" s="5">
        <f t="shared" si="1"/>
        <v>1623</v>
      </c>
    </row>
    <row r="81" spans="1:15" x14ac:dyDescent="0.25">
      <c r="A81" s="4" t="s">
        <v>163</v>
      </c>
      <c r="B81" s="4" t="s">
        <v>156</v>
      </c>
      <c r="C81" s="4">
        <v>166</v>
      </c>
      <c r="D81" s="4">
        <v>128</v>
      </c>
      <c r="E81" s="4">
        <v>107</v>
      </c>
      <c r="F81" s="4">
        <v>93</v>
      </c>
      <c r="G81" s="4">
        <v>83</v>
      </c>
      <c r="H81" s="4">
        <v>102</v>
      </c>
      <c r="I81" s="4">
        <v>130</v>
      </c>
      <c r="J81" s="4">
        <v>145</v>
      </c>
      <c r="K81" s="4">
        <v>241</v>
      </c>
      <c r="L81" s="4">
        <v>64</v>
      </c>
      <c r="M81" s="4">
        <v>97</v>
      </c>
      <c r="N81" s="4">
        <v>219</v>
      </c>
      <c r="O81" s="5">
        <f t="shared" si="1"/>
        <v>1575</v>
      </c>
    </row>
    <row r="82" spans="1:15" x14ac:dyDescent="0.25">
      <c r="A82" s="4" t="s">
        <v>161</v>
      </c>
      <c r="B82" s="4" t="s">
        <v>210</v>
      </c>
      <c r="C82" s="4">
        <v>71</v>
      </c>
      <c r="D82" s="4">
        <v>89</v>
      </c>
      <c r="E82" s="4">
        <v>145</v>
      </c>
      <c r="F82" s="4">
        <v>125</v>
      </c>
      <c r="G82" s="4">
        <v>120</v>
      </c>
      <c r="H82" s="4">
        <v>229</v>
      </c>
      <c r="I82" s="4">
        <v>162</v>
      </c>
      <c r="J82" s="4">
        <v>129</v>
      </c>
      <c r="K82" s="4">
        <v>91</v>
      </c>
      <c r="L82" s="4">
        <v>175</v>
      </c>
      <c r="M82" s="4">
        <v>145</v>
      </c>
      <c r="N82" s="4">
        <v>94</v>
      </c>
      <c r="O82" s="5">
        <f t="shared" si="1"/>
        <v>1575</v>
      </c>
    </row>
    <row r="83" spans="1:15" x14ac:dyDescent="0.25">
      <c r="A83" s="4" t="s">
        <v>165</v>
      </c>
      <c r="B83" s="4" t="s">
        <v>206</v>
      </c>
      <c r="C83" s="4">
        <v>270</v>
      </c>
      <c r="D83" s="4">
        <v>170</v>
      </c>
      <c r="E83" s="4">
        <v>181</v>
      </c>
      <c r="F83" s="4">
        <v>243</v>
      </c>
      <c r="G83" s="4">
        <v>125</v>
      </c>
      <c r="H83" s="4">
        <v>91</v>
      </c>
      <c r="I83" s="4">
        <v>65</v>
      </c>
      <c r="J83" s="4">
        <v>56</v>
      </c>
      <c r="K83" s="4">
        <v>45</v>
      </c>
      <c r="L83" s="4">
        <v>31</v>
      </c>
      <c r="M83" s="4">
        <v>71</v>
      </c>
      <c r="N83" s="4">
        <v>108</v>
      </c>
      <c r="O83" s="5">
        <f t="shared" si="1"/>
        <v>1456</v>
      </c>
    </row>
    <row r="84" spans="1:15" x14ac:dyDescent="0.25">
      <c r="A84" s="4" t="s">
        <v>167</v>
      </c>
      <c r="B84" s="4" t="s">
        <v>256</v>
      </c>
      <c r="C84" s="4">
        <v>21</v>
      </c>
      <c r="D84" s="4">
        <v>54</v>
      </c>
      <c r="E84" s="4">
        <v>194</v>
      </c>
      <c r="F84" s="4">
        <v>185</v>
      </c>
      <c r="G84" s="4">
        <v>165</v>
      </c>
      <c r="H84" s="4">
        <v>150</v>
      </c>
      <c r="I84" s="4">
        <v>150</v>
      </c>
      <c r="J84" s="4">
        <v>129</v>
      </c>
      <c r="K84" s="4">
        <v>98</v>
      </c>
      <c r="L84" s="4">
        <v>107</v>
      </c>
      <c r="M84" s="4">
        <v>78</v>
      </c>
      <c r="N84" s="4">
        <v>68</v>
      </c>
      <c r="O84" s="5">
        <f t="shared" si="1"/>
        <v>1399</v>
      </c>
    </row>
    <row r="85" spans="1:15" x14ac:dyDescent="0.25">
      <c r="A85" s="4" t="s">
        <v>169</v>
      </c>
      <c r="B85" s="4" t="s">
        <v>166</v>
      </c>
      <c r="C85" s="4"/>
      <c r="D85" s="4">
        <v>34</v>
      </c>
      <c r="E85" s="4">
        <v>33</v>
      </c>
      <c r="F85" s="4">
        <v>265</v>
      </c>
      <c r="G85" s="4">
        <v>176</v>
      </c>
      <c r="H85" s="4">
        <v>243</v>
      </c>
      <c r="I85" s="4">
        <v>183</v>
      </c>
      <c r="J85" s="4">
        <v>161</v>
      </c>
      <c r="K85" s="4">
        <v>55</v>
      </c>
      <c r="L85" s="4">
        <v>40</v>
      </c>
      <c r="M85" s="4">
        <v>62</v>
      </c>
      <c r="N85" s="4">
        <v>128</v>
      </c>
      <c r="O85" s="5">
        <f t="shared" si="1"/>
        <v>1380</v>
      </c>
    </row>
    <row r="86" spans="1:15" x14ac:dyDescent="0.25">
      <c r="A86" s="4" t="s">
        <v>171</v>
      </c>
      <c r="B86" s="4" t="s">
        <v>190</v>
      </c>
      <c r="C86" s="4">
        <v>78</v>
      </c>
      <c r="D86" s="4">
        <v>128</v>
      </c>
      <c r="E86" s="4">
        <v>125</v>
      </c>
      <c r="F86" s="4">
        <v>95</v>
      </c>
      <c r="G86" s="4">
        <v>131</v>
      </c>
      <c r="H86" s="4">
        <v>121</v>
      </c>
      <c r="I86" s="4">
        <v>134</v>
      </c>
      <c r="J86" s="4">
        <v>147</v>
      </c>
      <c r="K86" s="4">
        <v>140</v>
      </c>
      <c r="L86" s="4">
        <v>85</v>
      </c>
      <c r="M86" s="4">
        <v>45</v>
      </c>
      <c r="N86" s="4">
        <v>55</v>
      </c>
      <c r="O86" s="5">
        <f t="shared" si="1"/>
        <v>1284</v>
      </c>
    </row>
    <row r="87" spans="1:15" x14ac:dyDescent="0.25">
      <c r="A87" s="4" t="s">
        <v>173</v>
      </c>
      <c r="B87" s="4" t="s">
        <v>162</v>
      </c>
      <c r="C87" s="4">
        <v>3</v>
      </c>
      <c r="D87" s="4">
        <v>3</v>
      </c>
      <c r="E87" s="4">
        <v>28</v>
      </c>
      <c r="F87" s="4">
        <v>4</v>
      </c>
      <c r="G87" s="4">
        <v>35</v>
      </c>
      <c r="H87" s="4">
        <v>150</v>
      </c>
      <c r="I87" s="4">
        <v>210</v>
      </c>
      <c r="J87" s="4">
        <v>174</v>
      </c>
      <c r="K87" s="4">
        <v>148</v>
      </c>
      <c r="L87" s="4">
        <v>205</v>
      </c>
      <c r="M87" s="4">
        <v>178</v>
      </c>
      <c r="N87" s="4">
        <v>112</v>
      </c>
      <c r="O87" s="5">
        <f t="shared" si="1"/>
        <v>1250</v>
      </c>
    </row>
    <row r="88" spans="1:15" x14ac:dyDescent="0.25">
      <c r="A88" s="4" t="s">
        <v>175</v>
      </c>
      <c r="B88" s="4" t="s">
        <v>164</v>
      </c>
      <c r="C88" s="4"/>
      <c r="D88" s="4"/>
      <c r="E88" s="4"/>
      <c r="F88" s="4">
        <v>4</v>
      </c>
      <c r="G88" s="4">
        <v>82</v>
      </c>
      <c r="H88" s="4">
        <v>88</v>
      </c>
      <c r="I88" s="4">
        <v>130</v>
      </c>
      <c r="J88" s="4"/>
      <c r="K88" s="4">
        <v>218</v>
      </c>
      <c r="L88" s="4">
        <v>205</v>
      </c>
      <c r="M88" s="4">
        <v>184</v>
      </c>
      <c r="N88" s="4">
        <v>235</v>
      </c>
      <c r="O88" s="5">
        <f t="shared" si="1"/>
        <v>1146</v>
      </c>
    </row>
    <row r="89" spans="1:15" x14ac:dyDescent="0.25">
      <c r="A89" s="4" t="s">
        <v>177</v>
      </c>
      <c r="B89" s="4" t="s">
        <v>224</v>
      </c>
      <c r="C89" s="4">
        <v>71</v>
      </c>
      <c r="D89" s="4">
        <v>59</v>
      </c>
      <c r="E89" s="4">
        <v>77</v>
      </c>
      <c r="F89" s="4">
        <v>128</v>
      </c>
      <c r="G89" s="4">
        <v>96</v>
      </c>
      <c r="H89" s="4">
        <v>246</v>
      </c>
      <c r="I89" s="4">
        <v>173</v>
      </c>
      <c r="J89" s="4">
        <v>130</v>
      </c>
      <c r="K89" s="4">
        <v>46</v>
      </c>
      <c r="L89" s="4">
        <v>13</v>
      </c>
      <c r="M89" s="4">
        <v>40</v>
      </c>
      <c r="N89" s="4">
        <v>33</v>
      </c>
      <c r="O89" s="5">
        <f t="shared" si="1"/>
        <v>1112</v>
      </c>
    </row>
    <row r="90" spans="1:15" x14ac:dyDescent="0.25">
      <c r="A90" s="4" t="s">
        <v>179</v>
      </c>
      <c r="B90" s="4" t="s">
        <v>214</v>
      </c>
      <c r="C90" s="4">
        <v>138</v>
      </c>
      <c r="D90" s="4">
        <v>164</v>
      </c>
      <c r="E90" s="4">
        <v>88</v>
      </c>
      <c r="F90" s="4">
        <v>84</v>
      </c>
      <c r="G90" s="4">
        <v>104</v>
      </c>
      <c r="H90" s="4">
        <v>34</v>
      </c>
      <c r="I90" s="4">
        <v>21</v>
      </c>
      <c r="J90" s="4">
        <v>7</v>
      </c>
      <c r="K90" s="4">
        <v>52</v>
      </c>
      <c r="L90" s="4">
        <v>198</v>
      </c>
      <c r="M90" s="4">
        <v>96</v>
      </c>
      <c r="N90" s="4">
        <v>107</v>
      </c>
      <c r="O90" s="5">
        <f t="shared" si="1"/>
        <v>1093</v>
      </c>
    </row>
    <row r="91" spans="1:15" x14ac:dyDescent="0.25">
      <c r="A91" s="4" t="s">
        <v>181</v>
      </c>
      <c r="B91" s="4" t="s">
        <v>202</v>
      </c>
      <c r="C91" s="4">
        <v>4</v>
      </c>
      <c r="D91" s="4">
        <v>2</v>
      </c>
      <c r="E91" s="4">
        <v>1</v>
      </c>
      <c r="F91" s="4">
        <v>15</v>
      </c>
      <c r="G91" s="4">
        <v>226</v>
      </c>
      <c r="H91" s="4">
        <v>169</v>
      </c>
      <c r="I91" s="4">
        <v>131</v>
      </c>
      <c r="J91" s="4">
        <v>146</v>
      </c>
      <c r="K91" s="4">
        <v>124</v>
      </c>
      <c r="L91" s="4">
        <v>46</v>
      </c>
      <c r="M91" s="4">
        <v>109</v>
      </c>
      <c r="N91" s="4">
        <v>111</v>
      </c>
      <c r="O91" s="5">
        <f t="shared" si="1"/>
        <v>1084</v>
      </c>
    </row>
    <row r="92" spans="1:15" x14ac:dyDescent="0.25">
      <c r="A92" s="4" t="s">
        <v>183</v>
      </c>
      <c r="B92" s="4" t="s">
        <v>172</v>
      </c>
      <c r="C92" s="4">
        <v>46</v>
      </c>
      <c r="D92" s="4">
        <v>56</v>
      </c>
      <c r="E92" s="4">
        <v>176</v>
      </c>
      <c r="F92" s="4">
        <v>111</v>
      </c>
      <c r="G92" s="4">
        <v>81</v>
      </c>
      <c r="H92" s="4">
        <v>74</v>
      </c>
      <c r="I92" s="4">
        <v>73</v>
      </c>
      <c r="J92" s="4">
        <v>118</v>
      </c>
      <c r="K92" s="4">
        <v>96</v>
      </c>
      <c r="L92" s="4">
        <v>93</v>
      </c>
      <c r="M92" s="4">
        <v>73</v>
      </c>
      <c r="N92" s="4">
        <v>87</v>
      </c>
      <c r="O92" s="5">
        <f t="shared" si="1"/>
        <v>1084</v>
      </c>
    </row>
    <row r="93" spans="1:15" x14ac:dyDescent="0.25">
      <c r="A93" s="4" t="s">
        <v>185</v>
      </c>
      <c r="B93" s="4" t="s">
        <v>170</v>
      </c>
      <c r="C93" s="4">
        <v>252</v>
      </c>
      <c r="D93" s="4">
        <v>42</v>
      </c>
      <c r="E93" s="4">
        <v>59</v>
      </c>
      <c r="F93" s="4">
        <v>84</v>
      </c>
      <c r="G93" s="4">
        <v>98</v>
      </c>
      <c r="H93" s="4">
        <v>52</v>
      </c>
      <c r="I93" s="4">
        <v>68</v>
      </c>
      <c r="J93" s="4">
        <v>107</v>
      </c>
      <c r="K93" s="4">
        <v>89</v>
      </c>
      <c r="L93" s="4">
        <v>23</v>
      </c>
      <c r="M93" s="4">
        <v>31</v>
      </c>
      <c r="N93" s="4">
        <v>138</v>
      </c>
      <c r="O93" s="5">
        <f t="shared" si="1"/>
        <v>1043</v>
      </c>
    </row>
    <row r="94" spans="1:15" x14ac:dyDescent="0.25">
      <c r="A94" s="4" t="s">
        <v>187</v>
      </c>
      <c r="B94" s="4" t="s">
        <v>408</v>
      </c>
      <c r="C94" s="4">
        <v>184</v>
      </c>
      <c r="D94" s="4">
        <v>224</v>
      </c>
      <c r="E94" s="4">
        <v>208</v>
      </c>
      <c r="F94" s="4">
        <v>161</v>
      </c>
      <c r="G94" s="4">
        <v>117</v>
      </c>
      <c r="H94" s="4">
        <v>52</v>
      </c>
      <c r="I94" s="4">
        <v>47</v>
      </c>
      <c r="J94" s="4">
        <v>20</v>
      </c>
      <c r="K94" s="4">
        <v>15</v>
      </c>
      <c r="L94" s="4"/>
      <c r="M94" s="4">
        <v>1</v>
      </c>
      <c r="N94" s="4">
        <v>8</v>
      </c>
      <c r="O94" s="5">
        <f t="shared" si="1"/>
        <v>1037</v>
      </c>
    </row>
    <row r="95" spans="1:15" x14ac:dyDescent="0.25">
      <c r="A95" s="4" t="s">
        <v>189</v>
      </c>
      <c r="B95" s="4" t="s">
        <v>126</v>
      </c>
      <c r="C95" s="4"/>
      <c r="D95" s="4"/>
      <c r="E95" s="4"/>
      <c r="F95" s="4"/>
      <c r="G95" s="4"/>
      <c r="H95" s="4">
        <v>12</v>
      </c>
      <c r="I95" s="4">
        <v>60</v>
      </c>
      <c r="J95" s="4">
        <v>71</v>
      </c>
      <c r="K95" s="4">
        <v>259</v>
      </c>
      <c r="L95" s="4">
        <v>220</v>
      </c>
      <c r="M95" s="4">
        <v>175</v>
      </c>
      <c r="N95" s="4">
        <v>236</v>
      </c>
      <c r="O95" s="5">
        <f t="shared" si="1"/>
        <v>1033</v>
      </c>
    </row>
    <row r="96" spans="1:15" x14ac:dyDescent="0.25">
      <c r="A96" s="4" t="s">
        <v>191</v>
      </c>
      <c r="B96" s="4" t="s">
        <v>517</v>
      </c>
      <c r="C96" s="4">
        <v>39</v>
      </c>
      <c r="D96" s="4">
        <v>26</v>
      </c>
      <c r="E96" s="4">
        <v>19</v>
      </c>
      <c r="F96" s="4">
        <v>9</v>
      </c>
      <c r="G96" s="4">
        <v>9</v>
      </c>
      <c r="H96" s="4">
        <v>3</v>
      </c>
      <c r="I96" s="4">
        <v>6</v>
      </c>
      <c r="J96" s="4">
        <v>897</v>
      </c>
      <c r="K96" s="4"/>
      <c r="L96" s="4"/>
      <c r="M96" s="4"/>
      <c r="N96" s="4"/>
      <c r="O96" s="5">
        <f t="shared" si="1"/>
        <v>1008</v>
      </c>
    </row>
    <row r="97" spans="1:15" x14ac:dyDescent="0.25">
      <c r="A97" s="4" t="s">
        <v>193</v>
      </c>
      <c r="B97" s="4" t="s">
        <v>212</v>
      </c>
      <c r="C97" s="4">
        <v>74</v>
      </c>
      <c r="D97" s="4">
        <v>123</v>
      </c>
      <c r="E97" s="4">
        <v>51</v>
      </c>
      <c r="F97" s="4">
        <v>102</v>
      </c>
      <c r="G97" s="4">
        <v>62</v>
      </c>
      <c r="H97" s="4">
        <v>105</v>
      </c>
      <c r="I97" s="4">
        <v>145</v>
      </c>
      <c r="J97" s="4">
        <v>170</v>
      </c>
      <c r="K97" s="4">
        <v>97</v>
      </c>
      <c r="L97" s="4">
        <v>19</v>
      </c>
      <c r="M97" s="4">
        <v>10</v>
      </c>
      <c r="N97" s="4">
        <v>45</v>
      </c>
      <c r="O97" s="5">
        <f t="shared" si="1"/>
        <v>1003</v>
      </c>
    </row>
    <row r="98" spans="1:15" x14ac:dyDescent="0.25">
      <c r="A98" s="4" t="s">
        <v>195</v>
      </c>
      <c r="B98" s="4" t="s">
        <v>180</v>
      </c>
      <c r="C98" s="4">
        <v>119</v>
      </c>
      <c r="D98" s="4">
        <v>64</v>
      </c>
      <c r="E98" s="4">
        <v>80</v>
      </c>
      <c r="F98" s="4">
        <v>99</v>
      </c>
      <c r="G98" s="4">
        <v>114</v>
      </c>
      <c r="H98" s="4">
        <v>95</v>
      </c>
      <c r="I98" s="4">
        <v>67</v>
      </c>
      <c r="J98" s="4">
        <v>68</v>
      </c>
      <c r="K98" s="4">
        <v>85</v>
      </c>
      <c r="L98" s="4">
        <v>79</v>
      </c>
      <c r="M98" s="4">
        <v>54</v>
      </c>
      <c r="N98" s="4">
        <v>52</v>
      </c>
      <c r="O98" s="5">
        <f t="shared" si="1"/>
        <v>976</v>
      </c>
    </row>
    <row r="99" spans="1:15" x14ac:dyDescent="0.25">
      <c r="A99" s="4" t="s">
        <v>197</v>
      </c>
      <c r="B99" s="4" t="s">
        <v>186</v>
      </c>
      <c r="C99" s="4">
        <v>37</v>
      </c>
      <c r="D99" s="4">
        <v>28</v>
      </c>
      <c r="E99" s="4">
        <v>89</v>
      </c>
      <c r="F99" s="4">
        <v>95</v>
      </c>
      <c r="G99" s="4">
        <v>154</v>
      </c>
      <c r="H99" s="4">
        <v>104</v>
      </c>
      <c r="I99" s="4">
        <v>87</v>
      </c>
      <c r="J99" s="4">
        <v>95</v>
      </c>
      <c r="K99" s="4">
        <v>79</v>
      </c>
      <c r="L99" s="4">
        <v>77</v>
      </c>
      <c r="M99" s="4">
        <v>71</v>
      </c>
      <c r="N99" s="4">
        <v>47</v>
      </c>
      <c r="O99" s="5">
        <f t="shared" si="1"/>
        <v>963</v>
      </c>
    </row>
    <row r="100" spans="1:15" x14ac:dyDescent="0.25">
      <c r="A100" s="4" t="s">
        <v>199</v>
      </c>
      <c r="B100" s="4" t="s">
        <v>188</v>
      </c>
      <c r="C100" s="4">
        <v>219</v>
      </c>
      <c r="D100" s="4">
        <v>93</v>
      </c>
      <c r="E100" s="4">
        <v>264</v>
      </c>
      <c r="F100" s="4">
        <v>63</v>
      </c>
      <c r="G100" s="4">
        <v>30</v>
      </c>
      <c r="H100" s="4">
        <v>4</v>
      </c>
      <c r="I100" s="4">
        <v>6</v>
      </c>
      <c r="J100" s="4">
        <v>8</v>
      </c>
      <c r="K100" s="4">
        <v>2</v>
      </c>
      <c r="L100" s="4">
        <v>72</v>
      </c>
      <c r="M100" s="4">
        <v>80</v>
      </c>
      <c r="N100" s="4">
        <v>111</v>
      </c>
      <c r="O100" s="5">
        <f t="shared" si="1"/>
        <v>952</v>
      </c>
    </row>
    <row r="101" spans="1:15" x14ac:dyDescent="0.25">
      <c r="A101" s="4" t="s">
        <v>201</v>
      </c>
      <c r="B101" s="4" t="s">
        <v>192</v>
      </c>
      <c r="C101" s="4">
        <v>39</v>
      </c>
      <c r="D101" s="4">
        <v>74</v>
      </c>
      <c r="E101" s="4">
        <v>137</v>
      </c>
      <c r="F101" s="4">
        <v>81</v>
      </c>
      <c r="G101" s="4">
        <v>85</v>
      </c>
      <c r="H101" s="4">
        <v>64</v>
      </c>
      <c r="I101" s="4">
        <v>64</v>
      </c>
      <c r="J101" s="4">
        <v>63</v>
      </c>
      <c r="K101" s="4">
        <v>104</v>
      </c>
      <c r="L101" s="4">
        <v>28</v>
      </c>
      <c r="M101" s="4">
        <v>74</v>
      </c>
      <c r="N101" s="4">
        <v>120</v>
      </c>
      <c r="O101" s="5">
        <f t="shared" si="1"/>
        <v>933</v>
      </c>
    </row>
    <row r="102" spans="1:15" x14ac:dyDescent="0.25">
      <c r="A102" s="4" t="s">
        <v>203</v>
      </c>
      <c r="B102" s="4" t="s">
        <v>144</v>
      </c>
      <c r="C102" s="4">
        <v>18</v>
      </c>
      <c r="D102" s="4">
        <v>30</v>
      </c>
      <c r="E102" s="4">
        <v>103</v>
      </c>
      <c r="F102" s="4">
        <v>75</v>
      </c>
      <c r="G102" s="4">
        <v>81</v>
      </c>
      <c r="H102" s="4">
        <v>61</v>
      </c>
      <c r="I102" s="4">
        <v>79</v>
      </c>
      <c r="J102" s="4">
        <v>115</v>
      </c>
      <c r="K102" s="4">
        <v>55</v>
      </c>
      <c r="L102" s="4">
        <v>71</v>
      </c>
      <c r="M102" s="4">
        <v>108</v>
      </c>
      <c r="N102" s="4">
        <v>124</v>
      </c>
      <c r="O102" s="5">
        <f t="shared" si="1"/>
        <v>920</v>
      </c>
    </row>
    <row r="103" spans="1:15" x14ac:dyDescent="0.25">
      <c r="A103" s="4" t="s">
        <v>205</v>
      </c>
      <c r="B103" s="4" t="s">
        <v>176</v>
      </c>
      <c r="C103" s="4">
        <v>17</v>
      </c>
      <c r="D103" s="4">
        <v>12</v>
      </c>
      <c r="E103" s="4">
        <v>10</v>
      </c>
      <c r="F103" s="4">
        <v>170</v>
      </c>
      <c r="G103" s="4">
        <v>108</v>
      </c>
      <c r="H103" s="4">
        <v>58</v>
      </c>
      <c r="I103" s="4">
        <v>74</v>
      </c>
      <c r="J103" s="4">
        <v>48</v>
      </c>
      <c r="K103" s="4">
        <v>86</v>
      </c>
      <c r="L103" s="4">
        <v>84</v>
      </c>
      <c r="M103" s="4">
        <v>87</v>
      </c>
      <c r="N103" s="4">
        <v>125</v>
      </c>
      <c r="O103" s="5">
        <f t="shared" si="1"/>
        <v>879</v>
      </c>
    </row>
    <row r="104" spans="1:15" x14ac:dyDescent="0.25">
      <c r="A104" s="4" t="s">
        <v>207</v>
      </c>
      <c r="B104" s="4" t="s">
        <v>196</v>
      </c>
      <c r="C104" s="4">
        <v>38</v>
      </c>
      <c r="D104" s="4">
        <v>31</v>
      </c>
      <c r="E104" s="4">
        <v>29</v>
      </c>
      <c r="F104" s="4">
        <v>39</v>
      </c>
      <c r="G104" s="4">
        <v>13</v>
      </c>
      <c r="H104" s="4">
        <v>11</v>
      </c>
      <c r="I104" s="4">
        <v>163</v>
      </c>
      <c r="J104" s="4">
        <v>131</v>
      </c>
      <c r="K104" s="4">
        <v>121</v>
      </c>
      <c r="L104" s="4">
        <v>71</v>
      </c>
      <c r="M104" s="4">
        <v>56</v>
      </c>
      <c r="N104" s="4">
        <v>169</v>
      </c>
      <c r="O104" s="5">
        <f t="shared" si="1"/>
        <v>872</v>
      </c>
    </row>
    <row r="105" spans="1:15" x14ac:dyDescent="0.25">
      <c r="A105" s="4" t="s">
        <v>209</v>
      </c>
      <c r="B105" s="4" t="s">
        <v>242</v>
      </c>
      <c r="C105" s="4">
        <v>13</v>
      </c>
      <c r="D105" s="4">
        <v>9</v>
      </c>
      <c r="E105" s="4">
        <v>60</v>
      </c>
      <c r="F105" s="4">
        <v>74</v>
      </c>
      <c r="G105" s="4">
        <v>70</v>
      </c>
      <c r="H105" s="4">
        <v>96</v>
      </c>
      <c r="I105" s="4">
        <v>91</v>
      </c>
      <c r="J105" s="4">
        <v>99</v>
      </c>
      <c r="K105" s="4">
        <v>110</v>
      </c>
      <c r="L105" s="4">
        <v>64</v>
      </c>
      <c r="M105" s="4">
        <v>72</v>
      </c>
      <c r="N105" s="4">
        <v>54</v>
      </c>
      <c r="O105" s="5">
        <f t="shared" si="1"/>
        <v>812</v>
      </c>
    </row>
    <row r="106" spans="1:15" x14ac:dyDescent="0.25">
      <c r="A106" s="4" t="s">
        <v>211</v>
      </c>
      <c r="B106" s="4" t="s">
        <v>316</v>
      </c>
      <c r="C106" s="4"/>
      <c r="D106" s="4"/>
      <c r="E106" s="4"/>
      <c r="F106" s="4"/>
      <c r="G106" s="4"/>
      <c r="H106" s="4">
        <v>11</v>
      </c>
      <c r="I106" s="4">
        <v>19</v>
      </c>
      <c r="J106" s="4">
        <v>102</v>
      </c>
      <c r="K106" s="4">
        <v>596</v>
      </c>
      <c r="L106" s="4">
        <v>41</v>
      </c>
      <c r="M106" s="4">
        <v>13</v>
      </c>
      <c r="N106" s="4">
        <v>3</v>
      </c>
      <c r="O106" s="5">
        <f t="shared" si="1"/>
        <v>785</v>
      </c>
    </row>
    <row r="107" spans="1:15" x14ac:dyDescent="0.25">
      <c r="A107" s="4" t="s">
        <v>213</v>
      </c>
      <c r="B107" s="4" t="s">
        <v>372</v>
      </c>
      <c r="C107" s="4">
        <v>622</v>
      </c>
      <c r="D107" s="4">
        <v>46</v>
      </c>
      <c r="E107" s="4">
        <v>21</v>
      </c>
      <c r="F107" s="4">
        <v>17</v>
      </c>
      <c r="G107" s="4">
        <v>23</v>
      </c>
      <c r="H107" s="4">
        <v>15</v>
      </c>
      <c r="I107" s="4">
        <v>6</v>
      </c>
      <c r="J107" s="4">
        <v>6</v>
      </c>
      <c r="K107" s="4">
        <v>7</v>
      </c>
      <c r="L107" s="4">
        <v>10</v>
      </c>
      <c r="M107" s="4">
        <v>5</v>
      </c>
      <c r="N107" s="4">
        <v>6</v>
      </c>
      <c r="O107" s="5">
        <f t="shared" si="1"/>
        <v>784</v>
      </c>
    </row>
    <row r="108" spans="1:15" x14ac:dyDescent="0.25">
      <c r="A108" s="4" t="s">
        <v>215</v>
      </c>
      <c r="B108" s="4" t="s">
        <v>198</v>
      </c>
      <c r="C108" s="4">
        <v>43</v>
      </c>
      <c r="D108" s="4">
        <v>59</v>
      </c>
      <c r="E108" s="4">
        <v>73</v>
      </c>
      <c r="F108" s="4">
        <v>64</v>
      </c>
      <c r="G108" s="4">
        <v>65</v>
      </c>
      <c r="H108" s="4">
        <v>55</v>
      </c>
      <c r="I108" s="4">
        <v>56</v>
      </c>
      <c r="J108" s="4">
        <v>62</v>
      </c>
      <c r="K108" s="4">
        <v>50</v>
      </c>
      <c r="L108" s="4">
        <v>94</v>
      </c>
      <c r="M108" s="4">
        <v>79</v>
      </c>
      <c r="N108" s="4">
        <v>77</v>
      </c>
      <c r="O108" s="5">
        <f t="shared" si="1"/>
        <v>777</v>
      </c>
    </row>
    <row r="109" spans="1:15" x14ac:dyDescent="0.25">
      <c r="A109" s="4" t="s">
        <v>217</v>
      </c>
      <c r="B109" s="4" t="s">
        <v>222</v>
      </c>
      <c r="C109" s="4">
        <v>29</v>
      </c>
      <c r="D109" s="4">
        <v>16</v>
      </c>
      <c r="E109" s="4">
        <v>29</v>
      </c>
      <c r="F109" s="4">
        <v>13</v>
      </c>
      <c r="G109" s="4">
        <v>46</v>
      </c>
      <c r="H109" s="4">
        <v>150</v>
      </c>
      <c r="I109" s="4">
        <v>80</v>
      </c>
      <c r="J109" s="4">
        <v>64</v>
      </c>
      <c r="K109" s="4">
        <v>116</v>
      </c>
      <c r="L109" s="4">
        <v>58</v>
      </c>
      <c r="M109" s="4">
        <v>59</v>
      </c>
      <c r="N109" s="4">
        <v>86</v>
      </c>
      <c r="O109" s="5">
        <f t="shared" si="1"/>
        <v>746</v>
      </c>
    </row>
    <row r="110" spans="1:15" x14ac:dyDescent="0.25">
      <c r="A110" s="4" t="s">
        <v>219</v>
      </c>
      <c r="B110" s="4" t="s">
        <v>270</v>
      </c>
      <c r="C110" s="4">
        <v>22</v>
      </c>
      <c r="D110" s="4">
        <v>9</v>
      </c>
      <c r="E110" s="4">
        <v>27</v>
      </c>
      <c r="F110" s="4">
        <v>80</v>
      </c>
      <c r="G110" s="4">
        <v>81</v>
      </c>
      <c r="H110" s="4">
        <v>171</v>
      </c>
      <c r="I110" s="4">
        <v>78</v>
      </c>
      <c r="J110" s="4">
        <v>74</v>
      </c>
      <c r="K110" s="4">
        <v>77</v>
      </c>
      <c r="L110" s="4">
        <v>47</v>
      </c>
      <c r="M110" s="4">
        <v>33</v>
      </c>
      <c r="N110" s="4">
        <v>40</v>
      </c>
      <c r="O110" s="5">
        <f t="shared" si="1"/>
        <v>739</v>
      </c>
    </row>
    <row r="111" spans="1:15" x14ac:dyDescent="0.25">
      <c r="A111" s="4" t="s">
        <v>221</v>
      </c>
      <c r="B111" s="4" t="s">
        <v>216</v>
      </c>
      <c r="C111" s="4">
        <v>75</v>
      </c>
      <c r="D111" s="4">
        <v>64</v>
      </c>
      <c r="E111" s="4">
        <v>74</v>
      </c>
      <c r="F111" s="4">
        <v>47</v>
      </c>
      <c r="G111" s="4">
        <v>75</v>
      </c>
      <c r="H111" s="4">
        <v>21</v>
      </c>
      <c r="I111" s="4">
        <v>36</v>
      </c>
      <c r="J111" s="4">
        <v>49</v>
      </c>
      <c r="K111" s="4">
        <v>68</v>
      </c>
      <c r="L111" s="4">
        <v>57</v>
      </c>
      <c r="M111" s="4">
        <v>83</v>
      </c>
      <c r="N111" s="4">
        <v>82</v>
      </c>
      <c r="O111" s="5">
        <f t="shared" si="1"/>
        <v>731</v>
      </c>
    </row>
    <row r="112" spans="1:15" x14ac:dyDescent="0.25">
      <c r="A112" s="4" t="s">
        <v>223</v>
      </c>
      <c r="B112" s="4" t="s">
        <v>182</v>
      </c>
      <c r="C112" s="4">
        <v>88</v>
      </c>
      <c r="D112" s="4">
        <v>46</v>
      </c>
      <c r="E112" s="4">
        <v>51</v>
      </c>
      <c r="F112" s="4">
        <v>27</v>
      </c>
      <c r="G112" s="4">
        <v>37</v>
      </c>
      <c r="H112" s="4">
        <v>40</v>
      </c>
      <c r="I112" s="4">
        <v>20</v>
      </c>
      <c r="J112" s="4">
        <v>34</v>
      </c>
      <c r="K112" s="4">
        <v>24</v>
      </c>
      <c r="L112" s="4">
        <v>171</v>
      </c>
      <c r="M112" s="4">
        <v>111</v>
      </c>
      <c r="N112" s="4">
        <v>75</v>
      </c>
      <c r="O112" s="5">
        <f t="shared" si="1"/>
        <v>724</v>
      </c>
    </row>
    <row r="113" spans="1:15" x14ac:dyDescent="0.25">
      <c r="A113" s="4" t="s">
        <v>225</v>
      </c>
      <c r="B113" s="4" t="s">
        <v>208</v>
      </c>
      <c r="C113" s="4">
        <v>29</v>
      </c>
      <c r="D113" s="4">
        <v>29</v>
      </c>
      <c r="E113" s="4">
        <v>59</v>
      </c>
      <c r="F113" s="4">
        <v>35</v>
      </c>
      <c r="G113" s="4">
        <v>71</v>
      </c>
      <c r="H113" s="4">
        <v>70</v>
      </c>
      <c r="I113" s="4">
        <v>74</v>
      </c>
      <c r="J113" s="4">
        <v>60</v>
      </c>
      <c r="K113" s="4">
        <v>85</v>
      </c>
      <c r="L113" s="4">
        <v>74</v>
      </c>
      <c r="M113" s="4">
        <v>75</v>
      </c>
      <c r="N113" s="4">
        <v>59</v>
      </c>
      <c r="O113" s="5">
        <f t="shared" si="1"/>
        <v>720</v>
      </c>
    </row>
    <row r="114" spans="1:15" x14ac:dyDescent="0.25">
      <c r="A114" s="4" t="s">
        <v>229</v>
      </c>
      <c r="B114" s="4" t="s">
        <v>512</v>
      </c>
      <c r="C114" s="4">
        <v>600</v>
      </c>
      <c r="D114" s="4">
        <v>79</v>
      </c>
      <c r="E114" s="4">
        <v>24</v>
      </c>
      <c r="F114" s="4">
        <v>6</v>
      </c>
      <c r="G114" s="4"/>
      <c r="H114" s="4"/>
      <c r="I114" s="4">
        <v>1</v>
      </c>
      <c r="J114" s="4"/>
      <c r="K114" s="4"/>
      <c r="L114" s="4"/>
      <c r="M114" s="4"/>
      <c r="N114" s="4">
        <v>1</v>
      </c>
      <c r="O114" s="5">
        <f t="shared" si="1"/>
        <v>711</v>
      </c>
    </row>
    <row r="115" spans="1:15" x14ac:dyDescent="0.25">
      <c r="A115" s="4" t="s">
        <v>227</v>
      </c>
      <c r="B115" s="4" t="s">
        <v>228</v>
      </c>
      <c r="C115" s="4">
        <v>69</v>
      </c>
      <c r="D115" s="4">
        <v>69</v>
      </c>
      <c r="E115" s="4">
        <v>79</v>
      </c>
      <c r="F115" s="4">
        <v>93</v>
      </c>
      <c r="G115" s="4">
        <v>64</v>
      </c>
      <c r="H115" s="4">
        <v>51</v>
      </c>
      <c r="I115" s="4">
        <v>64</v>
      </c>
      <c r="J115" s="4">
        <v>64</v>
      </c>
      <c r="K115" s="4">
        <v>60</v>
      </c>
      <c r="L115" s="4">
        <v>38</v>
      </c>
      <c r="M115" s="4">
        <v>26</v>
      </c>
      <c r="N115" s="4">
        <v>32</v>
      </c>
      <c r="O115" s="5">
        <f t="shared" si="1"/>
        <v>709</v>
      </c>
    </row>
    <row r="116" spans="1:15" x14ac:dyDescent="0.25">
      <c r="A116" s="4" t="s">
        <v>231</v>
      </c>
      <c r="B116" s="4" t="s">
        <v>322</v>
      </c>
      <c r="C116" s="4">
        <v>112</v>
      </c>
      <c r="D116" s="4">
        <v>143</v>
      </c>
      <c r="E116" s="4">
        <v>146</v>
      </c>
      <c r="F116" s="4">
        <v>81</v>
      </c>
      <c r="G116" s="4">
        <v>41</v>
      </c>
      <c r="H116" s="4">
        <v>35</v>
      </c>
      <c r="I116" s="4">
        <v>26</v>
      </c>
      <c r="J116" s="4">
        <v>14</v>
      </c>
      <c r="K116" s="4">
        <v>18</v>
      </c>
      <c r="L116" s="4">
        <v>21</v>
      </c>
      <c r="M116" s="4">
        <v>3</v>
      </c>
      <c r="N116" s="4">
        <v>4</v>
      </c>
      <c r="O116" s="5">
        <f t="shared" si="1"/>
        <v>644</v>
      </c>
    </row>
    <row r="117" spans="1:15" x14ac:dyDescent="0.25">
      <c r="A117" s="4" t="s">
        <v>233</v>
      </c>
      <c r="B117" s="4" t="s">
        <v>254</v>
      </c>
      <c r="C117" s="4">
        <v>30</v>
      </c>
      <c r="D117" s="4">
        <v>50</v>
      </c>
      <c r="E117" s="4">
        <v>72</v>
      </c>
      <c r="F117" s="4">
        <v>37</v>
      </c>
      <c r="G117" s="4">
        <v>72</v>
      </c>
      <c r="H117" s="4">
        <v>56</v>
      </c>
      <c r="I117" s="4">
        <v>88</v>
      </c>
      <c r="J117" s="4">
        <v>73</v>
      </c>
      <c r="K117" s="4">
        <v>49</v>
      </c>
      <c r="L117" s="4">
        <v>27</v>
      </c>
      <c r="M117" s="4">
        <v>37</v>
      </c>
      <c r="N117" s="4">
        <v>20</v>
      </c>
      <c r="O117" s="5">
        <f t="shared" si="1"/>
        <v>611</v>
      </c>
    </row>
    <row r="118" spans="1:15" x14ac:dyDescent="0.25">
      <c r="A118" s="4" t="s">
        <v>235</v>
      </c>
      <c r="B118" s="4" t="s">
        <v>204</v>
      </c>
      <c r="C118" s="4">
        <v>14</v>
      </c>
      <c r="D118" s="4">
        <v>24</v>
      </c>
      <c r="E118" s="4">
        <v>40</v>
      </c>
      <c r="F118" s="4">
        <v>44</v>
      </c>
      <c r="G118" s="4">
        <v>55</v>
      </c>
      <c r="H118" s="4">
        <v>66</v>
      </c>
      <c r="I118" s="4">
        <v>46</v>
      </c>
      <c r="J118" s="4">
        <v>32</v>
      </c>
      <c r="K118" s="4">
        <v>105</v>
      </c>
      <c r="L118" s="4">
        <v>73</v>
      </c>
      <c r="M118" s="4">
        <v>45</v>
      </c>
      <c r="N118" s="4">
        <v>42</v>
      </c>
      <c r="O118" s="5">
        <f t="shared" si="1"/>
        <v>586</v>
      </c>
    </row>
    <row r="119" spans="1:15" x14ac:dyDescent="0.25">
      <c r="A119" s="4" t="s">
        <v>237</v>
      </c>
      <c r="B119" s="4" t="s">
        <v>236</v>
      </c>
      <c r="C119" s="4">
        <v>5</v>
      </c>
      <c r="D119" s="4">
        <v>51</v>
      </c>
      <c r="E119" s="4">
        <v>53</v>
      </c>
      <c r="F119" s="4">
        <v>125</v>
      </c>
      <c r="G119" s="4">
        <v>86</v>
      </c>
      <c r="H119" s="4">
        <v>50</v>
      </c>
      <c r="I119" s="4">
        <v>1</v>
      </c>
      <c r="J119" s="4">
        <v>55</v>
      </c>
      <c r="K119" s="4">
        <v>52</v>
      </c>
      <c r="L119" s="4">
        <v>41</v>
      </c>
      <c r="M119" s="4">
        <v>27</v>
      </c>
      <c r="N119" s="4">
        <v>38</v>
      </c>
      <c r="O119" s="5">
        <f t="shared" si="1"/>
        <v>584</v>
      </c>
    </row>
    <row r="120" spans="1:15" x14ac:dyDescent="0.25">
      <c r="A120" s="4" t="s">
        <v>239</v>
      </c>
      <c r="B120" s="4" t="s">
        <v>518</v>
      </c>
      <c r="C120" s="4">
        <v>60</v>
      </c>
      <c r="D120" s="4">
        <v>100</v>
      </c>
      <c r="E120" s="4">
        <v>72</v>
      </c>
      <c r="F120" s="4">
        <v>40</v>
      </c>
      <c r="G120" s="4">
        <v>62</v>
      </c>
      <c r="H120" s="4">
        <v>34</v>
      </c>
      <c r="I120" s="4">
        <v>26</v>
      </c>
      <c r="J120" s="4">
        <v>10</v>
      </c>
      <c r="K120" s="4">
        <v>19</v>
      </c>
      <c r="L120" s="4">
        <v>4</v>
      </c>
      <c r="M120" s="4">
        <v>22</v>
      </c>
      <c r="N120" s="4">
        <v>113</v>
      </c>
      <c r="O120" s="5">
        <f t="shared" si="1"/>
        <v>562</v>
      </c>
    </row>
    <row r="121" spans="1:15" x14ac:dyDescent="0.25">
      <c r="A121" s="4" t="s">
        <v>243</v>
      </c>
      <c r="B121" s="4" t="s">
        <v>138</v>
      </c>
      <c r="C121" s="4"/>
      <c r="D121" s="4"/>
      <c r="E121" s="4"/>
      <c r="F121" s="4"/>
      <c r="G121" s="4"/>
      <c r="H121" s="4"/>
      <c r="I121" s="4"/>
      <c r="J121" s="4"/>
      <c r="K121" s="4"/>
      <c r="L121" s="4">
        <v>41</v>
      </c>
      <c r="M121" s="4">
        <v>207</v>
      </c>
      <c r="N121" s="4">
        <v>304</v>
      </c>
      <c r="O121" s="5">
        <f t="shared" si="1"/>
        <v>552</v>
      </c>
    </row>
    <row r="122" spans="1:15" x14ac:dyDescent="0.25">
      <c r="A122" s="4" t="s">
        <v>241</v>
      </c>
      <c r="B122" s="4" t="s">
        <v>154</v>
      </c>
      <c r="C122" s="4">
        <v>26</v>
      </c>
      <c r="D122" s="4">
        <v>10</v>
      </c>
      <c r="E122" s="4">
        <v>5</v>
      </c>
      <c r="F122" s="4">
        <v>4</v>
      </c>
      <c r="G122" s="4">
        <v>41</v>
      </c>
      <c r="H122" s="4">
        <v>178</v>
      </c>
      <c r="I122" s="4">
        <v>106</v>
      </c>
      <c r="J122" s="4">
        <v>40</v>
      </c>
      <c r="K122" s="4">
        <v>5</v>
      </c>
      <c r="L122" s="4">
        <v>37</v>
      </c>
      <c r="M122" s="4">
        <v>65</v>
      </c>
      <c r="N122" s="4">
        <v>31</v>
      </c>
      <c r="O122" s="5">
        <f t="shared" si="1"/>
        <v>548</v>
      </c>
    </row>
    <row r="123" spans="1:15" x14ac:dyDescent="0.25">
      <c r="A123" s="4" t="s">
        <v>245</v>
      </c>
      <c r="B123" s="4" t="s">
        <v>252</v>
      </c>
      <c r="C123" s="4">
        <v>5</v>
      </c>
      <c r="D123" s="4">
        <v>4</v>
      </c>
      <c r="E123" s="4">
        <v>9</v>
      </c>
      <c r="F123" s="4">
        <v>47</v>
      </c>
      <c r="G123" s="4">
        <v>84</v>
      </c>
      <c r="H123" s="4">
        <v>100</v>
      </c>
      <c r="I123" s="4">
        <v>75</v>
      </c>
      <c r="J123" s="4">
        <v>52</v>
      </c>
      <c r="K123" s="4">
        <v>30</v>
      </c>
      <c r="L123" s="4">
        <v>20</v>
      </c>
      <c r="M123" s="4">
        <v>46</v>
      </c>
      <c r="N123" s="4">
        <v>72</v>
      </c>
      <c r="O123" s="5">
        <f t="shared" si="1"/>
        <v>544</v>
      </c>
    </row>
    <row r="124" spans="1:15" x14ac:dyDescent="0.25">
      <c r="A124" s="4" t="s">
        <v>247</v>
      </c>
      <c r="B124" s="4" t="s">
        <v>230</v>
      </c>
      <c r="C124" s="4">
        <v>4</v>
      </c>
      <c r="D124" s="4">
        <v>2</v>
      </c>
      <c r="E124" s="4">
        <v>12</v>
      </c>
      <c r="F124" s="4">
        <v>20</v>
      </c>
      <c r="G124" s="4">
        <v>9</v>
      </c>
      <c r="H124" s="4">
        <v>17</v>
      </c>
      <c r="I124" s="4">
        <v>52</v>
      </c>
      <c r="J124" s="4">
        <v>27</v>
      </c>
      <c r="K124" s="4">
        <v>20</v>
      </c>
      <c r="L124" s="4">
        <v>75</v>
      </c>
      <c r="M124" s="4">
        <v>104</v>
      </c>
      <c r="N124" s="4">
        <v>149</v>
      </c>
      <c r="O124" s="5">
        <f t="shared" si="1"/>
        <v>491</v>
      </c>
    </row>
    <row r="125" spans="1:15" x14ac:dyDescent="0.25">
      <c r="A125" s="4" t="s">
        <v>249</v>
      </c>
      <c r="B125" s="4" t="s">
        <v>310</v>
      </c>
      <c r="C125" s="4">
        <v>56</v>
      </c>
      <c r="D125" s="4">
        <v>73</v>
      </c>
      <c r="E125" s="4">
        <v>83</v>
      </c>
      <c r="F125" s="4">
        <v>85</v>
      </c>
      <c r="G125" s="4">
        <v>47</v>
      </c>
      <c r="H125" s="4">
        <v>41</v>
      </c>
      <c r="I125" s="4">
        <v>30</v>
      </c>
      <c r="J125" s="4">
        <v>13</v>
      </c>
      <c r="K125" s="4">
        <v>10</v>
      </c>
      <c r="L125" s="4">
        <v>12</v>
      </c>
      <c r="M125" s="4">
        <v>16</v>
      </c>
      <c r="N125" s="4">
        <v>20</v>
      </c>
      <c r="O125" s="5">
        <f t="shared" si="1"/>
        <v>486</v>
      </c>
    </row>
    <row r="126" spans="1:15" x14ac:dyDescent="0.25">
      <c r="A126" s="4" t="s">
        <v>253</v>
      </c>
      <c r="B126" s="4" t="s">
        <v>226</v>
      </c>
      <c r="C126" s="4">
        <v>60</v>
      </c>
      <c r="D126" s="4">
        <v>58</v>
      </c>
      <c r="E126" s="4">
        <v>64</v>
      </c>
      <c r="F126" s="4">
        <v>41</v>
      </c>
      <c r="G126" s="4">
        <v>33</v>
      </c>
      <c r="H126" s="4">
        <v>41</v>
      </c>
      <c r="I126" s="4">
        <v>28</v>
      </c>
      <c r="J126" s="4">
        <v>26</v>
      </c>
      <c r="K126" s="4">
        <v>29</v>
      </c>
      <c r="L126" s="4">
        <v>10</v>
      </c>
      <c r="M126" s="4">
        <v>6</v>
      </c>
      <c r="N126" s="4">
        <v>84</v>
      </c>
      <c r="O126" s="5">
        <f t="shared" si="1"/>
        <v>480</v>
      </c>
    </row>
    <row r="127" spans="1:15" x14ac:dyDescent="0.25">
      <c r="A127" s="4" t="s">
        <v>251</v>
      </c>
      <c r="B127" s="4" t="s">
        <v>218</v>
      </c>
      <c r="C127" s="4">
        <v>9</v>
      </c>
      <c r="D127" s="4">
        <v>2</v>
      </c>
      <c r="E127" s="4">
        <v>26</v>
      </c>
      <c r="F127" s="4">
        <v>69</v>
      </c>
      <c r="G127" s="4">
        <v>62</v>
      </c>
      <c r="H127" s="4">
        <v>93</v>
      </c>
      <c r="I127" s="4">
        <v>29</v>
      </c>
      <c r="J127" s="4">
        <v>31</v>
      </c>
      <c r="K127" s="4">
        <v>33</v>
      </c>
      <c r="L127" s="4">
        <v>21</v>
      </c>
      <c r="M127" s="4">
        <v>43</v>
      </c>
      <c r="N127" s="4">
        <v>53</v>
      </c>
      <c r="O127" s="5">
        <f t="shared" si="1"/>
        <v>471</v>
      </c>
    </row>
    <row r="128" spans="1:15" x14ac:dyDescent="0.25">
      <c r="A128" s="4" t="s">
        <v>255</v>
      </c>
      <c r="B128" s="4" t="s">
        <v>324</v>
      </c>
      <c r="C128" s="4">
        <v>2</v>
      </c>
      <c r="D128" s="4">
        <v>3</v>
      </c>
      <c r="E128" s="4">
        <v>5</v>
      </c>
      <c r="F128" s="4">
        <v>10</v>
      </c>
      <c r="G128" s="4">
        <v>29</v>
      </c>
      <c r="H128" s="4">
        <v>32</v>
      </c>
      <c r="I128" s="4">
        <v>58</v>
      </c>
      <c r="J128" s="4">
        <v>91</v>
      </c>
      <c r="K128" s="4">
        <v>145</v>
      </c>
      <c r="L128" s="4">
        <v>9</v>
      </c>
      <c r="M128" s="4">
        <v>12</v>
      </c>
      <c r="N128" s="4">
        <v>29</v>
      </c>
      <c r="O128" s="5">
        <f t="shared" si="1"/>
        <v>425</v>
      </c>
    </row>
    <row r="129" spans="1:15" x14ac:dyDescent="0.25">
      <c r="A129" s="4" t="s">
        <v>257</v>
      </c>
      <c r="B129" s="4" t="s">
        <v>424</v>
      </c>
      <c r="C129" s="4"/>
      <c r="D129" s="4"/>
      <c r="E129" s="4"/>
      <c r="F129" s="4"/>
      <c r="G129" s="4">
        <v>1</v>
      </c>
      <c r="H129" s="4">
        <v>393</v>
      </c>
      <c r="I129" s="4">
        <v>5</v>
      </c>
      <c r="J129" s="4">
        <v>2</v>
      </c>
      <c r="K129" s="4"/>
      <c r="L129" s="4"/>
      <c r="M129" s="4"/>
      <c r="N129" s="4">
        <v>1</v>
      </c>
      <c r="O129" s="5">
        <f t="shared" si="1"/>
        <v>402</v>
      </c>
    </row>
    <row r="130" spans="1:15" x14ac:dyDescent="0.25">
      <c r="A130" s="4" t="s">
        <v>259</v>
      </c>
      <c r="B130" s="4" t="s">
        <v>282</v>
      </c>
      <c r="C130" s="4">
        <v>41</v>
      </c>
      <c r="D130" s="4">
        <v>49</v>
      </c>
      <c r="E130" s="4">
        <v>12</v>
      </c>
      <c r="F130" s="4">
        <v>33</v>
      </c>
      <c r="G130" s="4">
        <v>37</v>
      </c>
      <c r="H130" s="4">
        <v>36</v>
      </c>
      <c r="I130" s="4">
        <v>9</v>
      </c>
      <c r="J130" s="4">
        <v>39</v>
      </c>
      <c r="K130" s="4">
        <v>13</v>
      </c>
      <c r="L130" s="4">
        <v>9</v>
      </c>
      <c r="M130" s="4">
        <v>63</v>
      </c>
      <c r="N130" s="4">
        <v>6</v>
      </c>
      <c r="O130" s="5">
        <f t="shared" si="1"/>
        <v>347</v>
      </c>
    </row>
    <row r="131" spans="1:15" x14ac:dyDescent="0.25">
      <c r="A131" s="4" t="s">
        <v>261</v>
      </c>
      <c r="B131" s="4" t="s">
        <v>378</v>
      </c>
      <c r="C131" s="4">
        <v>49</v>
      </c>
      <c r="D131" s="4">
        <v>41</v>
      </c>
      <c r="E131" s="4">
        <v>28</v>
      </c>
      <c r="F131" s="4">
        <v>32</v>
      </c>
      <c r="G131" s="4">
        <v>27</v>
      </c>
      <c r="H131" s="4">
        <v>28</v>
      </c>
      <c r="I131" s="4">
        <v>25</v>
      </c>
      <c r="J131" s="4">
        <v>31</v>
      </c>
      <c r="K131" s="4">
        <v>25</v>
      </c>
      <c r="L131" s="4">
        <v>24</v>
      </c>
      <c r="M131" s="4">
        <v>19</v>
      </c>
      <c r="N131" s="4">
        <v>16</v>
      </c>
      <c r="O131" s="5">
        <f t="shared" si="1"/>
        <v>345</v>
      </c>
    </row>
    <row r="132" spans="1:15" x14ac:dyDescent="0.25">
      <c r="A132" s="4" t="s">
        <v>265</v>
      </c>
      <c r="B132" s="4" t="s">
        <v>240</v>
      </c>
      <c r="C132" s="4">
        <v>18</v>
      </c>
      <c r="D132" s="4">
        <v>16</v>
      </c>
      <c r="E132" s="4">
        <v>14</v>
      </c>
      <c r="F132" s="4">
        <v>17</v>
      </c>
      <c r="G132" s="4">
        <v>41</v>
      </c>
      <c r="H132" s="4">
        <v>17</v>
      </c>
      <c r="I132" s="4">
        <v>31</v>
      </c>
      <c r="J132" s="4">
        <v>38</v>
      </c>
      <c r="K132" s="4">
        <v>26</v>
      </c>
      <c r="L132" s="4">
        <v>25</v>
      </c>
      <c r="M132" s="4">
        <v>25</v>
      </c>
      <c r="N132" s="4">
        <v>76</v>
      </c>
      <c r="O132" s="5">
        <f t="shared" ref="O132:O195" si="2">SUM(C132:N132)</f>
        <v>344</v>
      </c>
    </row>
    <row r="133" spans="1:15" x14ac:dyDescent="0.25">
      <c r="A133" s="4" t="s">
        <v>263</v>
      </c>
      <c r="B133" s="4" t="s">
        <v>392</v>
      </c>
      <c r="C133" s="4">
        <v>44</v>
      </c>
      <c r="D133" s="4">
        <v>40</v>
      </c>
      <c r="E133" s="4">
        <v>41</v>
      </c>
      <c r="F133" s="4">
        <v>50</v>
      </c>
      <c r="G133" s="4">
        <v>32</v>
      </c>
      <c r="H133" s="4">
        <v>39</v>
      </c>
      <c r="I133" s="4">
        <v>23</v>
      </c>
      <c r="J133" s="4">
        <v>22</v>
      </c>
      <c r="K133" s="4">
        <v>12</v>
      </c>
      <c r="L133" s="4">
        <v>14</v>
      </c>
      <c r="M133" s="4">
        <v>12</v>
      </c>
      <c r="N133" s="4">
        <v>10</v>
      </c>
      <c r="O133" s="5">
        <f t="shared" si="2"/>
        <v>339</v>
      </c>
    </row>
    <row r="134" spans="1:15" x14ac:dyDescent="0.25">
      <c r="A134" s="4" t="s">
        <v>267</v>
      </c>
      <c r="B134" s="4" t="s">
        <v>258</v>
      </c>
      <c r="C134" s="4">
        <v>48</v>
      </c>
      <c r="D134" s="4">
        <v>21</v>
      </c>
      <c r="E134" s="4">
        <v>18</v>
      </c>
      <c r="F134" s="4">
        <v>11</v>
      </c>
      <c r="G134" s="4">
        <v>5</v>
      </c>
      <c r="H134" s="4">
        <v>30</v>
      </c>
      <c r="I134" s="4">
        <v>26</v>
      </c>
      <c r="J134" s="4">
        <v>60</v>
      </c>
      <c r="K134" s="4">
        <v>55</v>
      </c>
      <c r="L134" s="4">
        <v>30</v>
      </c>
      <c r="M134" s="4">
        <v>18</v>
      </c>
      <c r="N134" s="4">
        <v>10</v>
      </c>
      <c r="O134" s="5">
        <f t="shared" si="2"/>
        <v>332</v>
      </c>
    </row>
    <row r="135" spans="1:15" x14ac:dyDescent="0.25">
      <c r="A135" s="4" t="s">
        <v>269</v>
      </c>
      <c r="B135" s="4" t="s">
        <v>446</v>
      </c>
      <c r="C135" s="4">
        <v>48</v>
      </c>
      <c r="D135" s="4">
        <v>83</v>
      </c>
      <c r="E135" s="4">
        <v>169</v>
      </c>
      <c r="F135" s="4">
        <v>3</v>
      </c>
      <c r="G135" s="4">
        <v>6</v>
      </c>
      <c r="H135" s="4">
        <v>2</v>
      </c>
      <c r="I135" s="4">
        <v>1</v>
      </c>
      <c r="J135" s="4">
        <v>1</v>
      </c>
      <c r="K135" s="4">
        <v>1</v>
      </c>
      <c r="L135" s="4"/>
      <c r="M135" s="4"/>
      <c r="N135" s="4"/>
      <c r="O135" s="5">
        <f t="shared" si="2"/>
        <v>314</v>
      </c>
    </row>
    <row r="136" spans="1:15" x14ac:dyDescent="0.25">
      <c r="A136" s="4" t="s">
        <v>271</v>
      </c>
      <c r="B136" s="4" t="s">
        <v>312</v>
      </c>
      <c r="C136" s="4">
        <v>29</v>
      </c>
      <c r="D136" s="4">
        <v>13</v>
      </c>
      <c r="E136" s="4">
        <v>9</v>
      </c>
      <c r="F136" s="4">
        <v>9</v>
      </c>
      <c r="G136" s="4">
        <v>13</v>
      </c>
      <c r="H136" s="4">
        <v>10</v>
      </c>
      <c r="I136" s="4">
        <v>38</v>
      </c>
      <c r="J136" s="4">
        <v>30</v>
      </c>
      <c r="K136" s="4">
        <v>21</v>
      </c>
      <c r="L136" s="4">
        <v>50</v>
      </c>
      <c r="M136" s="4">
        <v>32</v>
      </c>
      <c r="N136" s="4">
        <v>29</v>
      </c>
      <c r="O136" s="5">
        <f t="shared" si="2"/>
        <v>283</v>
      </c>
    </row>
    <row r="137" spans="1:15" x14ac:dyDescent="0.25">
      <c r="A137" s="4" t="s">
        <v>273</v>
      </c>
      <c r="B137" s="4" t="s">
        <v>326</v>
      </c>
      <c r="C137" s="4">
        <v>76</v>
      </c>
      <c r="D137" s="4">
        <v>2</v>
      </c>
      <c r="E137" s="4">
        <v>17</v>
      </c>
      <c r="F137" s="4">
        <v>12</v>
      </c>
      <c r="G137" s="4"/>
      <c r="H137" s="4">
        <v>1</v>
      </c>
      <c r="I137" s="4">
        <v>25</v>
      </c>
      <c r="J137" s="4">
        <v>28</v>
      </c>
      <c r="K137" s="4">
        <v>1</v>
      </c>
      <c r="L137" s="4">
        <v>30</v>
      </c>
      <c r="M137" s="4">
        <v>9</v>
      </c>
      <c r="N137" s="4">
        <v>77</v>
      </c>
      <c r="O137" s="5">
        <f t="shared" si="2"/>
        <v>278</v>
      </c>
    </row>
    <row r="138" spans="1:15" x14ac:dyDescent="0.25">
      <c r="A138" s="4" t="s">
        <v>275</v>
      </c>
      <c r="B138" s="4" t="s">
        <v>398</v>
      </c>
      <c r="C138" s="4">
        <v>49</v>
      </c>
      <c r="D138" s="4">
        <v>35</v>
      </c>
      <c r="E138" s="4">
        <v>38</v>
      </c>
      <c r="F138" s="4">
        <v>25</v>
      </c>
      <c r="G138" s="4">
        <v>28</v>
      </c>
      <c r="H138" s="4">
        <v>15</v>
      </c>
      <c r="I138" s="4">
        <v>17</v>
      </c>
      <c r="J138" s="4">
        <v>17</v>
      </c>
      <c r="K138" s="4">
        <v>25</v>
      </c>
      <c r="L138" s="4">
        <v>7</v>
      </c>
      <c r="M138" s="4">
        <v>5</v>
      </c>
      <c r="N138" s="4">
        <v>12</v>
      </c>
      <c r="O138" s="5">
        <f t="shared" si="2"/>
        <v>273</v>
      </c>
    </row>
    <row r="139" spans="1:15" x14ac:dyDescent="0.25">
      <c r="A139" s="4" t="s">
        <v>277</v>
      </c>
      <c r="B139" s="4" t="s">
        <v>266</v>
      </c>
      <c r="C139" s="4">
        <v>12</v>
      </c>
      <c r="D139" s="4">
        <v>13</v>
      </c>
      <c r="E139" s="4">
        <v>17</v>
      </c>
      <c r="F139" s="4">
        <v>21</v>
      </c>
      <c r="G139" s="4">
        <v>39</v>
      </c>
      <c r="H139" s="4">
        <v>14</v>
      </c>
      <c r="I139" s="4">
        <v>20</v>
      </c>
      <c r="J139" s="4">
        <v>28</v>
      </c>
      <c r="K139" s="4">
        <v>24</v>
      </c>
      <c r="L139" s="4">
        <v>27</v>
      </c>
      <c r="M139" s="4">
        <v>34</v>
      </c>
      <c r="N139" s="4">
        <v>21</v>
      </c>
      <c r="O139" s="5">
        <f t="shared" si="2"/>
        <v>270</v>
      </c>
    </row>
    <row r="140" spans="1:15" x14ac:dyDescent="0.25">
      <c r="A140" s="4" t="s">
        <v>279</v>
      </c>
      <c r="B140" s="4" t="s">
        <v>264</v>
      </c>
      <c r="C140" s="4">
        <v>25</v>
      </c>
      <c r="D140" s="4">
        <v>3</v>
      </c>
      <c r="E140" s="4">
        <v>11</v>
      </c>
      <c r="F140" s="4">
        <v>6</v>
      </c>
      <c r="G140" s="4">
        <v>10</v>
      </c>
      <c r="H140" s="4">
        <v>6</v>
      </c>
      <c r="I140" s="4">
        <v>18</v>
      </c>
      <c r="J140" s="4"/>
      <c r="K140" s="4">
        <v>36</v>
      </c>
      <c r="L140" s="4">
        <v>26</v>
      </c>
      <c r="M140" s="4">
        <v>29</v>
      </c>
      <c r="N140" s="4">
        <v>99</v>
      </c>
      <c r="O140" s="5">
        <f t="shared" si="2"/>
        <v>269</v>
      </c>
    </row>
    <row r="141" spans="1:15" x14ac:dyDescent="0.25">
      <c r="A141" s="4" t="s">
        <v>281</v>
      </c>
      <c r="B141" s="4" t="s">
        <v>276</v>
      </c>
      <c r="C141" s="4">
        <v>21</v>
      </c>
      <c r="D141" s="4">
        <v>22</v>
      </c>
      <c r="E141" s="4">
        <v>26</v>
      </c>
      <c r="F141" s="4">
        <v>23</v>
      </c>
      <c r="G141" s="4">
        <v>21</v>
      </c>
      <c r="H141" s="4">
        <v>34</v>
      </c>
      <c r="I141" s="4">
        <v>41</v>
      </c>
      <c r="J141" s="4">
        <v>22</v>
      </c>
      <c r="K141" s="4">
        <v>13</v>
      </c>
      <c r="L141" s="4">
        <v>3</v>
      </c>
      <c r="M141" s="4">
        <v>7</v>
      </c>
      <c r="N141" s="4">
        <v>8</v>
      </c>
      <c r="O141" s="5">
        <f t="shared" si="2"/>
        <v>241</v>
      </c>
    </row>
    <row r="142" spans="1:15" x14ac:dyDescent="0.25">
      <c r="A142" s="4" t="s">
        <v>285</v>
      </c>
      <c r="B142" s="4" t="s">
        <v>302</v>
      </c>
      <c r="C142" s="4"/>
      <c r="D142" s="4"/>
      <c r="E142" s="4"/>
      <c r="F142" s="4"/>
      <c r="G142" s="4"/>
      <c r="H142" s="4"/>
      <c r="I142" s="4"/>
      <c r="J142" s="4"/>
      <c r="K142" s="4">
        <v>238</v>
      </c>
      <c r="L142" s="4"/>
      <c r="M142" s="4"/>
      <c r="N142" s="4"/>
      <c r="O142" s="5">
        <f t="shared" si="2"/>
        <v>238</v>
      </c>
    </row>
    <row r="143" spans="1:15" x14ac:dyDescent="0.25">
      <c r="A143" s="4" t="s">
        <v>283</v>
      </c>
      <c r="B143" s="4" t="s">
        <v>246</v>
      </c>
      <c r="C143" s="4">
        <v>26</v>
      </c>
      <c r="D143" s="4">
        <v>17</v>
      </c>
      <c r="E143" s="4">
        <v>3</v>
      </c>
      <c r="F143" s="4">
        <v>3</v>
      </c>
      <c r="G143" s="4"/>
      <c r="H143" s="4"/>
      <c r="I143" s="4">
        <v>1</v>
      </c>
      <c r="J143" s="4">
        <v>14</v>
      </c>
      <c r="K143" s="4">
        <v>63</v>
      </c>
      <c r="L143" s="4">
        <v>44</v>
      </c>
      <c r="M143" s="4">
        <v>37</v>
      </c>
      <c r="N143" s="4">
        <v>27</v>
      </c>
      <c r="O143" s="5">
        <f t="shared" si="2"/>
        <v>235</v>
      </c>
    </row>
    <row r="144" spans="1:15" x14ac:dyDescent="0.25">
      <c r="A144" s="4" t="s">
        <v>287</v>
      </c>
      <c r="B144" s="4" t="s">
        <v>314</v>
      </c>
      <c r="C144" s="4">
        <v>13</v>
      </c>
      <c r="D144" s="4">
        <v>14</v>
      </c>
      <c r="E144" s="4">
        <v>4</v>
      </c>
      <c r="F144" s="4">
        <v>29</v>
      </c>
      <c r="G144" s="4">
        <v>36</v>
      </c>
      <c r="H144" s="4">
        <v>18</v>
      </c>
      <c r="I144" s="4">
        <v>24</v>
      </c>
      <c r="J144" s="4">
        <v>29</v>
      </c>
      <c r="K144" s="4">
        <v>19</v>
      </c>
      <c r="L144" s="4">
        <v>12</v>
      </c>
      <c r="M144" s="4">
        <v>13</v>
      </c>
      <c r="N144" s="4">
        <v>22</v>
      </c>
      <c r="O144" s="5">
        <f t="shared" si="2"/>
        <v>233</v>
      </c>
    </row>
    <row r="145" spans="1:15" x14ac:dyDescent="0.25">
      <c r="A145" s="4" t="s">
        <v>289</v>
      </c>
      <c r="B145" s="4" t="s">
        <v>519</v>
      </c>
      <c r="C145" s="4">
        <v>154</v>
      </c>
      <c r="D145" s="4">
        <v>55</v>
      </c>
      <c r="E145" s="4">
        <v>16</v>
      </c>
      <c r="F145" s="4">
        <v>4</v>
      </c>
      <c r="G145" s="4"/>
      <c r="H145" s="4">
        <v>1</v>
      </c>
      <c r="I145" s="4"/>
      <c r="J145" s="4"/>
      <c r="K145" s="4"/>
      <c r="L145" s="4">
        <v>1</v>
      </c>
      <c r="M145" s="4"/>
      <c r="N145" s="4"/>
      <c r="O145" s="5">
        <f t="shared" si="2"/>
        <v>231</v>
      </c>
    </row>
    <row r="146" spans="1:15" x14ac:dyDescent="0.25">
      <c r="A146" s="4" t="s">
        <v>291</v>
      </c>
      <c r="B146" s="4" t="s">
        <v>262</v>
      </c>
      <c r="C146" s="4">
        <v>14</v>
      </c>
      <c r="D146" s="4">
        <v>23</v>
      </c>
      <c r="E146" s="4">
        <v>16</v>
      </c>
      <c r="F146" s="4">
        <v>9</v>
      </c>
      <c r="G146" s="4">
        <v>7</v>
      </c>
      <c r="H146" s="4">
        <v>20</v>
      </c>
      <c r="I146" s="4">
        <v>42</v>
      </c>
      <c r="J146" s="4">
        <v>24</v>
      </c>
      <c r="K146" s="4">
        <v>21</v>
      </c>
      <c r="L146" s="4">
        <v>13</v>
      </c>
      <c r="M146" s="4">
        <v>14</v>
      </c>
      <c r="N146" s="4">
        <v>24</v>
      </c>
      <c r="O146" s="5">
        <f t="shared" si="2"/>
        <v>227</v>
      </c>
    </row>
    <row r="147" spans="1:15" x14ac:dyDescent="0.25">
      <c r="A147" s="4" t="s">
        <v>293</v>
      </c>
      <c r="B147" s="4" t="s">
        <v>520</v>
      </c>
      <c r="C147" s="4">
        <v>51</v>
      </c>
      <c r="D147" s="4">
        <v>5</v>
      </c>
      <c r="E147" s="4">
        <v>6</v>
      </c>
      <c r="F147" s="4"/>
      <c r="G147" s="4"/>
      <c r="H147" s="4">
        <v>129</v>
      </c>
      <c r="I147" s="4">
        <v>7</v>
      </c>
      <c r="J147" s="4"/>
      <c r="K147" s="4"/>
      <c r="L147" s="4">
        <v>5</v>
      </c>
      <c r="M147" s="4"/>
      <c r="N147" s="4"/>
      <c r="O147" s="5">
        <f t="shared" si="2"/>
        <v>203</v>
      </c>
    </row>
    <row r="148" spans="1:15" x14ac:dyDescent="0.25">
      <c r="A148" s="4" t="s">
        <v>295</v>
      </c>
      <c r="B148" s="4" t="s">
        <v>348</v>
      </c>
      <c r="C148" s="4">
        <v>19</v>
      </c>
      <c r="D148" s="4">
        <v>89</v>
      </c>
      <c r="E148" s="4">
        <v>24</v>
      </c>
      <c r="F148" s="4">
        <v>14</v>
      </c>
      <c r="G148" s="4">
        <v>11</v>
      </c>
      <c r="H148" s="4">
        <v>7</v>
      </c>
      <c r="I148" s="4">
        <v>16</v>
      </c>
      <c r="J148" s="4">
        <v>6</v>
      </c>
      <c r="K148" s="4">
        <v>2</v>
      </c>
      <c r="L148" s="4">
        <v>4</v>
      </c>
      <c r="M148" s="4">
        <v>4</v>
      </c>
      <c r="N148" s="4">
        <v>6</v>
      </c>
      <c r="O148" s="5">
        <f t="shared" si="2"/>
        <v>202</v>
      </c>
    </row>
    <row r="149" spans="1:15" x14ac:dyDescent="0.25">
      <c r="A149" s="4" t="s">
        <v>297</v>
      </c>
      <c r="B149" s="4" t="s">
        <v>294</v>
      </c>
      <c r="C149" s="4"/>
      <c r="D149" s="4"/>
      <c r="E149" s="4">
        <v>44</v>
      </c>
      <c r="F149" s="4">
        <v>41</v>
      </c>
      <c r="G149" s="4"/>
      <c r="H149" s="4"/>
      <c r="I149" s="4">
        <v>34</v>
      </c>
      <c r="J149" s="4">
        <v>36</v>
      </c>
      <c r="K149" s="4"/>
      <c r="L149" s="4">
        <v>23</v>
      </c>
      <c r="M149" s="4">
        <v>2</v>
      </c>
      <c r="N149" s="4">
        <v>12</v>
      </c>
      <c r="O149" s="5">
        <f t="shared" si="2"/>
        <v>192</v>
      </c>
    </row>
    <row r="150" spans="1:15" x14ac:dyDescent="0.25">
      <c r="A150" s="4" t="s">
        <v>299</v>
      </c>
      <c r="B150" s="4" t="s">
        <v>274</v>
      </c>
      <c r="C150" s="4">
        <v>5</v>
      </c>
      <c r="D150" s="4">
        <v>8</v>
      </c>
      <c r="E150" s="4">
        <v>8</v>
      </c>
      <c r="F150" s="4">
        <v>6</v>
      </c>
      <c r="G150" s="4">
        <v>20</v>
      </c>
      <c r="H150" s="4">
        <v>23</v>
      </c>
      <c r="I150" s="4">
        <v>22</v>
      </c>
      <c r="J150" s="4">
        <v>16</v>
      </c>
      <c r="K150" s="4">
        <v>15</v>
      </c>
      <c r="L150" s="4">
        <v>17</v>
      </c>
      <c r="M150" s="4">
        <v>8</v>
      </c>
      <c r="N150" s="4">
        <v>30</v>
      </c>
      <c r="O150" s="5">
        <f t="shared" si="2"/>
        <v>178</v>
      </c>
    </row>
    <row r="151" spans="1:15" x14ac:dyDescent="0.25">
      <c r="A151" s="4" t="s">
        <v>301</v>
      </c>
      <c r="B151" s="4" t="s">
        <v>320</v>
      </c>
      <c r="C151" s="4"/>
      <c r="D151" s="4"/>
      <c r="E151" s="4">
        <v>5</v>
      </c>
      <c r="F151" s="4">
        <v>13</v>
      </c>
      <c r="G151" s="4">
        <v>17</v>
      </c>
      <c r="H151" s="4">
        <v>11</v>
      </c>
      <c r="I151" s="4">
        <v>33</v>
      </c>
      <c r="J151" s="4">
        <v>49</v>
      </c>
      <c r="K151" s="4">
        <v>17</v>
      </c>
      <c r="L151" s="4">
        <v>12</v>
      </c>
      <c r="M151" s="4">
        <v>13</v>
      </c>
      <c r="N151" s="4">
        <v>6</v>
      </c>
      <c r="O151" s="5">
        <f t="shared" si="2"/>
        <v>176</v>
      </c>
    </row>
    <row r="152" spans="1:15" x14ac:dyDescent="0.25">
      <c r="A152" s="4" t="s">
        <v>303</v>
      </c>
      <c r="B152" s="4" t="s">
        <v>280</v>
      </c>
      <c r="C152" s="4">
        <v>9</v>
      </c>
      <c r="D152" s="4">
        <v>4</v>
      </c>
      <c r="E152" s="4">
        <v>12</v>
      </c>
      <c r="F152" s="4">
        <v>6</v>
      </c>
      <c r="G152" s="4">
        <v>10</v>
      </c>
      <c r="H152" s="4">
        <v>5</v>
      </c>
      <c r="I152" s="4">
        <v>3</v>
      </c>
      <c r="J152" s="4">
        <v>5</v>
      </c>
      <c r="K152" s="4">
        <v>40</v>
      </c>
      <c r="L152" s="4">
        <v>28</v>
      </c>
      <c r="M152" s="4">
        <v>23</v>
      </c>
      <c r="N152" s="4">
        <v>26</v>
      </c>
      <c r="O152" s="5">
        <f t="shared" si="2"/>
        <v>171</v>
      </c>
    </row>
    <row r="153" spans="1:15" x14ac:dyDescent="0.25">
      <c r="A153" s="4" t="s">
        <v>305</v>
      </c>
      <c r="B153" s="4" t="s">
        <v>268</v>
      </c>
      <c r="C153" s="4">
        <v>48</v>
      </c>
      <c r="D153" s="4">
        <v>28</v>
      </c>
      <c r="E153" s="4">
        <v>16</v>
      </c>
      <c r="F153" s="4">
        <v>7</v>
      </c>
      <c r="G153" s="4">
        <v>14</v>
      </c>
      <c r="H153" s="4">
        <v>22</v>
      </c>
      <c r="I153" s="4">
        <v>11</v>
      </c>
      <c r="J153" s="4">
        <v>4</v>
      </c>
      <c r="K153" s="4">
        <v>3</v>
      </c>
      <c r="L153" s="4">
        <v>1</v>
      </c>
      <c r="M153" s="4"/>
      <c r="N153" s="4">
        <v>7</v>
      </c>
      <c r="O153" s="5">
        <f t="shared" si="2"/>
        <v>161</v>
      </c>
    </row>
    <row r="154" spans="1:15" x14ac:dyDescent="0.25">
      <c r="A154" s="4" t="s">
        <v>307</v>
      </c>
      <c r="B154" s="4" t="s">
        <v>284</v>
      </c>
      <c r="C154" s="4"/>
      <c r="D154" s="4"/>
      <c r="E154" s="4"/>
      <c r="F154" s="4"/>
      <c r="G154" s="4"/>
      <c r="H154" s="4"/>
      <c r="I154" s="4"/>
      <c r="J154" s="4"/>
      <c r="K154" s="4">
        <v>146</v>
      </c>
      <c r="L154" s="4"/>
      <c r="M154" s="4">
        <v>8</v>
      </c>
      <c r="N154" s="4">
        <v>6</v>
      </c>
      <c r="O154" s="5">
        <f t="shared" si="2"/>
        <v>160</v>
      </c>
    </row>
    <row r="155" spans="1:15" x14ac:dyDescent="0.25">
      <c r="A155" s="4" t="s">
        <v>311</v>
      </c>
      <c r="B155" s="4" t="s">
        <v>394</v>
      </c>
      <c r="C155" s="4">
        <v>12</v>
      </c>
      <c r="D155" s="4"/>
      <c r="E155" s="4">
        <v>4</v>
      </c>
      <c r="F155" s="4"/>
      <c r="G155" s="4">
        <v>6</v>
      </c>
      <c r="H155" s="4">
        <v>30</v>
      </c>
      <c r="I155" s="4">
        <v>10</v>
      </c>
      <c r="J155" s="4">
        <v>11</v>
      </c>
      <c r="K155" s="4">
        <v>26</v>
      </c>
      <c r="L155" s="4">
        <v>11</v>
      </c>
      <c r="M155" s="4">
        <v>10</v>
      </c>
      <c r="N155" s="4">
        <v>37</v>
      </c>
      <c r="O155" s="5">
        <f t="shared" si="2"/>
        <v>157</v>
      </c>
    </row>
    <row r="156" spans="1:15" x14ac:dyDescent="0.25">
      <c r="A156" s="4" t="s">
        <v>309</v>
      </c>
      <c r="B156" s="4" t="s">
        <v>308</v>
      </c>
      <c r="C156" s="4">
        <v>14</v>
      </c>
      <c r="D156" s="4">
        <v>4</v>
      </c>
      <c r="E156" s="4">
        <v>11</v>
      </c>
      <c r="F156" s="4">
        <v>6</v>
      </c>
      <c r="G156" s="4">
        <v>8</v>
      </c>
      <c r="H156" s="4">
        <v>11</v>
      </c>
      <c r="I156" s="4">
        <v>15</v>
      </c>
      <c r="J156" s="4">
        <v>16</v>
      </c>
      <c r="K156" s="4">
        <v>6</v>
      </c>
      <c r="L156" s="4">
        <v>19</v>
      </c>
      <c r="M156" s="4">
        <v>14</v>
      </c>
      <c r="N156" s="4">
        <v>27</v>
      </c>
      <c r="O156" s="5">
        <f t="shared" si="2"/>
        <v>151</v>
      </c>
    </row>
    <row r="157" spans="1:15" x14ac:dyDescent="0.25">
      <c r="A157" s="4" t="s">
        <v>313</v>
      </c>
      <c r="B157" s="4" t="s">
        <v>330</v>
      </c>
      <c r="C157" s="4">
        <v>2</v>
      </c>
      <c r="D157" s="4"/>
      <c r="E157" s="4">
        <v>2</v>
      </c>
      <c r="F157" s="4">
        <v>4</v>
      </c>
      <c r="G157" s="4">
        <v>6</v>
      </c>
      <c r="H157" s="4">
        <v>18</v>
      </c>
      <c r="I157" s="4">
        <v>19</v>
      </c>
      <c r="J157" s="4">
        <v>9</v>
      </c>
      <c r="K157" s="4">
        <v>22</v>
      </c>
      <c r="L157" s="4">
        <v>12</v>
      </c>
      <c r="M157" s="4">
        <v>14</v>
      </c>
      <c r="N157" s="4">
        <v>40</v>
      </c>
      <c r="O157" s="5">
        <f t="shared" si="2"/>
        <v>148</v>
      </c>
    </row>
    <row r="158" spans="1:15" x14ac:dyDescent="0.25">
      <c r="A158" s="4" t="s">
        <v>317</v>
      </c>
      <c r="B158" s="4" t="s">
        <v>494</v>
      </c>
      <c r="C158" s="4">
        <v>56</v>
      </c>
      <c r="D158" s="4">
        <v>32</v>
      </c>
      <c r="E158" s="4">
        <v>11</v>
      </c>
      <c r="F158" s="4">
        <v>13</v>
      </c>
      <c r="G158" s="4">
        <v>14</v>
      </c>
      <c r="H158" s="4">
        <v>16</v>
      </c>
      <c r="I158" s="4">
        <v>1</v>
      </c>
      <c r="J158" s="4">
        <v>2</v>
      </c>
      <c r="K158" s="4">
        <v>1</v>
      </c>
      <c r="L158" s="4">
        <v>1</v>
      </c>
      <c r="M158" s="4"/>
      <c r="N158" s="4"/>
      <c r="O158" s="5">
        <f t="shared" si="2"/>
        <v>147</v>
      </c>
    </row>
    <row r="159" spans="1:15" x14ac:dyDescent="0.25">
      <c r="A159" s="4" t="s">
        <v>315</v>
      </c>
      <c r="B159" s="4" t="s">
        <v>346</v>
      </c>
      <c r="C159" s="4">
        <v>6</v>
      </c>
      <c r="D159" s="4">
        <v>6</v>
      </c>
      <c r="E159" s="4">
        <v>19</v>
      </c>
      <c r="F159" s="4">
        <v>15</v>
      </c>
      <c r="G159" s="4">
        <v>18</v>
      </c>
      <c r="H159" s="4">
        <v>5</v>
      </c>
      <c r="I159" s="4">
        <v>10</v>
      </c>
      <c r="J159" s="4">
        <v>24</v>
      </c>
      <c r="K159" s="4">
        <v>18</v>
      </c>
      <c r="L159" s="4">
        <v>11</v>
      </c>
      <c r="M159" s="4">
        <v>5</v>
      </c>
      <c r="N159" s="4">
        <v>9</v>
      </c>
      <c r="O159" s="5">
        <f t="shared" si="2"/>
        <v>146</v>
      </c>
    </row>
    <row r="160" spans="1:15" x14ac:dyDescent="0.25">
      <c r="A160" s="4" t="s">
        <v>319</v>
      </c>
      <c r="B160" s="4" t="s">
        <v>292</v>
      </c>
      <c r="C160" s="4">
        <v>12</v>
      </c>
      <c r="D160" s="4">
        <v>17</v>
      </c>
      <c r="E160" s="4">
        <v>12</v>
      </c>
      <c r="F160" s="4">
        <v>20</v>
      </c>
      <c r="G160" s="4">
        <v>8</v>
      </c>
      <c r="H160" s="4">
        <v>11</v>
      </c>
      <c r="I160" s="4">
        <v>7</v>
      </c>
      <c r="J160" s="4">
        <v>12</v>
      </c>
      <c r="K160" s="4">
        <v>8</v>
      </c>
      <c r="L160" s="4">
        <v>8</v>
      </c>
      <c r="M160" s="4">
        <v>7</v>
      </c>
      <c r="N160" s="4">
        <v>18</v>
      </c>
      <c r="O160" s="5">
        <f t="shared" si="2"/>
        <v>140</v>
      </c>
    </row>
    <row r="161" spans="1:15" x14ac:dyDescent="0.25">
      <c r="A161" s="4" t="s">
        <v>321</v>
      </c>
      <c r="B161" s="4" t="s">
        <v>238</v>
      </c>
      <c r="C161" s="4">
        <v>14</v>
      </c>
      <c r="D161" s="4">
        <v>5</v>
      </c>
      <c r="E161" s="4">
        <v>7</v>
      </c>
      <c r="F161" s="4">
        <v>1</v>
      </c>
      <c r="G161" s="4">
        <v>2</v>
      </c>
      <c r="H161" s="4">
        <v>2</v>
      </c>
      <c r="I161" s="4">
        <v>15</v>
      </c>
      <c r="J161" s="4">
        <v>15</v>
      </c>
      <c r="K161" s="4">
        <v>13</v>
      </c>
      <c r="L161" s="4">
        <v>23</v>
      </c>
      <c r="M161" s="4">
        <v>9</v>
      </c>
      <c r="N161" s="4">
        <v>28</v>
      </c>
      <c r="O161" s="5">
        <f t="shared" si="2"/>
        <v>134</v>
      </c>
    </row>
    <row r="162" spans="1:15" x14ac:dyDescent="0.25">
      <c r="A162" s="4" t="s">
        <v>323</v>
      </c>
      <c r="B162" s="4" t="s">
        <v>332</v>
      </c>
      <c r="C162" s="4">
        <v>6</v>
      </c>
      <c r="D162" s="4">
        <v>7</v>
      </c>
      <c r="E162" s="4">
        <v>4</v>
      </c>
      <c r="F162" s="4">
        <v>3</v>
      </c>
      <c r="G162" s="4">
        <v>8</v>
      </c>
      <c r="H162" s="4">
        <v>17</v>
      </c>
      <c r="I162" s="4">
        <v>15</v>
      </c>
      <c r="J162" s="4">
        <v>18</v>
      </c>
      <c r="K162" s="4">
        <v>17</v>
      </c>
      <c r="L162" s="4">
        <v>7</v>
      </c>
      <c r="M162" s="4">
        <v>12</v>
      </c>
      <c r="N162" s="4">
        <v>19</v>
      </c>
      <c r="O162" s="5">
        <f t="shared" si="2"/>
        <v>133</v>
      </c>
    </row>
    <row r="163" spans="1:15" x14ac:dyDescent="0.25">
      <c r="A163" s="4" t="s">
        <v>325</v>
      </c>
      <c r="B163" s="4" t="s">
        <v>296</v>
      </c>
      <c r="C163" s="4"/>
      <c r="D163" s="4"/>
      <c r="E163" s="4"/>
      <c r="F163" s="4"/>
      <c r="G163" s="4"/>
      <c r="H163" s="4"/>
      <c r="I163" s="4">
        <v>9</v>
      </c>
      <c r="J163" s="4">
        <v>55</v>
      </c>
      <c r="K163" s="4">
        <v>35</v>
      </c>
      <c r="L163" s="4">
        <v>17</v>
      </c>
      <c r="M163" s="4">
        <v>8</v>
      </c>
      <c r="N163" s="4">
        <v>6</v>
      </c>
      <c r="O163" s="5">
        <f t="shared" si="2"/>
        <v>130</v>
      </c>
    </row>
    <row r="164" spans="1:15" x14ac:dyDescent="0.25">
      <c r="A164" s="4" t="s">
        <v>329</v>
      </c>
      <c r="B164" s="4" t="s">
        <v>388</v>
      </c>
      <c r="C164" s="4">
        <v>2</v>
      </c>
      <c r="D164" s="4">
        <v>7</v>
      </c>
      <c r="E164" s="4">
        <v>6</v>
      </c>
      <c r="F164" s="4">
        <v>13</v>
      </c>
      <c r="G164" s="4">
        <v>29</v>
      </c>
      <c r="H164" s="4">
        <v>18</v>
      </c>
      <c r="I164" s="4">
        <v>13</v>
      </c>
      <c r="J164" s="4">
        <v>10</v>
      </c>
      <c r="K164" s="4">
        <v>9</v>
      </c>
      <c r="L164" s="4">
        <v>7</v>
      </c>
      <c r="M164" s="4">
        <v>8</v>
      </c>
      <c r="N164" s="4">
        <v>7</v>
      </c>
      <c r="O164" s="5">
        <f t="shared" si="2"/>
        <v>129</v>
      </c>
    </row>
    <row r="165" spans="1:15" x14ac:dyDescent="0.25">
      <c r="A165" s="4" t="s">
        <v>327</v>
      </c>
      <c r="B165" s="4" t="s">
        <v>396</v>
      </c>
      <c r="C165" s="4">
        <v>13</v>
      </c>
      <c r="D165" s="4">
        <v>6</v>
      </c>
      <c r="E165" s="4">
        <v>15</v>
      </c>
      <c r="F165" s="4">
        <v>9</v>
      </c>
      <c r="G165" s="4">
        <v>16</v>
      </c>
      <c r="H165" s="4">
        <v>14</v>
      </c>
      <c r="I165" s="4">
        <v>8</v>
      </c>
      <c r="J165" s="4">
        <v>9</v>
      </c>
      <c r="K165" s="4">
        <v>11</v>
      </c>
      <c r="L165" s="4">
        <v>6</v>
      </c>
      <c r="M165" s="4">
        <v>4</v>
      </c>
      <c r="N165" s="4">
        <v>7</v>
      </c>
      <c r="O165" s="5">
        <f t="shared" si="2"/>
        <v>118</v>
      </c>
    </row>
    <row r="166" spans="1:15" x14ac:dyDescent="0.25">
      <c r="A166" s="4" t="s">
        <v>331</v>
      </c>
      <c r="B166" s="4" t="s">
        <v>350</v>
      </c>
      <c r="C166" s="4">
        <v>2</v>
      </c>
      <c r="D166" s="4">
        <v>14</v>
      </c>
      <c r="E166" s="4">
        <v>13</v>
      </c>
      <c r="F166" s="4">
        <v>4</v>
      </c>
      <c r="G166" s="4">
        <v>8</v>
      </c>
      <c r="H166" s="4">
        <v>7</v>
      </c>
      <c r="I166" s="4">
        <v>2</v>
      </c>
      <c r="J166" s="4">
        <v>6</v>
      </c>
      <c r="K166" s="4">
        <v>28</v>
      </c>
      <c r="L166" s="4">
        <v>12</v>
      </c>
      <c r="M166" s="4">
        <v>10</v>
      </c>
      <c r="N166" s="4">
        <v>7</v>
      </c>
      <c r="O166" s="5">
        <f t="shared" si="2"/>
        <v>113</v>
      </c>
    </row>
    <row r="167" spans="1:15" x14ac:dyDescent="0.25">
      <c r="A167" s="4" t="s">
        <v>335</v>
      </c>
      <c r="B167" s="4" t="s">
        <v>384</v>
      </c>
      <c r="C167" s="4">
        <v>25</v>
      </c>
      <c r="D167" s="4">
        <v>14</v>
      </c>
      <c r="E167" s="4">
        <v>7</v>
      </c>
      <c r="F167" s="4">
        <v>2</v>
      </c>
      <c r="G167" s="4">
        <v>5</v>
      </c>
      <c r="H167" s="4"/>
      <c r="I167" s="4">
        <v>2</v>
      </c>
      <c r="J167" s="4">
        <v>6</v>
      </c>
      <c r="K167" s="4">
        <v>23</v>
      </c>
      <c r="L167" s="4">
        <v>8</v>
      </c>
      <c r="M167" s="4">
        <v>8</v>
      </c>
      <c r="N167" s="4">
        <v>7</v>
      </c>
      <c r="O167" s="5">
        <f t="shared" si="2"/>
        <v>107</v>
      </c>
    </row>
    <row r="168" spans="1:15" x14ac:dyDescent="0.25">
      <c r="A168" s="4" t="s">
        <v>333</v>
      </c>
      <c r="B168" s="4" t="s">
        <v>364</v>
      </c>
      <c r="C168" s="4"/>
      <c r="D168" s="4"/>
      <c r="E168" s="4"/>
      <c r="F168" s="4">
        <v>2</v>
      </c>
      <c r="G168" s="4">
        <v>2</v>
      </c>
      <c r="H168" s="4">
        <v>5</v>
      </c>
      <c r="I168" s="4">
        <v>5</v>
      </c>
      <c r="J168" s="4">
        <v>21</v>
      </c>
      <c r="K168" s="4">
        <v>16</v>
      </c>
      <c r="L168" s="4">
        <v>18</v>
      </c>
      <c r="M168" s="4">
        <v>14</v>
      </c>
      <c r="N168" s="4">
        <v>15</v>
      </c>
      <c r="O168" s="5">
        <f t="shared" si="2"/>
        <v>98</v>
      </c>
    </row>
    <row r="169" spans="1:15" x14ac:dyDescent="0.25">
      <c r="A169" s="4" t="s">
        <v>337</v>
      </c>
      <c r="B169" s="4" t="s">
        <v>300</v>
      </c>
      <c r="C169" s="4">
        <v>13</v>
      </c>
      <c r="D169" s="4">
        <v>5</v>
      </c>
      <c r="E169" s="4">
        <v>12</v>
      </c>
      <c r="F169" s="4">
        <v>11</v>
      </c>
      <c r="G169" s="4">
        <v>7</v>
      </c>
      <c r="H169" s="4">
        <v>16</v>
      </c>
      <c r="I169" s="4">
        <v>13</v>
      </c>
      <c r="J169" s="4">
        <v>10</v>
      </c>
      <c r="K169" s="4">
        <v>5</v>
      </c>
      <c r="L169" s="4">
        <v>2</v>
      </c>
      <c r="M169" s="4"/>
      <c r="N169" s="4"/>
      <c r="O169" s="5">
        <f t="shared" si="2"/>
        <v>94</v>
      </c>
    </row>
    <row r="170" spans="1:15" x14ac:dyDescent="0.25">
      <c r="A170" s="4" t="s">
        <v>341</v>
      </c>
      <c r="B170" s="4" t="s">
        <v>234</v>
      </c>
      <c r="C170" s="4">
        <v>1</v>
      </c>
      <c r="D170" s="4"/>
      <c r="E170" s="4"/>
      <c r="F170" s="4"/>
      <c r="G170" s="4"/>
      <c r="H170" s="4">
        <v>17</v>
      </c>
      <c r="I170" s="4"/>
      <c r="J170" s="4"/>
      <c r="K170" s="4"/>
      <c r="L170" s="4"/>
      <c r="M170" s="4"/>
      <c r="N170" s="4">
        <v>66</v>
      </c>
      <c r="O170" s="5">
        <f t="shared" si="2"/>
        <v>84</v>
      </c>
    </row>
    <row r="171" spans="1:15" x14ac:dyDescent="0.25">
      <c r="A171" s="4" t="s">
        <v>339</v>
      </c>
      <c r="B171" s="4" t="s">
        <v>286</v>
      </c>
      <c r="C171" s="4">
        <v>10</v>
      </c>
      <c r="D171" s="4">
        <v>23</v>
      </c>
      <c r="E171" s="4">
        <v>12</v>
      </c>
      <c r="F171" s="4">
        <v>21</v>
      </c>
      <c r="G171" s="4">
        <v>8</v>
      </c>
      <c r="H171" s="4">
        <v>2</v>
      </c>
      <c r="I171" s="4">
        <v>4</v>
      </c>
      <c r="J171" s="4">
        <v>1</v>
      </c>
      <c r="K171" s="4"/>
      <c r="L171" s="4">
        <v>1</v>
      </c>
      <c r="M171" s="4"/>
      <c r="N171" s="4"/>
      <c r="O171" s="5">
        <f t="shared" si="2"/>
        <v>82</v>
      </c>
    </row>
    <row r="172" spans="1:15" x14ac:dyDescent="0.25">
      <c r="A172" s="4" t="s">
        <v>343</v>
      </c>
      <c r="B172" s="4" t="s">
        <v>352</v>
      </c>
      <c r="C172" s="4">
        <v>6</v>
      </c>
      <c r="D172" s="4">
        <v>4</v>
      </c>
      <c r="E172" s="4">
        <v>10</v>
      </c>
      <c r="F172" s="4">
        <v>2</v>
      </c>
      <c r="G172" s="4">
        <v>7</v>
      </c>
      <c r="H172" s="4">
        <v>12</v>
      </c>
      <c r="I172" s="4">
        <v>13</v>
      </c>
      <c r="J172" s="4">
        <v>8</v>
      </c>
      <c r="K172" s="4">
        <v>9</v>
      </c>
      <c r="L172" s="4">
        <v>3</v>
      </c>
      <c r="M172" s="4">
        <v>3</v>
      </c>
      <c r="N172" s="4">
        <v>3</v>
      </c>
      <c r="O172" s="5">
        <f t="shared" si="2"/>
        <v>80</v>
      </c>
    </row>
    <row r="173" spans="1:15" x14ac:dyDescent="0.25">
      <c r="A173" s="4" t="s">
        <v>345</v>
      </c>
      <c r="B173" s="4" t="s">
        <v>448</v>
      </c>
      <c r="C173" s="4">
        <v>30</v>
      </c>
      <c r="D173" s="4">
        <v>11</v>
      </c>
      <c r="E173" s="4">
        <v>9</v>
      </c>
      <c r="F173" s="4">
        <v>9</v>
      </c>
      <c r="G173" s="4">
        <v>9</v>
      </c>
      <c r="H173" s="4">
        <v>5</v>
      </c>
      <c r="I173" s="4">
        <v>1</v>
      </c>
      <c r="J173" s="4">
        <v>1</v>
      </c>
      <c r="K173" s="4">
        <v>1</v>
      </c>
      <c r="L173" s="4"/>
      <c r="M173" s="4">
        <v>1</v>
      </c>
      <c r="N173" s="4"/>
      <c r="O173" s="5">
        <f t="shared" si="2"/>
        <v>77</v>
      </c>
    </row>
    <row r="174" spans="1:15" x14ac:dyDescent="0.25">
      <c r="A174" s="4" t="s">
        <v>347</v>
      </c>
      <c r="B174" s="4" t="s">
        <v>290</v>
      </c>
      <c r="C174" s="4">
        <v>25</v>
      </c>
      <c r="D174" s="4">
        <v>22</v>
      </c>
      <c r="E174" s="4">
        <v>15</v>
      </c>
      <c r="F174" s="4">
        <v>4</v>
      </c>
      <c r="G174" s="4"/>
      <c r="H174" s="4">
        <v>10</v>
      </c>
      <c r="I174" s="4"/>
      <c r="J174" s="4"/>
      <c r="K174" s="4"/>
      <c r="L174" s="4"/>
      <c r="M174" s="4"/>
      <c r="N174" s="4"/>
      <c r="O174" s="5">
        <f t="shared" si="2"/>
        <v>76</v>
      </c>
    </row>
    <row r="175" spans="1:15" x14ac:dyDescent="0.25">
      <c r="A175" s="4" t="s">
        <v>353</v>
      </c>
      <c r="B175" s="4" t="s">
        <v>342</v>
      </c>
      <c r="C175" s="4"/>
      <c r="D175" s="4">
        <v>7</v>
      </c>
      <c r="E175" s="4">
        <v>11</v>
      </c>
      <c r="F175" s="4"/>
      <c r="G175" s="4">
        <v>3</v>
      </c>
      <c r="H175" s="4">
        <v>1</v>
      </c>
      <c r="I175" s="4">
        <v>2</v>
      </c>
      <c r="J175" s="4">
        <v>8</v>
      </c>
      <c r="K175" s="4">
        <v>13</v>
      </c>
      <c r="L175" s="4">
        <v>10</v>
      </c>
      <c r="M175" s="4">
        <v>6</v>
      </c>
      <c r="N175" s="4">
        <v>13</v>
      </c>
      <c r="O175" s="5">
        <f t="shared" si="2"/>
        <v>74</v>
      </c>
    </row>
    <row r="176" spans="1:15" x14ac:dyDescent="0.25">
      <c r="A176" s="4" t="s">
        <v>351</v>
      </c>
      <c r="B176" s="4" t="s">
        <v>468</v>
      </c>
      <c r="C176" s="4">
        <v>2</v>
      </c>
      <c r="D176" s="4">
        <v>3</v>
      </c>
      <c r="E176" s="4">
        <v>6</v>
      </c>
      <c r="F176" s="4">
        <v>6</v>
      </c>
      <c r="G176" s="4">
        <v>12</v>
      </c>
      <c r="H176" s="4">
        <v>7</v>
      </c>
      <c r="I176" s="4">
        <v>10</v>
      </c>
      <c r="J176" s="4">
        <v>8</v>
      </c>
      <c r="K176" s="4">
        <v>5</v>
      </c>
      <c r="L176" s="4">
        <v>4</v>
      </c>
      <c r="M176" s="4">
        <v>4</v>
      </c>
      <c r="N176" s="4">
        <v>4</v>
      </c>
      <c r="O176" s="5">
        <f t="shared" si="2"/>
        <v>71</v>
      </c>
    </row>
    <row r="177" spans="1:15" x14ac:dyDescent="0.25">
      <c r="A177" s="4" t="s">
        <v>349</v>
      </c>
      <c r="B177" s="4" t="s">
        <v>288</v>
      </c>
      <c r="C177" s="4">
        <v>3</v>
      </c>
      <c r="D177" s="4">
        <v>3</v>
      </c>
      <c r="E177" s="4">
        <v>2</v>
      </c>
      <c r="F177" s="4">
        <v>3</v>
      </c>
      <c r="G177" s="4">
        <v>3</v>
      </c>
      <c r="H177" s="4">
        <v>2</v>
      </c>
      <c r="I177" s="4">
        <v>10</v>
      </c>
      <c r="J177" s="4">
        <v>15</v>
      </c>
      <c r="K177" s="4">
        <v>6</v>
      </c>
      <c r="L177" s="4">
        <v>13</v>
      </c>
      <c r="M177" s="4">
        <v>4</v>
      </c>
      <c r="N177" s="4">
        <v>4</v>
      </c>
      <c r="O177" s="5">
        <f t="shared" si="2"/>
        <v>68</v>
      </c>
    </row>
    <row r="178" spans="1:15" x14ac:dyDescent="0.25">
      <c r="A178" s="4" t="s">
        <v>355</v>
      </c>
      <c r="B178" s="4" t="s">
        <v>432</v>
      </c>
      <c r="C178" s="4">
        <v>25</v>
      </c>
      <c r="D178" s="4">
        <v>10</v>
      </c>
      <c r="E178" s="4">
        <v>8</v>
      </c>
      <c r="F178" s="4">
        <v>3</v>
      </c>
      <c r="G178" s="4">
        <v>5</v>
      </c>
      <c r="H178" s="4">
        <v>6</v>
      </c>
      <c r="I178" s="4">
        <v>1</v>
      </c>
      <c r="J178" s="4">
        <v>1</v>
      </c>
      <c r="K178" s="4">
        <v>1</v>
      </c>
      <c r="L178" s="4">
        <v>1</v>
      </c>
      <c r="M178" s="4">
        <v>1</v>
      </c>
      <c r="N178" s="4">
        <v>1</v>
      </c>
      <c r="O178" s="5">
        <f t="shared" si="2"/>
        <v>63</v>
      </c>
    </row>
    <row r="179" spans="1:15" x14ac:dyDescent="0.25">
      <c r="A179" s="4" t="s">
        <v>357</v>
      </c>
      <c r="B179" s="4" t="s">
        <v>338</v>
      </c>
      <c r="C179" s="4">
        <v>3</v>
      </c>
      <c r="D179" s="4">
        <v>4</v>
      </c>
      <c r="E179" s="4"/>
      <c r="F179" s="4"/>
      <c r="G179" s="4"/>
      <c r="H179" s="4">
        <v>2</v>
      </c>
      <c r="I179" s="4">
        <v>4</v>
      </c>
      <c r="J179" s="4">
        <v>2</v>
      </c>
      <c r="K179" s="4">
        <v>13</v>
      </c>
      <c r="L179" s="4">
        <v>10</v>
      </c>
      <c r="M179" s="4">
        <v>10</v>
      </c>
      <c r="N179" s="4">
        <v>11</v>
      </c>
      <c r="O179" s="5">
        <f t="shared" si="2"/>
        <v>59</v>
      </c>
    </row>
    <row r="180" spans="1:15" x14ac:dyDescent="0.25">
      <c r="A180" s="4" t="s">
        <v>361</v>
      </c>
      <c r="B180" s="4" t="s">
        <v>386</v>
      </c>
      <c r="C180" s="4">
        <v>1</v>
      </c>
      <c r="D180" s="4">
        <v>1</v>
      </c>
      <c r="E180" s="4">
        <v>1</v>
      </c>
      <c r="F180" s="4">
        <v>6</v>
      </c>
      <c r="G180" s="4">
        <v>12</v>
      </c>
      <c r="H180" s="4">
        <v>10</v>
      </c>
      <c r="I180" s="4">
        <v>3</v>
      </c>
      <c r="J180" s="4">
        <v>9</v>
      </c>
      <c r="K180" s="4">
        <v>3</v>
      </c>
      <c r="L180" s="4">
        <v>7</v>
      </c>
      <c r="M180" s="4">
        <v>1</v>
      </c>
      <c r="N180" s="4">
        <v>1</v>
      </c>
      <c r="O180" s="5">
        <f t="shared" si="2"/>
        <v>55</v>
      </c>
    </row>
    <row r="181" spans="1:15" x14ac:dyDescent="0.25">
      <c r="A181" s="4" t="s">
        <v>359</v>
      </c>
      <c r="B181" s="4" t="s">
        <v>430</v>
      </c>
      <c r="C181" s="4">
        <v>13</v>
      </c>
      <c r="D181" s="4">
        <v>22</v>
      </c>
      <c r="E181" s="4">
        <v>11</v>
      </c>
      <c r="F181" s="4">
        <v>3</v>
      </c>
      <c r="G181" s="4"/>
      <c r="H181" s="4"/>
      <c r="I181" s="4">
        <v>3</v>
      </c>
      <c r="J181" s="4">
        <v>1</v>
      </c>
      <c r="K181" s="4"/>
      <c r="L181" s="4"/>
      <c r="M181" s="4">
        <v>1</v>
      </c>
      <c r="N181" s="4"/>
      <c r="O181" s="5">
        <f t="shared" si="2"/>
        <v>54</v>
      </c>
    </row>
    <row r="182" spans="1:15" x14ac:dyDescent="0.25">
      <c r="A182" s="4" t="s">
        <v>365</v>
      </c>
      <c r="B182" s="4" t="s">
        <v>368</v>
      </c>
      <c r="C182" s="4"/>
      <c r="D182" s="4">
        <v>4</v>
      </c>
      <c r="E182" s="4">
        <v>3</v>
      </c>
      <c r="F182" s="4">
        <v>16</v>
      </c>
      <c r="G182" s="4">
        <v>2</v>
      </c>
      <c r="H182" s="4">
        <v>4</v>
      </c>
      <c r="I182" s="4">
        <v>7</v>
      </c>
      <c r="J182" s="4">
        <v>3</v>
      </c>
      <c r="K182" s="4">
        <v>5</v>
      </c>
      <c r="L182" s="4">
        <v>5</v>
      </c>
      <c r="M182" s="4">
        <v>1</v>
      </c>
      <c r="N182" s="4">
        <v>3</v>
      </c>
      <c r="O182" s="5">
        <f t="shared" si="2"/>
        <v>53</v>
      </c>
    </row>
    <row r="183" spans="1:15" x14ac:dyDescent="0.25">
      <c r="A183" s="4" t="s">
        <v>363</v>
      </c>
      <c r="B183" s="4" t="s">
        <v>521</v>
      </c>
      <c r="C183" s="4">
        <v>4</v>
      </c>
      <c r="D183" s="4">
        <v>2</v>
      </c>
      <c r="E183" s="4">
        <v>5</v>
      </c>
      <c r="F183" s="4">
        <v>6</v>
      </c>
      <c r="G183" s="4">
        <v>7</v>
      </c>
      <c r="H183" s="4">
        <v>4</v>
      </c>
      <c r="I183" s="4">
        <v>6</v>
      </c>
      <c r="J183" s="4">
        <v>5</v>
      </c>
      <c r="K183" s="4">
        <v>6</v>
      </c>
      <c r="L183" s="4">
        <v>4</v>
      </c>
      <c r="M183" s="4">
        <v>2</v>
      </c>
      <c r="N183" s="4">
        <v>1</v>
      </c>
      <c r="O183" s="5">
        <f t="shared" si="2"/>
        <v>52</v>
      </c>
    </row>
    <row r="184" spans="1:15" x14ac:dyDescent="0.25">
      <c r="A184" s="4" t="s">
        <v>369</v>
      </c>
      <c r="B184" s="4" t="s">
        <v>480</v>
      </c>
      <c r="C184" s="4">
        <v>3</v>
      </c>
      <c r="D184" s="4">
        <v>3</v>
      </c>
      <c r="E184" s="4">
        <v>4</v>
      </c>
      <c r="F184" s="4">
        <v>4</v>
      </c>
      <c r="G184" s="4">
        <v>2</v>
      </c>
      <c r="H184" s="4">
        <v>4</v>
      </c>
      <c r="I184" s="4">
        <v>9</v>
      </c>
      <c r="J184" s="4">
        <v>10</v>
      </c>
      <c r="K184" s="4">
        <v>6</v>
      </c>
      <c r="L184" s="4">
        <v>2</v>
      </c>
      <c r="M184" s="4">
        <v>3</v>
      </c>
      <c r="N184" s="4">
        <v>1</v>
      </c>
      <c r="O184" s="5">
        <f t="shared" si="2"/>
        <v>51</v>
      </c>
    </row>
    <row r="185" spans="1:15" x14ac:dyDescent="0.25">
      <c r="A185" s="4" t="s">
        <v>367</v>
      </c>
      <c r="B185" s="4" t="s">
        <v>354</v>
      </c>
      <c r="C185" s="4">
        <v>5</v>
      </c>
      <c r="D185" s="4">
        <v>4</v>
      </c>
      <c r="E185" s="4">
        <v>3</v>
      </c>
      <c r="F185" s="4">
        <v>4</v>
      </c>
      <c r="G185" s="4">
        <v>3</v>
      </c>
      <c r="H185" s="4">
        <v>3</v>
      </c>
      <c r="I185" s="4">
        <v>3</v>
      </c>
      <c r="J185" s="4">
        <v>5</v>
      </c>
      <c r="K185" s="4">
        <v>6</v>
      </c>
      <c r="L185" s="4">
        <v>7</v>
      </c>
      <c r="M185" s="4">
        <v>1</v>
      </c>
      <c r="N185" s="4">
        <v>7</v>
      </c>
      <c r="O185" s="5">
        <f t="shared" si="2"/>
        <v>51</v>
      </c>
    </row>
    <row r="186" spans="1:15" x14ac:dyDescent="0.25">
      <c r="A186" s="4" t="s">
        <v>371</v>
      </c>
      <c r="B186" s="4" t="s">
        <v>328</v>
      </c>
      <c r="C186" s="4"/>
      <c r="D186" s="4"/>
      <c r="E186" s="4"/>
      <c r="F186" s="4"/>
      <c r="G186" s="4">
        <v>12</v>
      </c>
      <c r="H186" s="4">
        <v>5</v>
      </c>
      <c r="I186" s="4"/>
      <c r="J186" s="4">
        <v>3</v>
      </c>
      <c r="K186" s="4">
        <v>8</v>
      </c>
      <c r="L186" s="4">
        <v>9</v>
      </c>
      <c r="M186" s="4">
        <v>7</v>
      </c>
      <c r="N186" s="4">
        <v>6</v>
      </c>
      <c r="O186" s="5">
        <f t="shared" si="2"/>
        <v>50</v>
      </c>
    </row>
    <row r="187" spans="1:15" x14ac:dyDescent="0.25">
      <c r="A187" s="4" t="s">
        <v>373</v>
      </c>
      <c r="B187" s="4" t="s">
        <v>522</v>
      </c>
      <c r="C187" s="4"/>
      <c r="D187" s="4"/>
      <c r="E187" s="4"/>
      <c r="F187" s="4"/>
      <c r="G187" s="4"/>
      <c r="H187" s="4">
        <v>38</v>
      </c>
      <c r="I187" s="4"/>
      <c r="J187" s="4"/>
      <c r="K187" s="4"/>
      <c r="L187" s="4">
        <v>8</v>
      </c>
      <c r="M187" s="4"/>
      <c r="N187" s="4"/>
      <c r="O187" s="5">
        <f t="shared" si="2"/>
        <v>46</v>
      </c>
    </row>
    <row r="188" spans="1:15" x14ac:dyDescent="0.25">
      <c r="A188" s="4" t="s">
        <v>375</v>
      </c>
      <c r="B188" s="4" t="s">
        <v>454</v>
      </c>
      <c r="C188" s="4">
        <v>1</v>
      </c>
      <c r="D188" s="4">
        <v>2</v>
      </c>
      <c r="E188" s="4">
        <v>2</v>
      </c>
      <c r="F188" s="4">
        <v>2</v>
      </c>
      <c r="G188" s="4">
        <v>4</v>
      </c>
      <c r="H188" s="4">
        <v>2</v>
      </c>
      <c r="I188" s="4">
        <v>12</v>
      </c>
      <c r="J188" s="4">
        <v>5</v>
      </c>
      <c r="K188" s="4">
        <v>1</v>
      </c>
      <c r="L188" s="4">
        <v>4</v>
      </c>
      <c r="M188" s="4">
        <v>7</v>
      </c>
      <c r="N188" s="4">
        <v>2</v>
      </c>
      <c r="O188" s="5">
        <f t="shared" si="2"/>
        <v>44</v>
      </c>
    </row>
    <row r="189" spans="1:15" x14ac:dyDescent="0.25">
      <c r="A189" s="4" t="s">
        <v>377</v>
      </c>
      <c r="B189" s="4" t="s">
        <v>304</v>
      </c>
      <c r="C189" s="4">
        <v>8</v>
      </c>
      <c r="D189" s="4">
        <v>7</v>
      </c>
      <c r="E189" s="4">
        <v>7</v>
      </c>
      <c r="F189" s="4">
        <v>7</v>
      </c>
      <c r="G189" s="4">
        <v>7</v>
      </c>
      <c r="H189" s="4">
        <v>2</v>
      </c>
      <c r="I189" s="4">
        <v>1</v>
      </c>
      <c r="J189" s="4">
        <v>1</v>
      </c>
      <c r="K189" s="4"/>
      <c r="L189" s="4"/>
      <c r="M189" s="4">
        <v>1</v>
      </c>
      <c r="N189" s="4">
        <v>3</v>
      </c>
      <c r="O189" s="5">
        <f t="shared" si="2"/>
        <v>44</v>
      </c>
    </row>
    <row r="190" spans="1:15" x14ac:dyDescent="0.25">
      <c r="A190" s="4" t="s">
        <v>379</v>
      </c>
      <c r="B190" s="4" t="s">
        <v>370</v>
      </c>
      <c r="C190" s="4">
        <v>2</v>
      </c>
      <c r="D190" s="4">
        <v>2</v>
      </c>
      <c r="E190" s="4"/>
      <c r="F190" s="4">
        <v>1</v>
      </c>
      <c r="G190" s="4">
        <v>5</v>
      </c>
      <c r="H190" s="4">
        <v>3</v>
      </c>
      <c r="I190" s="4">
        <v>3</v>
      </c>
      <c r="J190" s="4">
        <v>2</v>
      </c>
      <c r="K190" s="4">
        <v>1</v>
      </c>
      <c r="L190" s="4">
        <v>6</v>
      </c>
      <c r="M190" s="4">
        <v>1</v>
      </c>
      <c r="N190" s="4">
        <v>11</v>
      </c>
      <c r="O190" s="5">
        <f t="shared" si="2"/>
        <v>37</v>
      </c>
    </row>
    <row r="191" spans="1:15" x14ac:dyDescent="0.25">
      <c r="A191" s="4" t="s">
        <v>383</v>
      </c>
      <c r="B191" s="4" t="s">
        <v>356</v>
      </c>
      <c r="C191" s="4"/>
      <c r="D191" s="4"/>
      <c r="E191" s="4">
        <v>3</v>
      </c>
      <c r="F191" s="4">
        <v>12</v>
      </c>
      <c r="G191" s="4">
        <v>8</v>
      </c>
      <c r="H191" s="4"/>
      <c r="I191" s="4">
        <v>6</v>
      </c>
      <c r="J191" s="4">
        <v>5</v>
      </c>
      <c r="K191" s="4">
        <v>1</v>
      </c>
      <c r="L191" s="4"/>
      <c r="M191" s="4">
        <v>2</v>
      </c>
      <c r="N191" s="4"/>
      <c r="O191" s="5">
        <f t="shared" si="2"/>
        <v>37</v>
      </c>
    </row>
    <row r="192" spans="1:15" x14ac:dyDescent="0.25">
      <c r="A192" s="4" t="s">
        <v>381</v>
      </c>
      <c r="B192" s="4" t="s">
        <v>523</v>
      </c>
      <c r="C192" s="4">
        <v>10</v>
      </c>
      <c r="D192" s="4">
        <v>2</v>
      </c>
      <c r="E192" s="4">
        <v>4</v>
      </c>
      <c r="F192" s="4">
        <v>3</v>
      </c>
      <c r="G192" s="4">
        <v>6</v>
      </c>
      <c r="H192" s="4">
        <v>5</v>
      </c>
      <c r="I192" s="4">
        <v>4</v>
      </c>
      <c r="J192" s="4"/>
      <c r="K192" s="4"/>
      <c r="L192" s="4"/>
      <c r="M192" s="4"/>
      <c r="N192" s="4"/>
      <c r="O192" s="5">
        <f t="shared" si="2"/>
        <v>34</v>
      </c>
    </row>
    <row r="193" spans="1:15" x14ac:dyDescent="0.25">
      <c r="A193" s="4" t="s">
        <v>385</v>
      </c>
      <c r="B193" s="4" t="s">
        <v>340</v>
      </c>
      <c r="C193" s="4"/>
      <c r="D193" s="4"/>
      <c r="E193" s="4"/>
      <c r="F193" s="4"/>
      <c r="G193" s="4"/>
      <c r="H193" s="4">
        <v>2</v>
      </c>
      <c r="I193" s="4">
        <v>8</v>
      </c>
      <c r="J193" s="4">
        <v>6</v>
      </c>
      <c r="K193" s="4">
        <v>2</v>
      </c>
      <c r="L193" s="4">
        <v>3</v>
      </c>
      <c r="M193" s="4">
        <v>4</v>
      </c>
      <c r="N193" s="4">
        <v>5</v>
      </c>
      <c r="O193" s="5">
        <f t="shared" si="2"/>
        <v>30</v>
      </c>
    </row>
    <row r="194" spans="1:15" x14ac:dyDescent="0.25">
      <c r="A194" s="4" t="s">
        <v>389</v>
      </c>
      <c r="B194" s="4" t="s">
        <v>400</v>
      </c>
      <c r="C194" s="4">
        <v>2</v>
      </c>
      <c r="D194" s="4">
        <v>1</v>
      </c>
      <c r="E194" s="4">
        <v>2</v>
      </c>
      <c r="F194" s="4">
        <v>1</v>
      </c>
      <c r="G194" s="4">
        <v>4</v>
      </c>
      <c r="H194" s="4">
        <v>1</v>
      </c>
      <c r="I194" s="4">
        <v>3</v>
      </c>
      <c r="J194" s="4">
        <v>2</v>
      </c>
      <c r="K194" s="4">
        <v>4</v>
      </c>
      <c r="L194" s="4">
        <v>2</v>
      </c>
      <c r="M194" s="4">
        <v>3</v>
      </c>
      <c r="N194" s="4">
        <v>2</v>
      </c>
      <c r="O194" s="5">
        <f t="shared" si="2"/>
        <v>27</v>
      </c>
    </row>
    <row r="195" spans="1:15" x14ac:dyDescent="0.25">
      <c r="A195" s="4" t="s">
        <v>387</v>
      </c>
      <c r="B195" s="4" t="s">
        <v>428</v>
      </c>
      <c r="C195" s="4">
        <v>8</v>
      </c>
      <c r="D195" s="4">
        <v>6</v>
      </c>
      <c r="E195" s="4">
        <v>1</v>
      </c>
      <c r="F195" s="4">
        <v>2</v>
      </c>
      <c r="G195" s="4">
        <v>4</v>
      </c>
      <c r="H195" s="4"/>
      <c r="I195" s="4">
        <v>1</v>
      </c>
      <c r="J195" s="4">
        <v>1</v>
      </c>
      <c r="K195" s="4"/>
      <c r="L195" s="4">
        <v>1</v>
      </c>
      <c r="M195" s="4"/>
      <c r="N195" s="4"/>
      <c r="O195" s="5">
        <f t="shared" si="2"/>
        <v>24</v>
      </c>
    </row>
    <row r="196" spans="1:15" x14ac:dyDescent="0.25">
      <c r="A196" s="4" t="s">
        <v>391</v>
      </c>
      <c r="B196" s="4" t="s">
        <v>450</v>
      </c>
      <c r="C196" s="4">
        <v>6</v>
      </c>
      <c r="D196" s="4">
        <v>5</v>
      </c>
      <c r="E196" s="4">
        <v>2</v>
      </c>
      <c r="F196" s="4">
        <v>1</v>
      </c>
      <c r="G196" s="4">
        <v>4</v>
      </c>
      <c r="H196" s="4">
        <v>2</v>
      </c>
      <c r="I196" s="4">
        <v>2</v>
      </c>
      <c r="J196" s="4"/>
      <c r="K196" s="4">
        <v>1</v>
      </c>
      <c r="L196" s="4"/>
      <c r="M196" s="4"/>
      <c r="N196" s="4">
        <v>1</v>
      </c>
      <c r="O196" s="5">
        <f t="shared" ref="O196:O259" si="3">SUM(C196:N196)</f>
        <v>24</v>
      </c>
    </row>
    <row r="197" spans="1:15" x14ac:dyDescent="0.25">
      <c r="A197" s="4" t="s">
        <v>393</v>
      </c>
      <c r="B197" s="4" t="s">
        <v>382</v>
      </c>
      <c r="C197" s="4"/>
      <c r="D197" s="4"/>
      <c r="E197" s="4"/>
      <c r="F197" s="4"/>
      <c r="G197" s="4"/>
      <c r="H197" s="4">
        <v>22</v>
      </c>
      <c r="I197" s="4"/>
      <c r="J197" s="4"/>
      <c r="K197" s="4"/>
      <c r="L197" s="4"/>
      <c r="M197" s="4"/>
      <c r="N197" s="4"/>
      <c r="O197" s="5">
        <f t="shared" si="3"/>
        <v>22</v>
      </c>
    </row>
    <row r="198" spans="1:15" x14ac:dyDescent="0.25">
      <c r="A198" s="4" t="s">
        <v>397</v>
      </c>
      <c r="B198" s="4" t="s">
        <v>412</v>
      </c>
      <c r="C198" s="4"/>
      <c r="D198" s="4"/>
      <c r="E198" s="4"/>
      <c r="F198" s="4"/>
      <c r="G198" s="4"/>
      <c r="H198" s="4">
        <v>3</v>
      </c>
      <c r="I198" s="4"/>
      <c r="J198" s="4">
        <v>6</v>
      </c>
      <c r="K198" s="4">
        <v>3</v>
      </c>
      <c r="L198" s="4"/>
      <c r="M198" s="4">
        <v>9</v>
      </c>
      <c r="N198" s="4">
        <v>1</v>
      </c>
      <c r="O198" s="5">
        <f t="shared" si="3"/>
        <v>22</v>
      </c>
    </row>
    <row r="199" spans="1:15" x14ac:dyDescent="0.25">
      <c r="A199" s="4" t="s">
        <v>395</v>
      </c>
      <c r="B199" s="4" t="s">
        <v>524</v>
      </c>
      <c r="C199" s="4"/>
      <c r="D199" s="4"/>
      <c r="E199" s="4"/>
      <c r="F199" s="4"/>
      <c r="G199" s="4"/>
      <c r="H199" s="4">
        <v>21</v>
      </c>
      <c r="I199" s="4"/>
      <c r="J199" s="4"/>
      <c r="K199" s="4"/>
      <c r="L199" s="4"/>
      <c r="M199" s="4"/>
      <c r="N199" s="4"/>
      <c r="O199" s="5">
        <f t="shared" si="3"/>
        <v>21</v>
      </c>
    </row>
    <row r="200" spans="1:15" x14ac:dyDescent="0.25">
      <c r="A200" s="4" t="s">
        <v>399</v>
      </c>
      <c r="B200" s="4" t="s">
        <v>525</v>
      </c>
      <c r="C200" s="4">
        <v>2</v>
      </c>
      <c r="D200" s="4">
        <v>2</v>
      </c>
      <c r="E200" s="4">
        <v>4</v>
      </c>
      <c r="F200" s="4">
        <v>3</v>
      </c>
      <c r="G200" s="4">
        <v>4</v>
      </c>
      <c r="H200" s="4">
        <v>1</v>
      </c>
      <c r="I200" s="4">
        <v>1</v>
      </c>
      <c r="J200" s="4">
        <v>3</v>
      </c>
      <c r="K200" s="4"/>
      <c r="L200" s="4"/>
      <c r="M200" s="4"/>
      <c r="N200" s="4"/>
      <c r="O200" s="5">
        <f t="shared" si="3"/>
        <v>20</v>
      </c>
    </row>
    <row r="201" spans="1:15" x14ac:dyDescent="0.25">
      <c r="A201" s="4" t="s">
        <v>401</v>
      </c>
      <c r="B201" s="4" t="s">
        <v>248</v>
      </c>
      <c r="C201" s="4"/>
      <c r="D201" s="4"/>
      <c r="E201" s="4"/>
      <c r="F201" s="4"/>
      <c r="G201" s="4">
        <v>1</v>
      </c>
      <c r="H201" s="4"/>
      <c r="I201" s="4"/>
      <c r="J201" s="4">
        <v>7</v>
      </c>
      <c r="K201" s="4">
        <v>4</v>
      </c>
      <c r="L201" s="4"/>
      <c r="M201" s="4"/>
      <c r="N201" s="4">
        <v>7</v>
      </c>
      <c r="O201" s="5">
        <f t="shared" si="3"/>
        <v>19</v>
      </c>
    </row>
    <row r="202" spans="1:15" x14ac:dyDescent="0.25">
      <c r="A202" s="4" t="s">
        <v>409</v>
      </c>
      <c r="B202" s="4" t="s">
        <v>508</v>
      </c>
      <c r="C202" s="4">
        <v>11</v>
      </c>
      <c r="D202" s="4">
        <v>6</v>
      </c>
      <c r="E202" s="4">
        <v>1</v>
      </c>
      <c r="F202" s="4"/>
      <c r="G202" s="4"/>
      <c r="H202" s="4"/>
      <c r="I202" s="4"/>
      <c r="J202" s="4"/>
      <c r="K202" s="4"/>
      <c r="L202" s="4">
        <v>1</v>
      </c>
      <c r="M202" s="4"/>
      <c r="N202" s="4"/>
      <c r="O202" s="5">
        <f t="shared" si="3"/>
        <v>19</v>
      </c>
    </row>
    <row r="203" spans="1:15" x14ac:dyDescent="0.25">
      <c r="A203" s="4" t="s">
        <v>407</v>
      </c>
      <c r="B203" s="4" t="s">
        <v>52</v>
      </c>
      <c r="C203" s="4">
        <v>2</v>
      </c>
      <c r="D203" s="4">
        <v>2</v>
      </c>
      <c r="E203" s="4">
        <v>2</v>
      </c>
      <c r="F203" s="4">
        <v>2</v>
      </c>
      <c r="G203" s="4">
        <v>1</v>
      </c>
      <c r="H203" s="4">
        <v>4</v>
      </c>
      <c r="I203" s="4">
        <v>1</v>
      </c>
      <c r="J203" s="4">
        <v>1</v>
      </c>
      <c r="K203" s="4">
        <v>1</v>
      </c>
      <c r="L203" s="4"/>
      <c r="M203" s="4">
        <v>1</v>
      </c>
      <c r="N203" s="4">
        <v>1</v>
      </c>
      <c r="O203" s="5">
        <f t="shared" si="3"/>
        <v>18</v>
      </c>
    </row>
    <row r="204" spans="1:15" x14ac:dyDescent="0.25">
      <c r="A204" s="4" t="s">
        <v>405</v>
      </c>
      <c r="B204" s="4" t="s">
        <v>440</v>
      </c>
      <c r="C204" s="4">
        <v>2</v>
      </c>
      <c r="D204" s="4"/>
      <c r="E204" s="4"/>
      <c r="F204" s="4"/>
      <c r="G204" s="4"/>
      <c r="H204" s="4">
        <v>15</v>
      </c>
      <c r="I204" s="4"/>
      <c r="J204" s="4"/>
      <c r="K204" s="4"/>
      <c r="L204" s="4"/>
      <c r="M204" s="4"/>
      <c r="N204" s="4"/>
      <c r="O204" s="5">
        <f t="shared" si="3"/>
        <v>17</v>
      </c>
    </row>
    <row r="205" spans="1:15" x14ac:dyDescent="0.25">
      <c r="A205" s="4" t="s">
        <v>403</v>
      </c>
      <c r="B205" s="4" t="s">
        <v>358</v>
      </c>
      <c r="C205" s="4"/>
      <c r="D205" s="4"/>
      <c r="E205" s="4"/>
      <c r="F205" s="4"/>
      <c r="G205" s="4"/>
      <c r="H205" s="4">
        <v>5</v>
      </c>
      <c r="I205" s="4">
        <v>2</v>
      </c>
      <c r="J205" s="4">
        <v>1</v>
      </c>
      <c r="K205" s="4">
        <v>1</v>
      </c>
      <c r="L205" s="4">
        <v>1</v>
      </c>
      <c r="M205" s="4">
        <v>3</v>
      </c>
      <c r="N205" s="4">
        <v>3</v>
      </c>
      <c r="O205" s="5">
        <f t="shared" si="3"/>
        <v>16</v>
      </c>
    </row>
    <row r="206" spans="1:15" x14ac:dyDescent="0.25">
      <c r="A206" s="4" t="s">
        <v>413</v>
      </c>
      <c r="B206" s="4" t="s">
        <v>404</v>
      </c>
      <c r="C206" s="4">
        <v>4</v>
      </c>
      <c r="D206" s="4">
        <v>5</v>
      </c>
      <c r="E206" s="4">
        <v>1</v>
      </c>
      <c r="F206" s="4"/>
      <c r="G206" s="4"/>
      <c r="H206" s="4">
        <v>1</v>
      </c>
      <c r="I206" s="4">
        <v>2</v>
      </c>
      <c r="J206" s="4"/>
      <c r="K206" s="4"/>
      <c r="L206" s="4">
        <v>1</v>
      </c>
      <c r="M206" s="4"/>
      <c r="N206" s="4">
        <v>2</v>
      </c>
      <c r="O206" s="5">
        <f t="shared" si="3"/>
        <v>16</v>
      </c>
    </row>
    <row r="207" spans="1:15" x14ac:dyDescent="0.25">
      <c r="A207" s="4" t="s">
        <v>411</v>
      </c>
      <c r="B207" s="4" t="s">
        <v>526</v>
      </c>
      <c r="C207" s="4">
        <v>6</v>
      </c>
      <c r="D207" s="4"/>
      <c r="E207" s="4">
        <v>3</v>
      </c>
      <c r="F207" s="4">
        <v>3</v>
      </c>
      <c r="G207" s="4">
        <v>1</v>
      </c>
      <c r="H207" s="4">
        <v>1</v>
      </c>
      <c r="I207" s="4"/>
      <c r="J207" s="4">
        <v>1</v>
      </c>
      <c r="K207" s="4"/>
      <c r="L207" s="4"/>
      <c r="M207" s="4"/>
      <c r="N207" s="4"/>
      <c r="O207" s="5">
        <f t="shared" si="3"/>
        <v>15</v>
      </c>
    </row>
    <row r="208" spans="1:15" x14ac:dyDescent="0.25">
      <c r="A208" s="4" t="s">
        <v>417</v>
      </c>
      <c r="B208" s="4" t="s">
        <v>484</v>
      </c>
      <c r="C208" s="4">
        <v>1</v>
      </c>
      <c r="D208" s="4">
        <v>3</v>
      </c>
      <c r="E208" s="4">
        <v>1</v>
      </c>
      <c r="F208" s="4">
        <v>4</v>
      </c>
      <c r="G208" s="4">
        <v>2</v>
      </c>
      <c r="H208" s="4">
        <v>4</v>
      </c>
      <c r="I208" s="4"/>
      <c r="J208" s="4"/>
      <c r="K208" s="4"/>
      <c r="L208" s="4"/>
      <c r="M208" s="4"/>
      <c r="N208" s="4"/>
      <c r="O208" s="5">
        <f t="shared" si="3"/>
        <v>15</v>
      </c>
    </row>
    <row r="209" spans="1:15" x14ac:dyDescent="0.25">
      <c r="A209" s="4" t="s">
        <v>415</v>
      </c>
      <c r="B209" s="4" t="s">
        <v>527</v>
      </c>
      <c r="C209" s="4">
        <v>3</v>
      </c>
      <c r="D209" s="4">
        <v>3</v>
      </c>
      <c r="E209" s="4">
        <v>4</v>
      </c>
      <c r="F209" s="4">
        <v>3</v>
      </c>
      <c r="G209" s="4">
        <v>1</v>
      </c>
      <c r="H209" s="4"/>
      <c r="I209" s="4"/>
      <c r="J209" s="4">
        <v>1</v>
      </c>
      <c r="K209" s="4"/>
      <c r="L209" s="4"/>
      <c r="M209" s="4"/>
      <c r="N209" s="4"/>
      <c r="O209" s="5">
        <f t="shared" si="3"/>
        <v>15</v>
      </c>
    </row>
    <row r="210" spans="1:15" x14ac:dyDescent="0.25">
      <c r="A210" s="4" t="s">
        <v>421</v>
      </c>
      <c r="B210" s="4" t="s">
        <v>422</v>
      </c>
      <c r="C210" s="4">
        <v>1</v>
      </c>
      <c r="D210" s="4"/>
      <c r="E210" s="4">
        <v>3</v>
      </c>
      <c r="F210" s="4">
        <v>2</v>
      </c>
      <c r="G210" s="4">
        <v>1</v>
      </c>
      <c r="H210" s="4">
        <v>1</v>
      </c>
      <c r="I210" s="4">
        <v>1</v>
      </c>
      <c r="J210" s="4">
        <v>1</v>
      </c>
      <c r="K210" s="4">
        <v>1</v>
      </c>
      <c r="L210" s="4">
        <v>2</v>
      </c>
      <c r="M210" s="4">
        <v>1</v>
      </c>
      <c r="N210" s="4"/>
      <c r="O210" s="5">
        <f t="shared" si="3"/>
        <v>14</v>
      </c>
    </row>
    <row r="211" spans="1:15" x14ac:dyDescent="0.25">
      <c r="A211" s="4" t="s">
        <v>419</v>
      </c>
      <c r="B211" s="4" t="s">
        <v>128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>
        <v>12</v>
      </c>
      <c r="N211" s="4"/>
      <c r="O211" s="5">
        <f t="shared" si="3"/>
        <v>12</v>
      </c>
    </row>
    <row r="212" spans="1:15" x14ac:dyDescent="0.25">
      <c r="A212" s="4" t="s">
        <v>423</v>
      </c>
      <c r="B212" s="4" t="s">
        <v>528</v>
      </c>
      <c r="C212" s="4">
        <v>4</v>
      </c>
      <c r="D212" s="4">
        <v>4</v>
      </c>
      <c r="E212" s="4">
        <v>1</v>
      </c>
      <c r="F212" s="4"/>
      <c r="G212" s="4"/>
      <c r="H212" s="4"/>
      <c r="I212" s="4"/>
      <c r="J212" s="4"/>
      <c r="K212" s="4"/>
      <c r="L212" s="4">
        <v>1</v>
      </c>
      <c r="M212" s="4">
        <v>2</v>
      </c>
      <c r="N212" s="4"/>
      <c r="O212" s="5">
        <f t="shared" si="3"/>
        <v>12</v>
      </c>
    </row>
    <row r="213" spans="1:15" x14ac:dyDescent="0.25">
      <c r="A213" s="4" t="s">
        <v>427</v>
      </c>
      <c r="B213" s="4" t="s">
        <v>458</v>
      </c>
      <c r="C213" s="4">
        <v>5</v>
      </c>
      <c r="D213" s="4">
        <v>1</v>
      </c>
      <c r="E213" s="4">
        <v>3</v>
      </c>
      <c r="F213" s="4">
        <v>2</v>
      </c>
      <c r="G213" s="4"/>
      <c r="H213" s="4"/>
      <c r="I213" s="4"/>
      <c r="J213" s="4"/>
      <c r="K213" s="4"/>
      <c r="L213" s="4"/>
      <c r="M213" s="4"/>
      <c r="N213" s="4"/>
      <c r="O213" s="5">
        <f t="shared" si="3"/>
        <v>11</v>
      </c>
    </row>
    <row r="214" spans="1:15" x14ac:dyDescent="0.25">
      <c r="A214" s="4" t="s">
        <v>425</v>
      </c>
      <c r="B214" s="4" t="s">
        <v>529</v>
      </c>
      <c r="C214" s="4"/>
      <c r="D214" s="4"/>
      <c r="E214" s="4"/>
      <c r="F214" s="4"/>
      <c r="G214" s="4"/>
      <c r="H214" s="4">
        <v>11</v>
      </c>
      <c r="I214" s="4"/>
      <c r="J214" s="4"/>
      <c r="K214" s="4"/>
      <c r="L214" s="4"/>
      <c r="M214" s="4"/>
      <c r="N214" s="4"/>
      <c r="O214" s="5">
        <f t="shared" si="3"/>
        <v>11</v>
      </c>
    </row>
    <row r="215" spans="1:15" x14ac:dyDescent="0.25">
      <c r="A215" s="4" t="s">
        <v>445</v>
      </c>
      <c r="B215" s="4" t="s">
        <v>200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>
        <v>8</v>
      </c>
      <c r="O215" s="5">
        <f t="shared" si="3"/>
        <v>8</v>
      </c>
    </row>
    <row r="216" spans="1:15" x14ac:dyDescent="0.25">
      <c r="A216" s="4" t="s">
        <v>443</v>
      </c>
      <c r="B216" s="4" t="s">
        <v>402</v>
      </c>
      <c r="C216" s="4"/>
      <c r="D216" s="4"/>
      <c r="E216" s="4"/>
      <c r="F216" s="4">
        <v>2</v>
      </c>
      <c r="G216" s="4"/>
      <c r="H216" s="4">
        <v>2</v>
      </c>
      <c r="I216" s="4"/>
      <c r="J216" s="4">
        <v>1</v>
      </c>
      <c r="K216" s="4"/>
      <c r="L216" s="4"/>
      <c r="M216" s="4"/>
      <c r="N216" s="4">
        <v>3</v>
      </c>
      <c r="O216" s="5">
        <f t="shared" si="3"/>
        <v>8</v>
      </c>
    </row>
    <row r="217" spans="1:15" x14ac:dyDescent="0.25">
      <c r="A217" s="4" t="s">
        <v>441</v>
      </c>
      <c r="B217" s="4" t="s">
        <v>334</v>
      </c>
      <c r="C217" s="4"/>
      <c r="D217" s="4"/>
      <c r="E217" s="4"/>
      <c r="F217" s="4">
        <v>5</v>
      </c>
      <c r="G217" s="4"/>
      <c r="H217" s="4"/>
      <c r="I217" s="4"/>
      <c r="J217" s="4"/>
      <c r="K217" s="4"/>
      <c r="L217" s="4"/>
      <c r="M217" s="4"/>
      <c r="N217" s="4">
        <v>3</v>
      </c>
      <c r="O217" s="5">
        <f t="shared" si="3"/>
        <v>8</v>
      </c>
    </row>
    <row r="218" spans="1:15" x14ac:dyDescent="0.25">
      <c r="A218" s="4" t="s">
        <v>439</v>
      </c>
      <c r="B218" s="4" t="s">
        <v>504</v>
      </c>
      <c r="C218" s="4">
        <v>1</v>
      </c>
      <c r="D218" s="4">
        <v>1</v>
      </c>
      <c r="E218" s="4">
        <v>1</v>
      </c>
      <c r="F218" s="4">
        <v>2</v>
      </c>
      <c r="G218" s="4"/>
      <c r="H218" s="4">
        <v>3</v>
      </c>
      <c r="I218" s="4"/>
      <c r="J218" s="4"/>
      <c r="K218" s="4"/>
      <c r="L218" s="4"/>
      <c r="M218" s="4"/>
      <c r="N218" s="4"/>
      <c r="O218" s="5">
        <f t="shared" si="3"/>
        <v>8</v>
      </c>
    </row>
    <row r="219" spans="1:15" x14ac:dyDescent="0.25">
      <c r="A219" s="4" t="s">
        <v>437</v>
      </c>
      <c r="B219" s="4" t="s">
        <v>452</v>
      </c>
      <c r="C219" s="4">
        <v>2</v>
      </c>
      <c r="D219" s="4"/>
      <c r="E219" s="4">
        <v>1</v>
      </c>
      <c r="F219" s="4">
        <v>1</v>
      </c>
      <c r="G219" s="4"/>
      <c r="H219" s="4"/>
      <c r="I219" s="4"/>
      <c r="J219" s="4">
        <v>1</v>
      </c>
      <c r="K219" s="4"/>
      <c r="L219" s="4"/>
      <c r="M219" s="4">
        <v>1</v>
      </c>
      <c r="N219" s="4">
        <v>2</v>
      </c>
      <c r="O219" s="5">
        <f t="shared" si="3"/>
        <v>8</v>
      </c>
    </row>
    <row r="220" spans="1:15" x14ac:dyDescent="0.25">
      <c r="A220" s="4" t="s">
        <v>435</v>
      </c>
      <c r="B220" s="4" t="s">
        <v>530</v>
      </c>
      <c r="C220" s="4">
        <v>2</v>
      </c>
      <c r="D220" s="4">
        <v>2</v>
      </c>
      <c r="E220" s="4"/>
      <c r="F220" s="4"/>
      <c r="G220" s="4"/>
      <c r="H220" s="4">
        <v>2</v>
      </c>
      <c r="I220" s="4">
        <v>1</v>
      </c>
      <c r="J220" s="4"/>
      <c r="K220" s="4"/>
      <c r="L220" s="4"/>
      <c r="M220" s="4"/>
      <c r="N220" s="4"/>
      <c r="O220" s="5">
        <f t="shared" si="3"/>
        <v>7</v>
      </c>
    </row>
    <row r="221" spans="1:15" x14ac:dyDescent="0.25">
      <c r="A221" s="4" t="s">
        <v>433</v>
      </c>
      <c r="B221" s="4" t="s">
        <v>464</v>
      </c>
      <c r="C221" s="4"/>
      <c r="D221" s="4"/>
      <c r="E221" s="4"/>
      <c r="F221" s="4"/>
      <c r="G221" s="4"/>
      <c r="H221" s="4">
        <v>6</v>
      </c>
      <c r="I221" s="4"/>
      <c r="J221" s="4"/>
      <c r="K221" s="4"/>
      <c r="L221" s="4"/>
      <c r="M221" s="4"/>
      <c r="N221" s="4"/>
      <c r="O221" s="5">
        <f t="shared" si="3"/>
        <v>6</v>
      </c>
    </row>
    <row r="222" spans="1:15" x14ac:dyDescent="0.25">
      <c r="A222" s="4" t="s">
        <v>431</v>
      </c>
      <c r="B222" s="4" t="s">
        <v>474</v>
      </c>
      <c r="C222" s="4"/>
      <c r="D222" s="4"/>
      <c r="E222" s="4"/>
      <c r="F222" s="4"/>
      <c r="G222" s="4"/>
      <c r="H222" s="4">
        <v>6</v>
      </c>
      <c r="I222" s="4"/>
      <c r="J222" s="4"/>
      <c r="K222" s="4"/>
      <c r="L222" s="4"/>
      <c r="M222" s="4"/>
      <c r="N222" s="4"/>
      <c r="O222" s="5">
        <f t="shared" si="3"/>
        <v>6</v>
      </c>
    </row>
    <row r="223" spans="1:15" x14ac:dyDescent="0.25">
      <c r="A223" s="4" t="s">
        <v>429</v>
      </c>
      <c r="B223" s="4" t="s">
        <v>531</v>
      </c>
      <c r="C223" s="4">
        <v>1</v>
      </c>
      <c r="D223" s="4">
        <v>1</v>
      </c>
      <c r="E223" s="4"/>
      <c r="F223" s="4">
        <v>1</v>
      </c>
      <c r="G223" s="4">
        <v>2</v>
      </c>
      <c r="H223" s="4">
        <v>1</v>
      </c>
      <c r="I223" s="4"/>
      <c r="J223" s="4"/>
      <c r="K223" s="4"/>
      <c r="L223" s="4"/>
      <c r="M223" s="4"/>
      <c r="N223" s="4"/>
      <c r="O223" s="5">
        <f t="shared" si="3"/>
        <v>6</v>
      </c>
    </row>
    <row r="224" spans="1:15" x14ac:dyDescent="0.25">
      <c r="A224" s="4" t="s">
        <v>473</v>
      </c>
      <c r="B224" s="4" t="s">
        <v>406</v>
      </c>
      <c r="C224" s="4"/>
      <c r="D224" s="4"/>
      <c r="E224" s="4"/>
      <c r="F224" s="4"/>
      <c r="G224" s="4">
        <v>2</v>
      </c>
      <c r="H224" s="4"/>
      <c r="I224" s="4">
        <v>1</v>
      </c>
      <c r="J224" s="4">
        <v>2</v>
      </c>
      <c r="K224" s="4"/>
      <c r="L224" s="4"/>
      <c r="M224" s="4"/>
      <c r="N224" s="4"/>
      <c r="O224" s="5">
        <f t="shared" si="3"/>
        <v>5</v>
      </c>
    </row>
    <row r="225" spans="1:15" x14ac:dyDescent="0.25">
      <c r="A225" s="4" t="s">
        <v>471</v>
      </c>
      <c r="B225" s="4" t="s">
        <v>420</v>
      </c>
      <c r="C225" s="4"/>
      <c r="D225" s="4"/>
      <c r="E225" s="4"/>
      <c r="F225" s="4">
        <v>2</v>
      </c>
      <c r="G225" s="4"/>
      <c r="H225" s="4">
        <v>1</v>
      </c>
      <c r="I225" s="4"/>
      <c r="J225" s="4">
        <v>1</v>
      </c>
      <c r="K225" s="4"/>
      <c r="L225" s="4"/>
      <c r="M225" s="4"/>
      <c r="N225" s="4">
        <v>1</v>
      </c>
      <c r="O225" s="5">
        <f t="shared" si="3"/>
        <v>5</v>
      </c>
    </row>
    <row r="226" spans="1:15" x14ac:dyDescent="0.25">
      <c r="A226" s="4" t="s">
        <v>469</v>
      </c>
      <c r="B226" s="4" t="s">
        <v>532</v>
      </c>
      <c r="C226" s="4">
        <v>4</v>
      </c>
      <c r="D226" s="4">
        <v>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>
        <f t="shared" si="3"/>
        <v>5</v>
      </c>
    </row>
    <row r="227" spans="1:15" x14ac:dyDescent="0.25">
      <c r="A227" s="4" t="s">
        <v>467</v>
      </c>
      <c r="B227" s="4" t="s">
        <v>533</v>
      </c>
      <c r="C227" s="4"/>
      <c r="D227" s="4"/>
      <c r="E227" s="4">
        <v>2</v>
      </c>
      <c r="F227" s="4">
        <v>1</v>
      </c>
      <c r="G227" s="4">
        <v>2</v>
      </c>
      <c r="H227" s="4"/>
      <c r="I227" s="4"/>
      <c r="J227" s="4"/>
      <c r="K227" s="4"/>
      <c r="L227" s="4"/>
      <c r="M227" s="4"/>
      <c r="N227" s="4"/>
      <c r="O227" s="5">
        <f t="shared" si="3"/>
        <v>5</v>
      </c>
    </row>
    <row r="228" spans="1:15" x14ac:dyDescent="0.25">
      <c r="A228" s="4" t="s">
        <v>465</v>
      </c>
      <c r="B228" s="4" t="s">
        <v>534</v>
      </c>
      <c r="C228" s="4"/>
      <c r="D228" s="4">
        <v>1</v>
      </c>
      <c r="E228" s="4"/>
      <c r="F228" s="4">
        <v>1</v>
      </c>
      <c r="G228" s="4">
        <v>3</v>
      </c>
      <c r="H228" s="4"/>
      <c r="I228" s="4"/>
      <c r="J228" s="4"/>
      <c r="K228" s="4"/>
      <c r="L228" s="4"/>
      <c r="M228" s="4"/>
      <c r="N228" s="4"/>
      <c r="O228" s="5">
        <f t="shared" si="3"/>
        <v>5</v>
      </c>
    </row>
    <row r="229" spans="1:15" x14ac:dyDescent="0.25">
      <c r="A229" s="4" t="s">
        <v>463</v>
      </c>
      <c r="B229" s="4" t="s">
        <v>506</v>
      </c>
      <c r="C229" s="4"/>
      <c r="D229" s="4">
        <v>2</v>
      </c>
      <c r="E229" s="4">
        <v>2</v>
      </c>
      <c r="F229" s="4"/>
      <c r="G229" s="4">
        <v>1</v>
      </c>
      <c r="H229" s="4"/>
      <c r="I229" s="4"/>
      <c r="J229" s="4"/>
      <c r="K229" s="4"/>
      <c r="L229" s="4"/>
      <c r="M229" s="4"/>
      <c r="N229" s="4"/>
      <c r="O229" s="5">
        <f t="shared" si="3"/>
        <v>5</v>
      </c>
    </row>
    <row r="230" spans="1:15" x14ac:dyDescent="0.25">
      <c r="A230" s="4" t="s">
        <v>461</v>
      </c>
      <c r="B230" s="4" t="s">
        <v>535</v>
      </c>
      <c r="C230" s="4">
        <v>2</v>
      </c>
      <c r="D230" s="4"/>
      <c r="E230" s="4"/>
      <c r="F230" s="4"/>
      <c r="G230" s="4">
        <v>2</v>
      </c>
      <c r="H230" s="4">
        <v>1</v>
      </c>
      <c r="I230" s="4"/>
      <c r="J230" s="4"/>
      <c r="K230" s="4"/>
      <c r="L230" s="4"/>
      <c r="M230" s="4"/>
      <c r="N230" s="4"/>
      <c r="O230" s="5">
        <f t="shared" si="3"/>
        <v>5</v>
      </c>
    </row>
    <row r="231" spans="1:15" x14ac:dyDescent="0.25">
      <c r="A231" s="4" t="s">
        <v>459</v>
      </c>
      <c r="B231" s="4" t="s">
        <v>536</v>
      </c>
      <c r="C231" s="4">
        <v>2</v>
      </c>
      <c r="D231" s="4">
        <v>2</v>
      </c>
      <c r="E231" s="4"/>
      <c r="F231" s="4"/>
      <c r="G231" s="4"/>
      <c r="H231" s="4"/>
      <c r="I231" s="4"/>
      <c r="J231" s="4"/>
      <c r="K231" s="4"/>
      <c r="L231" s="4">
        <v>1</v>
      </c>
      <c r="M231" s="4"/>
      <c r="N231" s="4"/>
      <c r="O231" s="5">
        <f t="shared" si="3"/>
        <v>5</v>
      </c>
    </row>
    <row r="232" spans="1:15" x14ac:dyDescent="0.25">
      <c r="A232" s="4" t="s">
        <v>457</v>
      </c>
      <c r="B232" s="4" t="s">
        <v>478</v>
      </c>
      <c r="C232" s="4"/>
      <c r="D232" s="4"/>
      <c r="E232" s="4"/>
      <c r="F232" s="4"/>
      <c r="G232" s="4"/>
      <c r="H232" s="4">
        <v>5</v>
      </c>
      <c r="I232" s="4"/>
      <c r="J232" s="4"/>
      <c r="K232" s="4"/>
      <c r="L232" s="4"/>
      <c r="M232" s="4"/>
      <c r="N232" s="4"/>
      <c r="O232" s="5">
        <f t="shared" si="3"/>
        <v>5</v>
      </c>
    </row>
    <row r="233" spans="1:15" x14ac:dyDescent="0.25">
      <c r="A233" s="4" t="s">
        <v>455</v>
      </c>
      <c r="B233" s="4" t="s">
        <v>486</v>
      </c>
      <c r="C233" s="4"/>
      <c r="D233" s="4"/>
      <c r="E233" s="4">
        <v>1</v>
      </c>
      <c r="F233" s="4"/>
      <c r="G233" s="4"/>
      <c r="H233" s="4">
        <v>1</v>
      </c>
      <c r="I233" s="4"/>
      <c r="J233" s="4"/>
      <c r="K233" s="4">
        <v>1</v>
      </c>
      <c r="L233" s="4">
        <v>1</v>
      </c>
      <c r="M233" s="4"/>
      <c r="N233" s="4"/>
      <c r="O233" s="5">
        <f t="shared" si="3"/>
        <v>4</v>
      </c>
    </row>
    <row r="234" spans="1:15" x14ac:dyDescent="0.25">
      <c r="A234" s="4" t="s">
        <v>453</v>
      </c>
      <c r="B234" s="4" t="s">
        <v>502</v>
      </c>
      <c r="C234" s="4"/>
      <c r="D234" s="4"/>
      <c r="E234" s="4">
        <v>1</v>
      </c>
      <c r="F234" s="4"/>
      <c r="G234" s="4"/>
      <c r="H234" s="4">
        <v>3</v>
      </c>
      <c r="I234" s="4"/>
      <c r="J234" s="4"/>
      <c r="K234" s="4"/>
      <c r="L234" s="4"/>
      <c r="M234" s="4"/>
      <c r="N234" s="4"/>
      <c r="O234" s="5">
        <f t="shared" si="3"/>
        <v>4</v>
      </c>
    </row>
    <row r="235" spans="1:15" x14ac:dyDescent="0.25">
      <c r="A235" s="4" t="s">
        <v>451</v>
      </c>
      <c r="B235" s="4" t="s">
        <v>418</v>
      </c>
      <c r="C235" s="4"/>
      <c r="D235" s="4"/>
      <c r="E235" s="4"/>
      <c r="F235" s="4"/>
      <c r="G235" s="4"/>
      <c r="H235" s="4"/>
      <c r="I235" s="4"/>
      <c r="J235" s="4"/>
      <c r="K235" s="4">
        <v>2</v>
      </c>
      <c r="L235" s="4"/>
      <c r="M235" s="4">
        <v>1</v>
      </c>
      <c r="N235" s="4">
        <v>1</v>
      </c>
      <c r="O235" s="5">
        <f t="shared" si="3"/>
        <v>4</v>
      </c>
    </row>
    <row r="236" spans="1:15" x14ac:dyDescent="0.25">
      <c r="A236" s="4" t="s">
        <v>449</v>
      </c>
      <c r="B236" s="4" t="s">
        <v>496</v>
      </c>
      <c r="C236" s="4"/>
      <c r="D236" s="4">
        <v>2</v>
      </c>
      <c r="E236" s="4"/>
      <c r="F236" s="4"/>
      <c r="G236" s="4"/>
      <c r="H236" s="4">
        <v>1</v>
      </c>
      <c r="I236" s="4"/>
      <c r="J236" s="4"/>
      <c r="K236" s="4"/>
      <c r="L236" s="4">
        <v>1</v>
      </c>
      <c r="M236" s="4"/>
      <c r="N236" s="4"/>
      <c r="O236" s="5">
        <f t="shared" si="3"/>
        <v>4</v>
      </c>
    </row>
    <row r="237" spans="1:15" x14ac:dyDescent="0.25">
      <c r="A237" s="4" t="s">
        <v>447</v>
      </c>
      <c r="B237" s="4" t="s">
        <v>498</v>
      </c>
      <c r="C237" s="4"/>
      <c r="D237" s="4"/>
      <c r="E237" s="4"/>
      <c r="F237" s="4"/>
      <c r="G237" s="4"/>
      <c r="H237" s="4"/>
      <c r="I237" s="4"/>
      <c r="J237" s="4">
        <v>2</v>
      </c>
      <c r="K237" s="4">
        <v>1</v>
      </c>
      <c r="L237" s="4"/>
      <c r="M237" s="4"/>
      <c r="N237" s="4">
        <v>1</v>
      </c>
      <c r="O237" s="5">
        <f t="shared" si="3"/>
        <v>4</v>
      </c>
    </row>
    <row r="238" spans="1:15" x14ac:dyDescent="0.25">
      <c r="A238" s="4" t="s">
        <v>515</v>
      </c>
      <c r="B238" s="4" t="s">
        <v>438</v>
      </c>
      <c r="C238" s="4"/>
      <c r="D238" s="4"/>
      <c r="E238" s="4">
        <v>2</v>
      </c>
      <c r="F238" s="4"/>
      <c r="G238" s="4"/>
      <c r="H238" s="4">
        <v>1</v>
      </c>
      <c r="I238" s="4"/>
      <c r="J238" s="4"/>
      <c r="K238" s="4"/>
      <c r="L238" s="4"/>
      <c r="M238" s="4"/>
      <c r="N238" s="4"/>
      <c r="O238" s="5">
        <f t="shared" si="3"/>
        <v>3</v>
      </c>
    </row>
    <row r="239" spans="1:15" x14ac:dyDescent="0.25">
      <c r="A239" s="4" t="s">
        <v>513</v>
      </c>
      <c r="B239" s="4" t="s">
        <v>537</v>
      </c>
      <c r="C239" s="4">
        <v>3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>
        <f t="shared" si="3"/>
        <v>3</v>
      </c>
    </row>
    <row r="240" spans="1:15" x14ac:dyDescent="0.25">
      <c r="A240" s="4" t="s">
        <v>511</v>
      </c>
      <c r="B240" s="4" t="s">
        <v>538</v>
      </c>
      <c r="C240" s="4"/>
      <c r="D240" s="4"/>
      <c r="E240" s="4"/>
      <c r="F240" s="4"/>
      <c r="G240" s="4">
        <v>1</v>
      </c>
      <c r="H240" s="4"/>
      <c r="I240" s="4">
        <v>2</v>
      </c>
      <c r="J240" s="4"/>
      <c r="K240" s="4"/>
      <c r="L240" s="4"/>
      <c r="M240" s="4"/>
      <c r="N240" s="4"/>
      <c r="O240" s="5">
        <f t="shared" si="3"/>
        <v>3</v>
      </c>
    </row>
    <row r="241" spans="1:15" x14ac:dyDescent="0.25">
      <c r="A241" s="4" t="s">
        <v>509</v>
      </c>
      <c r="B241" s="4" t="s">
        <v>539</v>
      </c>
      <c r="C241" s="4"/>
      <c r="D241" s="4"/>
      <c r="E241" s="4"/>
      <c r="F241" s="4"/>
      <c r="G241" s="4"/>
      <c r="H241" s="4"/>
      <c r="I241" s="4"/>
      <c r="J241" s="4">
        <v>1</v>
      </c>
      <c r="K241" s="4">
        <v>1</v>
      </c>
      <c r="L241" s="4"/>
      <c r="M241" s="4"/>
      <c r="N241" s="4">
        <v>1</v>
      </c>
      <c r="O241" s="5">
        <f t="shared" si="3"/>
        <v>3</v>
      </c>
    </row>
    <row r="242" spans="1:15" x14ac:dyDescent="0.25">
      <c r="A242" s="4" t="s">
        <v>507</v>
      </c>
      <c r="B242" s="4" t="s">
        <v>540</v>
      </c>
      <c r="C242" s="4">
        <v>2</v>
      </c>
      <c r="D242" s="4"/>
      <c r="E242" s="4">
        <v>1</v>
      </c>
      <c r="F242" s="4"/>
      <c r="G242" s="4"/>
      <c r="H242" s="4"/>
      <c r="I242" s="4"/>
      <c r="J242" s="4"/>
      <c r="K242" s="4"/>
      <c r="L242" s="4"/>
      <c r="M242" s="4"/>
      <c r="N242" s="4"/>
      <c r="O242" s="5">
        <f t="shared" si="3"/>
        <v>3</v>
      </c>
    </row>
    <row r="243" spans="1:15" x14ac:dyDescent="0.25">
      <c r="A243" s="4" t="s">
        <v>505</v>
      </c>
      <c r="B243" s="4" t="s">
        <v>541</v>
      </c>
      <c r="C243" s="4"/>
      <c r="D243" s="4"/>
      <c r="E243" s="4"/>
      <c r="F243" s="4"/>
      <c r="G243" s="4">
        <v>1</v>
      </c>
      <c r="H243" s="4"/>
      <c r="I243" s="4"/>
      <c r="J243" s="4"/>
      <c r="K243" s="4">
        <v>1</v>
      </c>
      <c r="L243" s="4"/>
      <c r="M243" s="4"/>
      <c r="N243" s="4">
        <v>1</v>
      </c>
      <c r="O243" s="5">
        <f t="shared" si="3"/>
        <v>3</v>
      </c>
    </row>
    <row r="244" spans="1:15" x14ac:dyDescent="0.25">
      <c r="A244" s="4" t="s">
        <v>503</v>
      </c>
      <c r="B244" s="4" t="s">
        <v>542</v>
      </c>
      <c r="C244" s="4"/>
      <c r="D244" s="4"/>
      <c r="E244" s="4">
        <v>1</v>
      </c>
      <c r="F244" s="4">
        <v>1</v>
      </c>
      <c r="G244" s="4"/>
      <c r="H244" s="4"/>
      <c r="I244" s="4"/>
      <c r="J244" s="4"/>
      <c r="K244" s="4"/>
      <c r="L244" s="4"/>
      <c r="M244" s="4"/>
      <c r="N244" s="4"/>
      <c r="O244" s="5">
        <f t="shared" si="3"/>
        <v>2</v>
      </c>
    </row>
    <row r="245" spans="1:15" x14ac:dyDescent="0.25">
      <c r="A245" s="4" t="s">
        <v>501</v>
      </c>
      <c r="B245" s="4" t="s">
        <v>543</v>
      </c>
      <c r="C245" s="4">
        <v>2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>
        <f t="shared" si="3"/>
        <v>2</v>
      </c>
    </row>
    <row r="246" spans="1:15" x14ac:dyDescent="0.25">
      <c r="A246" s="4" t="s">
        <v>499</v>
      </c>
      <c r="B246" s="4" t="s">
        <v>544</v>
      </c>
      <c r="C246" s="4">
        <v>1</v>
      </c>
      <c r="D246" s="4"/>
      <c r="E246" s="4"/>
      <c r="F246" s="4">
        <v>1</v>
      </c>
      <c r="G246" s="4"/>
      <c r="H246" s="4"/>
      <c r="I246" s="4"/>
      <c r="J246" s="4"/>
      <c r="K246" s="4"/>
      <c r="L246" s="4"/>
      <c r="M246" s="4"/>
      <c r="N246" s="4"/>
      <c r="O246" s="5">
        <f t="shared" si="3"/>
        <v>2</v>
      </c>
    </row>
    <row r="247" spans="1:15" x14ac:dyDescent="0.25">
      <c r="A247" s="4" t="s">
        <v>497</v>
      </c>
      <c r="B247" s="4" t="s">
        <v>436</v>
      </c>
      <c r="C247" s="4"/>
      <c r="D247" s="4"/>
      <c r="E247" s="4"/>
      <c r="F247" s="4"/>
      <c r="G247" s="4"/>
      <c r="H247" s="4">
        <v>1</v>
      </c>
      <c r="I247" s="4"/>
      <c r="J247" s="4"/>
      <c r="K247" s="4">
        <v>1</v>
      </c>
      <c r="L247" s="4"/>
      <c r="M247" s="4"/>
      <c r="N247" s="4"/>
      <c r="O247" s="5">
        <f t="shared" si="3"/>
        <v>2</v>
      </c>
    </row>
    <row r="248" spans="1:15" x14ac:dyDescent="0.25">
      <c r="A248" s="4" t="s">
        <v>495</v>
      </c>
      <c r="B248" s="4" t="s">
        <v>545</v>
      </c>
      <c r="C248" s="4"/>
      <c r="D248" s="4"/>
      <c r="E248" s="4">
        <v>1</v>
      </c>
      <c r="F248" s="4"/>
      <c r="G248" s="4"/>
      <c r="H248" s="4"/>
      <c r="I248" s="4">
        <v>1</v>
      </c>
      <c r="J248" s="4"/>
      <c r="K248" s="4"/>
      <c r="L248" s="4"/>
      <c r="M248" s="4"/>
      <c r="N248" s="4"/>
      <c r="O248" s="5">
        <f t="shared" si="3"/>
        <v>2</v>
      </c>
    </row>
    <row r="249" spans="1:15" x14ac:dyDescent="0.25">
      <c r="A249" s="4" t="s">
        <v>493</v>
      </c>
      <c r="B249" s="4" t="s">
        <v>546</v>
      </c>
      <c r="C249" s="4"/>
      <c r="D249" s="4"/>
      <c r="E249" s="4">
        <v>1</v>
      </c>
      <c r="F249" s="4"/>
      <c r="G249" s="4"/>
      <c r="H249" s="4">
        <v>1</v>
      </c>
      <c r="I249" s="4"/>
      <c r="J249" s="4"/>
      <c r="K249" s="4"/>
      <c r="L249" s="4"/>
      <c r="M249" s="4"/>
      <c r="N249" s="4"/>
      <c r="O249" s="5">
        <f t="shared" si="3"/>
        <v>2</v>
      </c>
    </row>
    <row r="250" spans="1:15" x14ac:dyDescent="0.25">
      <c r="A250" s="4" t="s">
        <v>491</v>
      </c>
      <c r="B250" s="4" t="s">
        <v>547</v>
      </c>
      <c r="C250" s="4">
        <v>2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>
        <f t="shared" si="3"/>
        <v>2</v>
      </c>
    </row>
    <row r="251" spans="1:15" x14ac:dyDescent="0.25">
      <c r="A251" s="4" t="s">
        <v>489</v>
      </c>
      <c r="B251" s="4" t="s">
        <v>548</v>
      </c>
      <c r="C251" s="4"/>
      <c r="D251" s="4"/>
      <c r="E251" s="4"/>
      <c r="F251" s="4"/>
      <c r="G251" s="4"/>
      <c r="H251" s="4">
        <v>1</v>
      </c>
      <c r="I251" s="4"/>
      <c r="J251" s="4">
        <v>1</v>
      </c>
      <c r="K251" s="4"/>
      <c r="L251" s="4"/>
      <c r="M251" s="4"/>
      <c r="N251" s="4"/>
      <c r="O251" s="5">
        <f t="shared" si="3"/>
        <v>2</v>
      </c>
    </row>
    <row r="252" spans="1:15" x14ac:dyDescent="0.25">
      <c r="A252" s="4" t="s">
        <v>487</v>
      </c>
      <c r="B252" s="4" t="s">
        <v>549</v>
      </c>
      <c r="C252" s="4">
        <v>1</v>
      </c>
      <c r="D252" s="4">
        <v>1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>
        <f t="shared" si="3"/>
        <v>2</v>
      </c>
    </row>
    <row r="253" spans="1:15" x14ac:dyDescent="0.25">
      <c r="A253" s="4" t="s">
        <v>485</v>
      </c>
      <c r="B253" s="4" t="s">
        <v>550</v>
      </c>
      <c r="C253" s="4"/>
      <c r="D253" s="4"/>
      <c r="E253" s="4"/>
      <c r="F253" s="4"/>
      <c r="G253" s="4">
        <v>2</v>
      </c>
      <c r="H253" s="4"/>
      <c r="I253" s="4"/>
      <c r="J253" s="4"/>
      <c r="K253" s="4"/>
      <c r="L253" s="4"/>
      <c r="M253" s="4"/>
      <c r="N253" s="4"/>
      <c r="O253" s="5">
        <f t="shared" si="3"/>
        <v>2</v>
      </c>
    </row>
    <row r="254" spans="1:15" x14ac:dyDescent="0.25">
      <c r="A254" s="4" t="s">
        <v>483</v>
      </c>
      <c r="B254" s="4" t="s">
        <v>551</v>
      </c>
      <c r="C254" s="4"/>
      <c r="D254" s="4"/>
      <c r="E254" s="4"/>
      <c r="F254" s="4"/>
      <c r="G254" s="4">
        <v>1</v>
      </c>
      <c r="H254" s="4"/>
      <c r="I254" s="4"/>
      <c r="J254" s="4"/>
      <c r="K254" s="4"/>
      <c r="L254" s="4"/>
      <c r="M254" s="4"/>
      <c r="N254" s="4"/>
      <c r="O254" s="5">
        <f t="shared" si="3"/>
        <v>1</v>
      </c>
    </row>
    <row r="255" spans="1:15" x14ac:dyDescent="0.25">
      <c r="A255" s="4" t="s">
        <v>481</v>
      </c>
      <c r="B255" s="4" t="s">
        <v>552</v>
      </c>
      <c r="C255" s="4"/>
      <c r="D255" s="4"/>
      <c r="E255" s="4"/>
      <c r="F255" s="4"/>
      <c r="G255" s="4"/>
      <c r="H255" s="4"/>
      <c r="I255" s="4">
        <v>1</v>
      </c>
      <c r="J255" s="4"/>
      <c r="K255" s="4"/>
      <c r="L255" s="4"/>
      <c r="M255" s="4"/>
      <c r="N255" s="4"/>
      <c r="O255" s="5">
        <f t="shared" si="3"/>
        <v>1</v>
      </c>
    </row>
    <row r="256" spans="1:15" x14ac:dyDescent="0.25">
      <c r="A256" s="4" t="s">
        <v>479</v>
      </c>
      <c r="B256" s="4" t="s">
        <v>553</v>
      </c>
      <c r="C256" s="4"/>
      <c r="D256" s="4"/>
      <c r="E256" s="4"/>
      <c r="F256" s="4"/>
      <c r="G256" s="4"/>
      <c r="H256" s="4"/>
      <c r="I256" s="4"/>
      <c r="J256" s="4">
        <v>1</v>
      </c>
      <c r="K256" s="4"/>
      <c r="L256" s="4"/>
      <c r="M256" s="4"/>
      <c r="N256" s="4"/>
      <c r="O256" s="5">
        <f t="shared" si="3"/>
        <v>1</v>
      </c>
    </row>
    <row r="257" spans="1:15" x14ac:dyDescent="0.25">
      <c r="A257" s="4" t="s">
        <v>477</v>
      </c>
      <c r="B257" s="4" t="s">
        <v>554</v>
      </c>
      <c r="C257" s="4"/>
      <c r="D257" s="4"/>
      <c r="E257" s="4"/>
      <c r="F257" s="4"/>
      <c r="G257" s="4"/>
      <c r="H257" s="4">
        <v>1</v>
      </c>
      <c r="I257" s="4"/>
      <c r="J257" s="4"/>
      <c r="K257" s="4"/>
      <c r="L257" s="4"/>
      <c r="M257" s="4"/>
      <c r="N257" s="4"/>
      <c r="O257" s="5">
        <f t="shared" si="3"/>
        <v>1</v>
      </c>
    </row>
    <row r="258" spans="1:15" x14ac:dyDescent="0.25">
      <c r="A258" s="4" t="s">
        <v>475</v>
      </c>
      <c r="B258" s="4" t="s">
        <v>426</v>
      </c>
      <c r="C258" s="4">
        <v>1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>
        <f t="shared" si="3"/>
        <v>1</v>
      </c>
    </row>
    <row r="259" spans="1:15" x14ac:dyDescent="0.25">
      <c r="A259" s="4" t="s">
        <v>555</v>
      </c>
      <c r="B259" s="4" t="s">
        <v>466</v>
      </c>
      <c r="C259" s="4"/>
      <c r="D259" s="4">
        <v>1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>
        <f t="shared" si="3"/>
        <v>1</v>
      </c>
    </row>
    <row r="260" spans="1:15" x14ac:dyDescent="0.25">
      <c r="A260" s="4" t="s">
        <v>556</v>
      </c>
      <c r="B260" s="4" t="s">
        <v>510</v>
      </c>
      <c r="C260" s="4"/>
      <c r="D260" s="4"/>
      <c r="E260" s="4"/>
      <c r="F260" s="4"/>
      <c r="G260" s="4"/>
      <c r="H260" s="4"/>
      <c r="I260" s="4"/>
      <c r="J260" s="4">
        <v>1</v>
      </c>
      <c r="K260" s="4"/>
      <c r="L260" s="4"/>
      <c r="M260" s="4"/>
      <c r="N260" s="4"/>
      <c r="O260" s="5">
        <f t="shared" ref="O260:O271" si="4">SUM(C260:N260)</f>
        <v>1</v>
      </c>
    </row>
    <row r="261" spans="1:15" x14ac:dyDescent="0.25">
      <c r="A261" s="4" t="s">
        <v>557</v>
      </c>
      <c r="B261" s="4" t="s">
        <v>514</v>
      </c>
      <c r="C261" s="4"/>
      <c r="D261" s="4"/>
      <c r="E261" s="4"/>
      <c r="F261" s="4"/>
      <c r="G261" s="4"/>
      <c r="H261" s="4"/>
      <c r="I261" s="4"/>
      <c r="J261" s="4"/>
      <c r="K261" s="4"/>
      <c r="L261" s="4">
        <v>1</v>
      </c>
      <c r="M261" s="4"/>
      <c r="N261" s="4"/>
      <c r="O261" s="5">
        <f t="shared" si="4"/>
        <v>1</v>
      </c>
    </row>
    <row r="262" spans="1:15" x14ac:dyDescent="0.25">
      <c r="A262" s="4" t="s">
        <v>558</v>
      </c>
      <c r="B262" s="4" t="s">
        <v>380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>
        <v>1</v>
      </c>
      <c r="N262" s="4"/>
      <c r="O262" s="5">
        <f t="shared" si="4"/>
        <v>1</v>
      </c>
    </row>
    <row r="263" spans="1:15" x14ac:dyDescent="0.25">
      <c r="A263" s="4" t="s">
        <v>559</v>
      </c>
      <c r="B263" s="4" t="s">
        <v>560</v>
      </c>
      <c r="C263" s="4"/>
      <c r="D263" s="4"/>
      <c r="E263" s="4"/>
      <c r="F263" s="4">
        <v>1</v>
      </c>
      <c r="G263" s="4"/>
      <c r="H263" s="4"/>
      <c r="I263" s="4"/>
      <c r="J263" s="4"/>
      <c r="K263" s="4"/>
      <c r="L263" s="4"/>
      <c r="M263" s="4"/>
      <c r="N263" s="4"/>
      <c r="O263" s="5">
        <f t="shared" si="4"/>
        <v>1</v>
      </c>
    </row>
    <row r="264" spans="1:15" x14ac:dyDescent="0.25">
      <c r="A264" s="4" t="s">
        <v>561</v>
      </c>
      <c r="B264" s="4" t="s">
        <v>562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>
        <v>1</v>
      </c>
      <c r="O264" s="5">
        <f t="shared" si="4"/>
        <v>1</v>
      </c>
    </row>
    <row r="265" spans="1:15" x14ac:dyDescent="0.25">
      <c r="A265" s="4" t="s">
        <v>563</v>
      </c>
      <c r="B265" s="4" t="s">
        <v>476</v>
      </c>
      <c r="C265" s="4"/>
      <c r="D265" s="4"/>
      <c r="E265" s="4"/>
      <c r="F265" s="4"/>
      <c r="G265" s="4"/>
      <c r="H265" s="4">
        <v>1</v>
      </c>
      <c r="I265" s="4"/>
      <c r="J265" s="4"/>
      <c r="K265" s="4"/>
      <c r="L265" s="4"/>
      <c r="M265" s="4"/>
      <c r="N265" s="4"/>
      <c r="O265" s="5">
        <f t="shared" si="4"/>
        <v>1</v>
      </c>
    </row>
    <row r="266" spans="1:15" x14ac:dyDescent="0.25">
      <c r="A266" s="4" t="s">
        <v>564</v>
      </c>
      <c r="B266" s="4" t="s">
        <v>565</v>
      </c>
      <c r="C266" s="4"/>
      <c r="D266" s="4"/>
      <c r="E266" s="4"/>
      <c r="F266" s="4"/>
      <c r="G266" s="4"/>
      <c r="H266" s="4"/>
      <c r="I266" s="4">
        <v>1</v>
      </c>
      <c r="J266" s="4"/>
      <c r="K266" s="4"/>
      <c r="L266" s="4"/>
      <c r="M266" s="4"/>
      <c r="N266" s="4"/>
      <c r="O266" s="5">
        <f t="shared" si="4"/>
        <v>1</v>
      </c>
    </row>
    <row r="267" spans="1:15" x14ac:dyDescent="0.25">
      <c r="A267" s="4" t="s">
        <v>566</v>
      </c>
      <c r="B267" s="4" t="s">
        <v>366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>
        <v>1</v>
      </c>
      <c r="N267" s="4"/>
      <c r="O267" s="5">
        <f t="shared" si="4"/>
        <v>1</v>
      </c>
    </row>
    <row r="268" spans="1:15" x14ac:dyDescent="0.25">
      <c r="A268" s="4" t="s">
        <v>567</v>
      </c>
      <c r="B268" s="4" t="s">
        <v>568</v>
      </c>
      <c r="C268" s="4">
        <v>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>
        <f t="shared" si="4"/>
        <v>1</v>
      </c>
    </row>
    <row r="269" spans="1:15" x14ac:dyDescent="0.25">
      <c r="A269" s="4" t="s">
        <v>569</v>
      </c>
      <c r="B269" s="4" t="s">
        <v>570</v>
      </c>
      <c r="C269" s="4"/>
      <c r="D269" s="4"/>
      <c r="E269" s="4"/>
      <c r="F269" s="4"/>
      <c r="G269" s="4"/>
      <c r="H269" s="4"/>
      <c r="I269" s="4">
        <v>1</v>
      </c>
      <c r="J269" s="4"/>
      <c r="K269" s="4"/>
      <c r="L269" s="4"/>
      <c r="M269" s="4"/>
      <c r="N269" s="4"/>
      <c r="O269" s="5">
        <f t="shared" si="4"/>
        <v>1</v>
      </c>
    </row>
    <row r="270" spans="1:15" x14ac:dyDescent="0.25">
      <c r="A270" s="4" t="s">
        <v>571</v>
      </c>
      <c r="B270" s="4" t="s">
        <v>492</v>
      </c>
      <c r="C270" s="4"/>
      <c r="D270" s="4"/>
      <c r="E270" s="4"/>
      <c r="F270" s="4"/>
      <c r="G270" s="4"/>
      <c r="H270" s="4">
        <v>1</v>
      </c>
      <c r="I270" s="4"/>
      <c r="J270" s="4"/>
      <c r="K270" s="4"/>
      <c r="L270" s="4"/>
      <c r="M270" s="4"/>
      <c r="N270" s="4"/>
      <c r="O270" s="5">
        <f t="shared" si="4"/>
        <v>1</v>
      </c>
    </row>
    <row r="271" spans="1:15" x14ac:dyDescent="0.25">
      <c r="A271" s="4" t="s">
        <v>572</v>
      </c>
      <c r="B271" s="4" t="s">
        <v>573</v>
      </c>
      <c r="C271" s="4">
        <v>1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>
        <f t="shared" si="4"/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1BB8-41EE-4BFB-8F3E-389AA332F06A}">
  <dimension ref="A1:O258"/>
  <sheetViews>
    <sheetView workbookViewId="0">
      <selection sqref="A1:XFD1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8.85546875" bestFit="1" customWidth="1"/>
    <col min="4" max="4" width="9" bestFit="1" customWidth="1"/>
    <col min="5" max="5" width="9.5703125" bestFit="1" customWidth="1"/>
    <col min="6" max="6" width="9" bestFit="1" customWidth="1"/>
    <col min="7" max="7" width="9.42578125" bestFit="1" customWidth="1"/>
    <col min="8" max="8" width="9" bestFit="1" customWidth="1"/>
    <col min="9" max="9" width="8.42578125" bestFit="1" customWidth="1"/>
    <col min="10" max="10" width="9.28515625" bestFit="1" customWidth="1"/>
    <col min="13" max="13" width="9.28515625" customWidth="1"/>
  </cols>
  <sheetData>
    <row r="1" spans="1:15" s="1" customFormat="1" x14ac:dyDescent="0.25">
      <c r="A1" s="2" t="s">
        <v>12</v>
      </c>
      <c r="B1" s="2" t="s">
        <v>13</v>
      </c>
      <c r="C1" s="3" t="s">
        <v>729</v>
      </c>
      <c r="D1" s="3" t="s">
        <v>730</v>
      </c>
      <c r="E1" s="3" t="s">
        <v>731</v>
      </c>
      <c r="F1" s="3" t="s">
        <v>732</v>
      </c>
      <c r="G1" s="3" t="s">
        <v>733</v>
      </c>
      <c r="H1" s="3" t="s">
        <v>734</v>
      </c>
      <c r="I1" s="3" t="s">
        <v>735</v>
      </c>
      <c r="J1" s="3" t="s">
        <v>736</v>
      </c>
      <c r="K1" s="3" t="s">
        <v>737</v>
      </c>
      <c r="L1" s="3" t="s">
        <v>738</v>
      </c>
      <c r="M1" s="3" t="s">
        <v>739</v>
      </c>
      <c r="N1" s="3" t="s">
        <v>740</v>
      </c>
      <c r="O1" s="2" t="s">
        <v>22</v>
      </c>
    </row>
    <row r="2" spans="1:15" x14ac:dyDescent="0.25">
      <c r="A2" s="4" t="s">
        <v>0</v>
      </c>
      <c r="B2" s="4" t="s">
        <v>1</v>
      </c>
      <c r="C2" s="5">
        <v>7000</v>
      </c>
      <c r="D2" s="5">
        <v>6837</v>
      </c>
      <c r="E2" s="5">
        <v>9935</v>
      </c>
      <c r="F2" s="5">
        <v>8051</v>
      </c>
      <c r="G2" s="5">
        <v>9716</v>
      </c>
      <c r="H2" s="5">
        <v>9007</v>
      </c>
      <c r="I2" s="5">
        <v>10387</v>
      </c>
      <c r="J2" s="5">
        <v>12870</v>
      </c>
      <c r="K2" s="4"/>
      <c r="L2" s="4"/>
      <c r="M2" s="4"/>
      <c r="N2" s="4"/>
      <c r="O2" s="5">
        <f t="shared" ref="O2:O33" si="0">C2+D2+E2+F2+G2+H2+I2+J2+K2+L2+M2+N2</f>
        <v>73803</v>
      </c>
    </row>
    <row r="3" spans="1:15" x14ac:dyDescent="0.25">
      <c r="A3" s="4" t="s">
        <v>2</v>
      </c>
      <c r="B3" s="4" t="s">
        <v>3</v>
      </c>
      <c r="C3" s="5">
        <v>7162</v>
      </c>
      <c r="D3" s="5">
        <v>6084</v>
      </c>
      <c r="E3" s="5">
        <v>8283</v>
      </c>
      <c r="F3" s="5">
        <v>7376</v>
      </c>
      <c r="G3" s="5">
        <v>6947</v>
      </c>
      <c r="H3" s="5">
        <v>8261</v>
      </c>
      <c r="I3" s="5">
        <v>10260</v>
      </c>
      <c r="J3" s="5">
        <v>8345</v>
      </c>
      <c r="K3" s="4"/>
      <c r="L3" s="4"/>
      <c r="M3" s="4"/>
      <c r="N3" s="4"/>
      <c r="O3" s="5">
        <f t="shared" si="0"/>
        <v>62718</v>
      </c>
    </row>
    <row r="4" spans="1:15" x14ac:dyDescent="0.25">
      <c r="A4" s="4" t="s">
        <v>4</v>
      </c>
      <c r="B4" s="4" t="s">
        <v>5</v>
      </c>
      <c r="C4" s="5">
        <v>2115</v>
      </c>
      <c r="D4" s="5">
        <v>3762</v>
      </c>
      <c r="E4" s="5">
        <v>8197</v>
      </c>
      <c r="F4" s="5">
        <v>6063</v>
      </c>
      <c r="G4" s="5">
        <v>7636</v>
      </c>
      <c r="H4" s="5">
        <v>9949</v>
      </c>
      <c r="I4" s="5">
        <v>16471</v>
      </c>
      <c r="J4" s="5">
        <v>8220</v>
      </c>
      <c r="K4" s="4"/>
      <c r="L4" s="4"/>
      <c r="M4" s="4"/>
      <c r="N4" s="4"/>
      <c r="O4" s="5">
        <f t="shared" si="0"/>
        <v>62413</v>
      </c>
    </row>
    <row r="5" spans="1:15" x14ac:dyDescent="0.25">
      <c r="A5" s="4" t="s">
        <v>6</v>
      </c>
      <c r="B5" s="4" t="s">
        <v>7</v>
      </c>
      <c r="C5" s="5">
        <v>4840</v>
      </c>
      <c r="D5" s="5">
        <v>2992</v>
      </c>
      <c r="E5" s="5">
        <v>8363</v>
      </c>
      <c r="F5" s="5">
        <v>7143</v>
      </c>
      <c r="G5" s="5">
        <v>4245</v>
      </c>
      <c r="H5" s="5">
        <v>6420</v>
      </c>
      <c r="I5" s="5">
        <v>12126</v>
      </c>
      <c r="J5" s="5">
        <v>8053</v>
      </c>
      <c r="K5" s="4"/>
      <c r="L5" s="4"/>
      <c r="M5" s="4"/>
      <c r="N5" s="4"/>
      <c r="O5" s="5">
        <f t="shared" si="0"/>
        <v>54182</v>
      </c>
    </row>
    <row r="6" spans="1:15" x14ac:dyDescent="0.25">
      <c r="A6" s="4" t="s">
        <v>8</v>
      </c>
      <c r="B6" s="4" t="s">
        <v>9</v>
      </c>
      <c r="C6" s="5">
        <v>6164</v>
      </c>
      <c r="D6" s="5">
        <v>5125</v>
      </c>
      <c r="E6" s="5">
        <v>7104</v>
      </c>
      <c r="F6" s="5">
        <v>5295</v>
      </c>
      <c r="G6" s="5">
        <v>5624</v>
      </c>
      <c r="H6" s="5">
        <v>6419</v>
      </c>
      <c r="I6" s="5">
        <v>6412</v>
      </c>
      <c r="J6" s="5">
        <v>7055</v>
      </c>
      <c r="K6" s="4"/>
      <c r="L6" s="4"/>
      <c r="M6" s="4"/>
      <c r="N6" s="4"/>
      <c r="O6" s="5">
        <f t="shared" si="0"/>
        <v>49198</v>
      </c>
    </row>
    <row r="7" spans="1:15" x14ac:dyDescent="0.25">
      <c r="A7" s="4" t="s">
        <v>10</v>
      </c>
      <c r="B7" s="4" t="s">
        <v>11</v>
      </c>
      <c r="C7" s="5">
        <v>4454</v>
      </c>
      <c r="D7" s="5">
        <v>4294</v>
      </c>
      <c r="E7" s="5">
        <v>5420</v>
      </c>
      <c r="F7" s="5">
        <v>4592</v>
      </c>
      <c r="G7" s="5">
        <v>6012</v>
      </c>
      <c r="H7" s="5">
        <v>7264</v>
      </c>
      <c r="I7" s="5">
        <v>8553</v>
      </c>
      <c r="J7" s="5">
        <v>5452</v>
      </c>
      <c r="K7" s="4"/>
      <c r="L7" s="4"/>
      <c r="M7" s="4"/>
      <c r="N7" s="4"/>
      <c r="O7" s="5">
        <f t="shared" si="0"/>
        <v>46041</v>
      </c>
    </row>
    <row r="8" spans="1:15" x14ac:dyDescent="0.25">
      <c r="A8" s="4" t="s">
        <v>14</v>
      </c>
      <c r="B8" s="4" t="s">
        <v>15</v>
      </c>
      <c r="C8" s="5">
        <v>4208</v>
      </c>
      <c r="D8" s="5">
        <v>4074</v>
      </c>
      <c r="E8" s="5">
        <v>6384</v>
      </c>
      <c r="F8" s="5">
        <v>4686</v>
      </c>
      <c r="G8" s="5">
        <v>4196</v>
      </c>
      <c r="H8" s="5">
        <v>6895</v>
      </c>
      <c r="I8" s="5">
        <v>8582</v>
      </c>
      <c r="J8" s="5">
        <v>6593</v>
      </c>
      <c r="K8" s="4"/>
      <c r="L8" s="4"/>
      <c r="M8" s="4"/>
      <c r="N8" s="4"/>
      <c r="O8" s="5">
        <f t="shared" si="0"/>
        <v>45618</v>
      </c>
    </row>
    <row r="9" spans="1:15" x14ac:dyDescent="0.25">
      <c r="A9" s="4" t="s">
        <v>16</v>
      </c>
      <c r="B9" s="4" t="s">
        <v>17</v>
      </c>
      <c r="C9" s="5">
        <v>4282</v>
      </c>
      <c r="D9" s="5">
        <v>4536</v>
      </c>
      <c r="E9" s="5">
        <v>6171</v>
      </c>
      <c r="F9" s="5">
        <v>5475</v>
      </c>
      <c r="G9" s="5">
        <v>4710</v>
      </c>
      <c r="H9" s="5">
        <v>6747</v>
      </c>
      <c r="I9" s="5">
        <v>7159</v>
      </c>
      <c r="J9" s="5">
        <v>5892</v>
      </c>
      <c r="K9" s="4"/>
      <c r="L9" s="4"/>
      <c r="M9" s="4"/>
      <c r="N9" s="4"/>
      <c r="O9" s="5">
        <f t="shared" si="0"/>
        <v>44972</v>
      </c>
    </row>
    <row r="10" spans="1:15" x14ac:dyDescent="0.25">
      <c r="A10" s="4" t="s">
        <v>18</v>
      </c>
      <c r="B10" s="4" t="s">
        <v>19</v>
      </c>
      <c r="C10" s="5">
        <v>5296</v>
      </c>
      <c r="D10" s="5">
        <v>3772</v>
      </c>
      <c r="E10" s="5">
        <v>5431</v>
      </c>
      <c r="F10" s="5">
        <v>4078</v>
      </c>
      <c r="G10" s="5">
        <v>5435</v>
      </c>
      <c r="H10" s="5">
        <v>4957</v>
      </c>
      <c r="I10" s="5">
        <v>5438</v>
      </c>
      <c r="J10" s="5">
        <v>6372</v>
      </c>
      <c r="K10" s="4"/>
      <c r="L10" s="4"/>
      <c r="M10" s="4"/>
      <c r="N10" s="4"/>
      <c r="O10" s="5">
        <f t="shared" si="0"/>
        <v>40779</v>
      </c>
    </row>
    <row r="11" spans="1:15" x14ac:dyDescent="0.25">
      <c r="A11" s="4" t="s">
        <v>20</v>
      </c>
      <c r="B11" s="4" t="s">
        <v>21</v>
      </c>
      <c r="C11" s="5">
        <v>4969</v>
      </c>
      <c r="D11" s="5">
        <v>4606</v>
      </c>
      <c r="E11" s="5">
        <v>5851</v>
      </c>
      <c r="F11" s="5">
        <v>4660</v>
      </c>
      <c r="G11" s="5">
        <v>5268</v>
      </c>
      <c r="H11" s="5">
        <v>4597</v>
      </c>
      <c r="I11" s="5">
        <v>5314</v>
      </c>
      <c r="J11" s="5">
        <v>5195</v>
      </c>
      <c r="K11" s="4"/>
      <c r="L11" s="4"/>
      <c r="M11" s="4"/>
      <c r="N11" s="4"/>
      <c r="O11" s="5">
        <f t="shared" si="0"/>
        <v>40460</v>
      </c>
    </row>
    <row r="12" spans="1:15" x14ac:dyDescent="0.25">
      <c r="A12" s="4" t="s">
        <v>23</v>
      </c>
      <c r="B12" s="4" t="s">
        <v>24</v>
      </c>
      <c r="C12" s="5">
        <v>4139</v>
      </c>
      <c r="D12" s="5">
        <v>4430</v>
      </c>
      <c r="E12" s="5">
        <v>6988</v>
      </c>
      <c r="F12" s="5">
        <v>4898</v>
      </c>
      <c r="G12" s="5">
        <v>5560</v>
      </c>
      <c r="H12" s="5">
        <v>4338</v>
      </c>
      <c r="I12" s="5">
        <v>4707</v>
      </c>
      <c r="J12" s="5">
        <v>5315</v>
      </c>
      <c r="K12" s="4"/>
      <c r="L12" s="4"/>
      <c r="M12" s="4"/>
      <c r="N12" s="4"/>
      <c r="O12" s="5">
        <f t="shared" si="0"/>
        <v>40375</v>
      </c>
    </row>
    <row r="13" spans="1:15" x14ac:dyDescent="0.25">
      <c r="A13" s="4" t="s">
        <v>25</v>
      </c>
      <c r="B13" s="4" t="s">
        <v>26</v>
      </c>
      <c r="C13" s="5">
        <v>3307</v>
      </c>
      <c r="D13" s="5">
        <v>3827</v>
      </c>
      <c r="E13" s="5">
        <v>6704</v>
      </c>
      <c r="F13" s="5">
        <v>4152</v>
      </c>
      <c r="G13" s="5">
        <v>2725</v>
      </c>
      <c r="H13" s="5">
        <v>5933</v>
      </c>
      <c r="I13" s="5">
        <v>6602</v>
      </c>
      <c r="J13" s="5">
        <v>4569</v>
      </c>
      <c r="K13" s="4"/>
      <c r="L13" s="4"/>
      <c r="M13" s="4"/>
      <c r="N13" s="4"/>
      <c r="O13" s="5">
        <f t="shared" si="0"/>
        <v>37819</v>
      </c>
    </row>
    <row r="14" spans="1:15" x14ac:dyDescent="0.25">
      <c r="A14" s="4" t="s">
        <v>27</v>
      </c>
      <c r="B14" s="4" t="s">
        <v>28</v>
      </c>
      <c r="C14" s="5">
        <v>3281</v>
      </c>
      <c r="D14" s="5">
        <v>3191</v>
      </c>
      <c r="E14" s="5">
        <v>5607</v>
      </c>
      <c r="F14" s="5">
        <v>3812</v>
      </c>
      <c r="G14" s="5">
        <v>4986</v>
      </c>
      <c r="H14" s="5">
        <v>4411</v>
      </c>
      <c r="I14" s="5">
        <v>4132</v>
      </c>
      <c r="J14" s="5">
        <v>4639</v>
      </c>
      <c r="K14" s="4"/>
      <c r="L14" s="4"/>
      <c r="M14" s="4"/>
      <c r="N14" s="4"/>
      <c r="O14" s="5">
        <f t="shared" si="0"/>
        <v>34059</v>
      </c>
    </row>
    <row r="15" spans="1:15" x14ac:dyDescent="0.25">
      <c r="A15" s="4" t="s">
        <v>29</v>
      </c>
      <c r="B15" s="4" t="s">
        <v>30</v>
      </c>
      <c r="C15" s="5">
        <v>3049</v>
      </c>
      <c r="D15" s="5">
        <v>3019</v>
      </c>
      <c r="E15" s="5">
        <v>4674</v>
      </c>
      <c r="F15" s="5">
        <v>3219</v>
      </c>
      <c r="G15" s="5">
        <v>4279</v>
      </c>
      <c r="H15" s="5">
        <v>4083</v>
      </c>
      <c r="I15" s="5">
        <v>5556</v>
      </c>
      <c r="J15" s="5">
        <v>5044</v>
      </c>
      <c r="K15" s="4"/>
      <c r="L15" s="4"/>
      <c r="M15" s="4"/>
      <c r="N15" s="4"/>
      <c r="O15" s="5">
        <f t="shared" si="0"/>
        <v>32923</v>
      </c>
    </row>
    <row r="16" spans="1:15" x14ac:dyDescent="0.25">
      <c r="A16" s="4" t="s">
        <v>31</v>
      </c>
      <c r="B16" s="4" t="s">
        <v>32</v>
      </c>
      <c r="C16" s="5">
        <v>3100</v>
      </c>
      <c r="D16" s="5">
        <v>2774</v>
      </c>
      <c r="E16" s="5">
        <v>3210</v>
      </c>
      <c r="F16" s="5">
        <v>3702</v>
      </c>
      <c r="G16" s="5">
        <v>4340</v>
      </c>
      <c r="H16" s="5">
        <v>3751</v>
      </c>
      <c r="I16" s="5">
        <v>6498</v>
      </c>
      <c r="J16" s="5">
        <v>4936</v>
      </c>
      <c r="K16" s="4"/>
      <c r="L16" s="4"/>
      <c r="M16" s="4"/>
      <c r="N16" s="4"/>
      <c r="O16" s="5">
        <f t="shared" si="0"/>
        <v>32311</v>
      </c>
    </row>
    <row r="17" spans="1:15" x14ac:dyDescent="0.25">
      <c r="A17" s="4" t="s">
        <v>33</v>
      </c>
      <c r="B17" s="4" t="s">
        <v>34</v>
      </c>
      <c r="C17" s="4">
        <v>698</v>
      </c>
      <c r="D17" s="5">
        <v>1709</v>
      </c>
      <c r="E17" s="5">
        <v>4063</v>
      </c>
      <c r="F17" s="5">
        <v>4688</v>
      </c>
      <c r="G17" s="5">
        <v>4578</v>
      </c>
      <c r="H17" s="5">
        <v>4810</v>
      </c>
      <c r="I17" s="5">
        <v>4983</v>
      </c>
      <c r="J17" s="5">
        <v>5775</v>
      </c>
      <c r="K17" s="4"/>
      <c r="L17" s="4"/>
      <c r="M17" s="4"/>
      <c r="N17" s="4"/>
      <c r="O17" s="5">
        <f t="shared" si="0"/>
        <v>31304</v>
      </c>
    </row>
    <row r="18" spans="1:15" x14ac:dyDescent="0.25">
      <c r="A18" s="4" t="s">
        <v>35</v>
      </c>
      <c r="B18" s="4" t="s">
        <v>36</v>
      </c>
      <c r="C18" s="5">
        <v>2984</v>
      </c>
      <c r="D18" s="5">
        <v>3495</v>
      </c>
      <c r="E18" s="5">
        <v>4844</v>
      </c>
      <c r="F18" s="5">
        <v>3055</v>
      </c>
      <c r="G18" s="5">
        <v>4212</v>
      </c>
      <c r="H18" s="5">
        <v>3473</v>
      </c>
      <c r="I18" s="5">
        <v>4752</v>
      </c>
      <c r="J18" s="5">
        <v>4136</v>
      </c>
      <c r="K18" s="4"/>
      <c r="L18" s="4"/>
      <c r="M18" s="4"/>
      <c r="N18" s="4"/>
      <c r="O18" s="5">
        <f t="shared" si="0"/>
        <v>30951</v>
      </c>
    </row>
    <row r="19" spans="1:15" x14ac:dyDescent="0.25">
      <c r="A19" s="4" t="s">
        <v>37</v>
      </c>
      <c r="B19" s="4" t="s">
        <v>38</v>
      </c>
      <c r="C19" s="5">
        <v>3435</v>
      </c>
      <c r="D19" s="5">
        <v>2815</v>
      </c>
      <c r="E19" s="5">
        <v>4362</v>
      </c>
      <c r="F19" s="5">
        <v>3199</v>
      </c>
      <c r="G19" s="5">
        <v>3986</v>
      </c>
      <c r="H19" s="5">
        <v>3732</v>
      </c>
      <c r="I19" s="5">
        <v>4354</v>
      </c>
      <c r="J19" s="5">
        <v>4435</v>
      </c>
      <c r="K19" s="4"/>
      <c r="L19" s="4"/>
      <c r="M19" s="4"/>
      <c r="N19" s="4"/>
      <c r="O19" s="5">
        <f t="shared" si="0"/>
        <v>30318</v>
      </c>
    </row>
    <row r="20" spans="1:15" x14ac:dyDescent="0.25">
      <c r="A20" s="4" t="s">
        <v>39</v>
      </c>
      <c r="B20" s="4" t="s">
        <v>40</v>
      </c>
      <c r="C20" s="5">
        <v>2481</v>
      </c>
      <c r="D20" s="5">
        <v>1653</v>
      </c>
      <c r="E20" s="5">
        <v>3442</v>
      </c>
      <c r="F20" s="5">
        <v>3701</v>
      </c>
      <c r="G20" s="5">
        <v>2950</v>
      </c>
      <c r="H20" s="5">
        <v>4969</v>
      </c>
      <c r="I20" s="5">
        <v>5036</v>
      </c>
      <c r="J20" s="5">
        <v>5093</v>
      </c>
      <c r="K20" s="4"/>
      <c r="L20" s="4"/>
      <c r="M20" s="4"/>
      <c r="N20" s="4"/>
      <c r="O20" s="5">
        <f t="shared" si="0"/>
        <v>29325</v>
      </c>
    </row>
    <row r="21" spans="1:15" x14ac:dyDescent="0.25">
      <c r="A21" s="4" t="s">
        <v>41</v>
      </c>
      <c r="B21" s="4" t="s">
        <v>42</v>
      </c>
      <c r="C21" s="5">
        <v>3015</v>
      </c>
      <c r="D21" s="5">
        <v>2761</v>
      </c>
      <c r="E21" s="5">
        <v>4276</v>
      </c>
      <c r="F21" s="5">
        <v>3504</v>
      </c>
      <c r="G21" s="5">
        <v>3490</v>
      </c>
      <c r="H21" s="5">
        <v>4401</v>
      </c>
      <c r="I21" s="5">
        <v>3994</v>
      </c>
      <c r="J21" s="5">
        <v>3742</v>
      </c>
      <c r="K21" s="4"/>
      <c r="L21" s="4"/>
      <c r="M21" s="4"/>
      <c r="N21" s="4"/>
      <c r="O21" s="5">
        <f t="shared" si="0"/>
        <v>29183</v>
      </c>
    </row>
    <row r="22" spans="1:15" x14ac:dyDescent="0.25">
      <c r="A22" s="4" t="s">
        <v>43</v>
      </c>
      <c r="B22" s="4" t="s">
        <v>44</v>
      </c>
      <c r="C22" s="5">
        <v>2714</v>
      </c>
      <c r="D22" s="5">
        <v>2092</v>
      </c>
      <c r="E22" s="5">
        <v>2637</v>
      </c>
      <c r="F22" s="5">
        <v>3152</v>
      </c>
      <c r="G22" s="5">
        <v>3873</v>
      </c>
      <c r="H22" s="5">
        <v>4638</v>
      </c>
      <c r="I22" s="5">
        <v>5337</v>
      </c>
      <c r="J22" s="5">
        <v>4593</v>
      </c>
      <c r="K22" s="4"/>
      <c r="L22" s="4"/>
      <c r="M22" s="4"/>
      <c r="N22" s="4"/>
      <c r="O22" s="5">
        <f t="shared" si="0"/>
        <v>29036</v>
      </c>
    </row>
    <row r="23" spans="1:15" x14ac:dyDescent="0.25">
      <c r="A23" s="4" t="s">
        <v>45</v>
      </c>
      <c r="B23" s="4" t="s">
        <v>46</v>
      </c>
      <c r="C23" s="5">
        <v>2604</v>
      </c>
      <c r="D23" s="5">
        <v>3334</v>
      </c>
      <c r="E23" s="5">
        <v>4511</v>
      </c>
      <c r="F23" s="5">
        <v>3946</v>
      </c>
      <c r="G23" s="5">
        <v>3731</v>
      </c>
      <c r="H23" s="5">
        <v>3357</v>
      </c>
      <c r="I23" s="5">
        <v>3630</v>
      </c>
      <c r="J23" s="5">
        <v>3247</v>
      </c>
      <c r="K23" s="4"/>
      <c r="L23" s="4"/>
      <c r="M23" s="4"/>
      <c r="N23" s="4"/>
      <c r="O23" s="5">
        <f t="shared" si="0"/>
        <v>28360</v>
      </c>
    </row>
    <row r="24" spans="1:15" x14ac:dyDescent="0.25">
      <c r="A24" s="4" t="s">
        <v>47</v>
      </c>
      <c r="B24" s="4" t="s">
        <v>48</v>
      </c>
      <c r="C24" s="5">
        <v>2238</v>
      </c>
      <c r="D24" s="5">
        <v>2847</v>
      </c>
      <c r="E24" s="5">
        <v>3865</v>
      </c>
      <c r="F24" s="5">
        <v>3261</v>
      </c>
      <c r="G24" s="5">
        <v>3891</v>
      </c>
      <c r="H24" s="5">
        <v>3751</v>
      </c>
      <c r="I24" s="5">
        <v>3812</v>
      </c>
      <c r="J24" s="5">
        <v>4175</v>
      </c>
      <c r="K24" s="4"/>
      <c r="L24" s="4"/>
      <c r="M24" s="4"/>
      <c r="N24" s="4"/>
      <c r="O24" s="5">
        <f t="shared" si="0"/>
        <v>27840</v>
      </c>
    </row>
    <row r="25" spans="1:15" x14ac:dyDescent="0.25">
      <c r="A25" s="4" t="s">
        <v>49</v>
      </c>
      <c r="B25" s="4" t="s">
        <v>50</v>
      </c>
      <c r="C25" s="5">
        <v>2707</v>
      </c>
      <c r="D25" s="5">
        <v>2393</v>
      </c>
      <c r="E25" s="5">
        <v>3605</v>
      </c>
      <c r="F25" s="5">
        <v>2466</v>
      </c>
      <c r="G25" s="5">
        <v>2943</v>
      </c>
      <c r="H25" s="5">
        <v>3383</v>
      </c>
      <c r="I25" s="5">
        <v>3635</v>
      </c>
      <c r="J25" s="5">
        <v>4308</v>
      </c>
      <c r="K25" s="4"/>
      <c r="L25" s="4"/>
      <c r="M25" s="4"/>
      <c r="N25" s="4"/>
      <c r="O25" s="5">
        <f t="shared" si="0"/>
        <v>25440</v>
      </c>
    </row>
    <row r="26" spans="1:15" x14ac:dyDescent="0.25">
      <c r="A26" s="4" t="s">
        <v>51</v>
      </c>
      <c r="B26" s="4" t="s">
        <v>52</v>
      </c>
      <c r="C26" s="4">
        <v>90</v>
      </c>
      <c r="D26" s="4">
        <v>350</v>
      </c>
      <c r="E26" s="5">
        <v>3988</v>
      </c>
      <c r="F26" s="5">
        <v>3087</v>
      </c>
      <c r="G26" s="5">
        <v>3593</v>
      </c>
      <c r="H26" s="5">
        <v>2957</v>
      </c>
      <c r="I26" s="5">
        <v>2948</v>
      </c>
      <c r="J26" s="5">
        <v>2884</v>
      </c>
      <c r="K26" s="4"/>
      <c r="L26" s="4"/>
      <c r="M26" s="4"/>
      <c r="N26" s="4"/>
      <c r="O26" s="5">
        <f t="shared" si="0"/>
        <v>19897</v>
      </c>
    </row>
    <row r="27" spans="1:15" x14ac:dyDescent="0.25">
      <c r="A27" s="4" t="s">
        <v>53</v>
      </c>
      <c r="B27" s="4" t="s">
        <v>54</v>
      </c>
      <c r="C27" s="5">
        <v>1201</v>
      </c>
      <c r="D27" s="5">
        <v>1160</v>
      </c>
      <c r="E27" s="5">
        <v>2101</v>
      </c>
      <c r="F27" s="5">
        <v>1901</v>
      </c>
      <c r="G27" s="5">
        <v>2463</v>
      </c>
      <c r="H27" s="5">
        <v>2718</v>
      </c>
      <c r="I27" s="5">
        <v>3104</v>
      </c>
      <c r="J27" s="5">
        <v>3318</v>
      </c>
      <c r="K27" s="4"/>
      <c r="L27" s="4"/>
      <c r="M27" s="4"/>
      <c r="N27" s="4"/>
      <c r="O27" s="5">
        <f t="shared" si="0"/>
        <v>17966</v>
      </c>
    </row>
    <row r="28" spans="1:15" x14ac:dyDescent="0.25">
      <c r="A28" s="4" t="s">
        <v>55</v>
      </c>
      <c r="B28" s="4" t="s">
        <v>56</v>
      </c>
      <c r="C28" s="5">
        <v>2039</v>
      </c>
      <c r="D28" s="5">
        <v>1511</v>
      </c>
      <c r="E28" s="5">
        <v>2701</v>
      </c>
      <c r="F28" s="5">
        <v>2752</v>
      </c>
      <c r="G28" s="5">
        <v>2376</v>
      </c>
      <c r="H28" s="5">
        <v>2436</v>
      </c>
      <c r="I28" s="5">
        <v>1937</v>
      </c>
      <c r="J28" s="5">
        <v>2037</v>
      </c>
      <c r="K28" s="4"/>
      <c r="L28" s="4"/>
      <c r="M28" s="4"/>
      <c r="N28" s="4"/>
      <c r="O28" s="5">
        <f t="shared" si="0"/>
        <v>17789</v>
      </c>
    </row>
    <row r="29" spans="1:15" x14ac:dyDescent="0.25">
      <c r="A29" s="4" t="s">
        <v>57</v>
      </c>
      <c r="B29" s="4" t="s">
        <v>58</v>
      </c>
      <c r="C29" s="5">
        <v>1684</v>
      </c>
      <c r="D29" s="5">
        <v>1098</v>
      </c>
      <c r="E29" s="5">
        <v>2025</v>
      </c>
      <c r="F29" s="5">
        <v>1916</v>
      </c>
      <c r="G29" s="5">
        <v>1384</v>
      </c>
      <c r="H29" s="5">
        <v>1393</v>
      </c>
      <c r="I29" s="5">
        <v>4811</v>
      </c>
      <c r="J29" s="5">
        <v>2294</v>
      </c>
      <c r="K29" s="4"/>
      <c r="L29" s="4"/>
      <c r="M29" s="4"/>
      <c r="N29" s="4"/>
      <c r="O29" s="5">
        <f t="shared" si="0"/>
        <v>16605</v>
      </c>
    </row>
    <row r="30" spans="1:15" x14ac:dyDescent="0.25">
      <c r="A30" s="4" t="s">
        <v>59</v>
      </c>
      <c r="B30" s="4" t="s">
        <v>60</v>
      </c>
      <c r="C30" s="5">
        <v>1488</v>
      </c>
      <c r="D30" s="5">
        <v>1313</v>
      </c>
      <c r="E30" s="5">
        <v>2035</v>
      </c>
      <c r="F30" s="5">
        <v>1965</v>
      </c>
      <c r="G30" s="5">
        <v>1607</v>
      </c>
      <c r="H30" s="5">
        <v>2930</v>
      </c>
      <c r="I30" s="5">
        <v>3030</v>
      </c>
      <c r="J30" s="5">
        <v>2182</v>
      </c>
      <c r="K30" s="4"/>
      <c r="L30" s="4"/>
      <c r="M30" s="4"/>
      <c r="N30" s="4"/>
      <c r="O30" s="5">
        <f t="shared" si="0"/>
        <v>16550</v>
      </c>
    </row>
    <row r="31" spans="1:15" x14ac:dyDescent="0.25">
      <c r="A31" s="4" t="s">
        <v>61</v>
      </c>
      <c r="B31" s="4" t="s">
        <v>62</v>
      </c>
      <c r="C31" s="4">
        <v>490</v>
      </c>
      <c r="D31" s="4">
        <v>614</v>
      </c>
      <c r="E31" s="5">
        <v>1562</v>
      </c>
      <c r="F31" s="5">
        <v>2091</v>
      </c>
      <c r="G31" s="5">
        <v>2744</v>
      </c>
      <c r="H31" s="5">
        <v>2188</v>
      </c>
      <c r="I31" s="5">
        <v>2729</v>
      </c>
      <c r="J31" s="5">
        <v>3107</v>
      </c>
      <c r="K31" s="4"/>
      <c r="L31" s="4"/>
      <c r="M31" s="4"/>
      <c r="N31" s="4"/>
      <c r="O31" s="5">
        <f t="shared" si="0"/>
        <v>15525</v>
      </c>
    </row>
    <row r="32" spans="1:15" x14ac:dyDescent="0.25">
      <c r="A32" s="4" t="s">
        <v>63</v>
      </c>
      <c r="B32" s="4" t="s">
        <v>64</v>
      </c>
      <c r="C32" s="5">
        <v>2072</v>
      </c>
      <c r="D32" s="5">
        <v>1576</v>
      </c>
      <c r="E32" s="5">
        <v>2016</v>
      </c>
      <c r="F32" s="5">
        <v>1818</v>
      </c>
      <c r="G32" s="5">
        <v>2458</v>
      </c>
      <c r="H32" s="5">
        <v>1940</v>
      </c>
      <c r="I32" s="5">
        <v>1609</v>
      </c>
      <c r="J32" s="5">
        <v>1996</v>
      </c>
      <c r="K32" s="4"/>
      <c r="L32" s="4"/>
      <c r="M32" s="4"/>
      <c r="N32" s="4"/>
      <c r="O32" s="5">
        <f t="shared" si="0"/>
        <v>15485</v>
      </c>
    </row>
    <row r="33" spans="1:15" x14ac:dyDescent="0.25">
      <c r="A33" s="4" t="s">
        <v>65</v>
      </c>
      <c r="B33" s="4" t="s">
        <v>66</v>
      </c>
      <c r="C33" s="5">
        <v>1495</v>
      </c>
      <c r="D33" s="5">
        <v>2152</v>
      </c>
      <c r="E33" s="5">
        <v>2031</v>
      </c>
      <c r="F33" s="5">
        <v>1377</v>
      </c>
      <c r="G33" s="5">
        <v>2231</v>
      </c>
      <c r="H33" s="5">
        <v>1488</v>
      </c>
      <c r="I33" s="5">
        <v>1801</v>
      </c>
      <c r="J33" s="5">
        <v>1973</v>
      </c>
      <c r="K33" s="4"/>
      <c r="L33" s="4"/>
      <c r="M33" s="4"/>
      <c r="N33" s="4"/>
      <c r="O33" s="5">
        <f t="shared" si="0"/>
        <v>14548</v>
      </c>
    </row>
    <row r="34" spans="1:15" x14ac:dyDescent="0.25">
      <c r="A34" s="4" t="s">
        <v>67</v>
      </c>
      <c r="B34" s="4" t="s">
        <v>68</v>
      </c>
      <c r="C34" s="5">
        <v>1289</v>
      </c>
      <c r="D34" s="5">
        <v>1577</v>
      </c>
      <c r="E34" s="5">
        <v>2522</v>
      </c>
      <c r="F34" s="5">
        <v>1835</v>
      </c>
      <c r="G34" s="5">
        <v>1955</v>
      </c>
      <c r="H34" s="5">
        <v>1338</v>
      </c>
      <c r="I34" s="5">
        <v>1408</v>
      </c>
      <c r="J34" s="5">
        <v>1922</v>
      </c>
      <c r="K34" s="4"/>
      <c r="L34" s="4"/>
      <c r="M34" s="4"/>
      <c r="N34" s="4"/>
      <c r="O34" s="5">
        <f t="shared" ref="O34:O65" si="1">C34+D34+E34+F34+G34+H34+I34+J34+K34+L34+M34+N34</f>
        <v>13846</v>
      </c>
    </row>
    <row r="35" spans="1:15" x14ac:dyDescent="0.25">
      <c r="A35" s="4" t="s">
        <v>69</v>
      </c>
      <c r="B35" s="4" t="s">
        <v>70</v>
      </c>
      <c r="C35" s="5">
        <v>1416</v>
      </c>
      <c r="D35" s="5">
        <v>1309</v>
      </c>
      <c r="E35" s="5">
        <v>1781</v>
      </c>
      <c r="F35" s="5">
        <v>1084</v>
      </c>
      <c r="G35" s="5">
        <v>1492</v>
      </c>
      <c r="H35" s="5">
        <v>1510</v>
      </c>
      <c r="I35" s="5">
        <v>2026</v>
      </c>
      <c r="J35" s="5">
        <v>2341</v>
      </c>
      <c r="K35" s="4"/>
      <c r="L35" s="4"/>
      <c r="M35" s="4"/>
      <c r="N35" s="4"/>
      <c r="O35" s="5">
        <f t="shared" si="1"/>
        <v>12959</v>
      </c>
    </row>
    <row r="36" spans="1:15" x14ac:dyDescent="0.25">
      <c r="A36" s="4" t="s">
        <v>71</v>
      </c>
      <c r="B36" s="4" t="s">
        <v>72</v>
      </c>
      <c r="C36" s="5">
        <v>1303</v>
      </c>
      <c r="D36" s="4">
        <v>911</v>
      </c>
      <c r="E36" s="5">
        <v>1634</v>
      </c>
      <c r="F36" s="5">
        <v>1374</v>
      </c>
      <c r="G36" s="5">
        <v>1071</v>
      </c>
      <c r="H36" s="5">
        <v>2275</v>
      </c>
      <c r="I36" s="5">
        <v>1159</v>
      </c>
      <c r="J36" s="5">
        <v>1884</v>
      </c>
      <c r="K36" s="4"/>
      <c r="L36" s="4"/>
      <c r="M36" s="4"/>
      <c r="N36" s="4"/>
      <c r="O36" s="5">
        <f t="shared" si="1"/>
        <v>11611</v>
      </c>
    </row>
    <row r="37" spans="1:15" x14ac:dyDescent="0.25">
      <c r="A37" s="4" t="s">
        <v>73</v>
      </c>
      <c r="B37" s="4" t="s">
        <v>74</v>
      </c>
      <c r="C37" s="4">
        <v>977</v>
      </c>
      <c r="D37" s="5">
        <v>1025</v>
      </c>
      <c r="E37" s="5">
        <v>1978</v>
      </c>
      <c r="F37" s="5">
        <v>1361</v>
      </c>
      <c r="G37" s="5">
        <v>1561</v>
      </c>
      <c r="H37" s="5">
        <v>1425</v>
      </c>
      <c r="I37" s="5">
        <v>1131</v>
      </c>
      <c r="J37" s="5">
        <v>1825</v>
      </c>
      <c r="K37" s="4"/>
      <c r="L37" s="4"/>
      <c r="M37" s="4"/>
      <c r="N37" s="4"/>
      <c r="O37" s="5">
        <f t="shared" si="1"/>
        <v>11283</v>
      </c>
    </row>
    <row r="38" spans="1:15" x14ac:dyDescent="0.25">
      <c r="A38" s="4" t="s">
        <v>75</v>
      </c>
      <c r="B38" s="4" t="s">
        <v>76</v>
      </c>
      <c r="C38" s="5">
        <v>1099</v>
      </c>
      <c r="D38" s="4">
        <v>773</v>
      </c>
      <c r="E38" s="4">
        <v>932</v>
      </c>
      <c r="F38" s="4">
        <v>891</v>
      </c>
      <c r="G38" s="5">
        <v>1068</v>
      </c>
      <c r="H38" s="5">
        <v>1294</v>
      </c>
      <c r="I38" s="5">
        <v>2505</v>
      </c>
      <c r="J38" s="5">
        <v>2597</v>
      </c>
      <c r="K38" s="4"/>
      <c r="L38" s="4"/>
      <c r="M38" s="4"/>
      <c r="N38" s="4"/>
      <c r="O38" s="5">
        <f t="shared" si="1"/>
        <v>11159</v>
      </c>
    </row>
    <row r="39" spans="1:15" x14ac:dyDescent="0.25">
      <c r="A39" s="4" t="s">
        <v>77</v>
      </c>
      <c r="B39" s="4" t="s">
        <v>78</v>
      </c>
      <c r="C39" s="4">
        <v>937</v>
      </c>
      <c r="D39" s="4">
        <v>914</v>
      </c>
      <c r="E39" s="5">
        <v>1412</v>
      </c>
      <c r="F39" s="5">
        <v>1113</v>
      </c>
      <c r="G39" s="5">
        <v>1238</v>
      </c>
      <c r="H39" s="5">
        <v>1258</v>
      </c>
      <c r="I39" s="5">
        <v>1264</v>
      </c>
      <c r="J39" s="5">
        <v>1491</v>
      </c>
      <c r="K39" s="4"/>
      <c r="L39" s="4"/>
      <c r="M39" s="4"/>
      <c r="N39" s="4"/>
      <c r="O39" s="5">
        <f t="shared" si="1"/>
        <v>9627</v>
      </c>
    </row>
    <row r="40" spans="1:15" x14ac:dyDescent="0.25">
      <c r="A40" s="4" t="s">
        <v>79</v>
      </c>
      <c r="B40" s="4" t="s">
        <v>80</v>
      </c>
      <c r="C40" s="5">
        <v>1184</v>
      </c>
      <c r="D40" s="4">
        <v>995</v>
      </c>
      <c r="E40" s="4">
        <v>855</v>
      </c>
      <c r="F40" s="4">
        <v>792</v>
      </c>
      <c r="G40" s="5">
        <v>1535</v>
      </c>
      <c r="H40" s="5">
        <v>1069</v>
      </c>
      <c r="I40" s="5">
        <v>1203</v>
      </c>
      <c r="J40" s="5">
        <v>1481</v>
      </c>
      <c r="K40" s="4"/>
      <c r="L40" s="4"/>
      <c r="M40" s="4"/>
      <c r="N40" s="4"/>
      <c r="O40" s="5">
        <f t="shared" si="1"/>
        <v>9114</v>
      </c>
    </row>
    <row r="41" spans="1:15" x14ac:dyDescent="0.25">
      <c r="A41" s="4" t="s">
        <v>81</v>
      </c>
      <c r="B41" s="4" t="s">
        <v>82</v>
      </c>
      <c r="C41" s="5">
        <v>1091</v>
      </c>
      <c r="D41" s="5">
        <v>1084</v>
      </c>
      <c r="E41" s="5">
        <v>1249</v>
      </c>
      <c r="F41" s="4">
        <v>964</v>
      </c>
      <c r="G41" s="5">
        <v>1151</v>
      </c>
      <c r="H41" s="5">
        <v>1060</v>
      </c>
      <c r="I41" s="5">
        <v>1060</v>
      </c>
      <c r="J41" s="4">
        <v>935</v>
      </c>
      <c r="K41" s="4"/>
      <c r="L41" s="4"/>
      <c r="M41" s="4"/>
      <c r="N41" s="4"/>
      <c r="O41" s="5">
        <f t="shared" si="1"/>
        <v>8594</v>
      </c>
    </row>
    <row r="42" spans="1:15" x14ac:dyDescent="0.25">
      <c r="A42" s="4" t="s">
        <v>83</v>
      </c>
      <c r="B42" s="4" t="s">
        <v>84</v>
      </c>
      <c r="C42" s="4">
        <v>716</v>
      </c>
      <c r="D42" s="4">
        <v>718</v>
      </c>
      <c r="E42" s="5">
        <v>1208</v>
      </c>
      <c r="F42" s="5">
        <v>1158</v>
      </c>
      <c r="G42" s="5">
        <v>1135</v>
      </c>
      <c r="H42" s="4">
        <v>730</v>
      </c>
      <c r="I42" s="5">
        <v>1360</v>
      </c>
      <c r="J42" s="5">
        <v>1395</v>
      </c>
      <c r="K42" s="4"/>
      <c r="L42" s="4"/>
      <c r="M42" s="4"/>
      <c r="N42" s="4"/>
      <c r="O42" s="5">
        <f t="shared" si="1"/>
        <v>8420</v>
      </c>
    </row>
    <row r="43" spans="1:15" x14ac:dyDescent="0.25">
      <c r="A43" s="4" t="s">
        <v>85</v>
      </c>
      <c r="B43" s="4" t="s">
        <v>86</v>
      </c>
      <c r="C43" s="5">
        <v>1442</v>
      </c>
      <c r="D43" s="5">
        <v>1232</v>
      </c>
      <c r="E43" s="5">
        <v>1340</v>
      </c>
      <c r="F43" s="4">
        <v>867</v>
      </c>
      <c r="G43" s="4">
        <v>968</v>
      </c>
      <c r="H43" s="4">
        <v>791</v>
      </c>
      <c r="I43" s="4">
        <v>673</v>
      </c>
      <c r="J43" s="4">
        <v>647</v>
      </c>
      <c r="K43" s="4"/>
      <c r="L43" s="4"/>
      <c r="M43" s="4"/>
      <c r="N43" s="4"/>
      <c r="O43" s="5">
        <f t="shared" si="1"/>
        <v>7960</v>
      </c>
    </row>
    <row r="44" spans="1:15" x14ac:dyDescent="0.25">
      <c r="A44" s="4" t="s">
        <v>87</v>
      </c>
      <c r="B44" s="4" t="s">
        <v>88</v>
      </c>
      <c r="C44" s="4">
        <v>783</v>
      </c>
      <c r="D44" s="4">
        <v>787</v>
      </c>
      <c r="E44" s="4">
        <v>952</v>
      </c>
      <c r="F44" s="4">
        <v>810</v>
      </c>
      <c r="G44" s="4">
        <v>937</v>
      </c>
      <c r="H44" s="4">
        <v>965</v>
      </c>
      <c r="I44" s="4">
        <v>964</v>
      </c>
      <c r="J44" s="5">
        <v>1004</v>
      </c>
      <c r="K44" s="4"/>
      <c r="L44" s="4"/>
      <c r="M44" s="4"/>
      <c r="N44" s="4"/>
      <c r="O44" s="5">
        <f t="shared" si="1"/>
        <v>7202</v>
      </c>
    </row>
    <row r="45" spans="1:15" x14ac:dyDescent="0.25">
      <c r="A45" s="4" t="s">
        <v>89</v>
      </c>
      <c r="B45" s="4" t="s">
        <v>90</v>
      </c>
      <c r="C45" s="4">
        <v>664</v>
      </c>
      <c r="D45" s="4">
        <v>482</v>
      </c>
      <c r="E45" s="4">
        <v>789</v>
      </c>
      <c r="F45" s="4">
        <v>887</v>
      </c>
      <c r="G45" s="5">
        <v>1072</v>
      </c>
      <c r="H45" s="4">
        <v>931</v>
      </c>
      <c r="I45" s="4">
        <v>896</v>
      </c>
      <c r="J45" s="5">
        <v>1128</v>
      </c>
      <c r="K45" s="4"/>
      <c r="L45" s="4"/>
      <c r="M45" s="4"/>
      <c r="N45" s="4"/>
      <c r="O45" s="5">
        <f t="shared" si="1"/>
        <v>6849</v>
      </c>
    </row>
    <row r="46" spans="1:15" x14ac:dyDescent="0.25">
      <c r="A46" s="4" t="s">
        <v>91</v>
      </c>
      <c r="B46" s="4" t="s">
        <v>92</v>
      </c>
      <c r="C46" s="5">
        <v>3387</v>
      </c>
      <c r="D46" s="5">
        <v>1172</v>
      </c>
      <c r="E46" s="4">
        <v>741</v>
      </c>
      <c r="F46" s="4">
        <v>318</v>
      </c>
      <c r="G46" s="4">
        <v>225</v>
      </c>
      <c r="H46" s="4">
        <v>89</v>
      </c>
      <c r="I46" s="4">
        <v>122</v>
      </c>
      <c r="J46" s="4">
        <v>57</v>
      </c>
      <c r="K46" s="4"/>
      <c r="L46" s="4"/>
      <c r="M46" s="4"/>
      <c r="N46" s="4"/>
      <c r="O46" s="5">
        <f t="shared" si="1"/>
        <v>6111</v>
      </c>
    </row>
    <row r="47" spans="1:15" x14ac:dyDescent="0.25">
      <c r="A47" s="4" t="s">
        <v>93</v>
      </c>
      <c r="B47" s="4" t="s">
        <v>94</v>
      </c>
      <c r="C47" s="4">
        <v>291</v>
      </c>
      <c r="D47" s="4">
        <v>293</v>
      </c>
      <c r="E47" s="4">
        <v>479</v>
      </c>
      <c r="F47" s="4">
        <v>516</v>
      </c>
      <c r="G47" s="4">
        <v>644</v>
      </c>
      <c r="H47" s="5">
        <v>1571</v>
      </c>
      <c r="I47" s="5">
        <v>1201</v>
      </c>
      <c r="J47" s="4">
        <v>968</v>
      </c>
      <c r="K47" s="4"/>
      <c r="L47" s="4"/>
      <c r="M47" s="4"/>
      <c r="N47" s="4"/>
      <c r="O47" s="5">
        <f t="shared" si="1"/>
        <v>5963</v>
      </c>
    </row>
    <row r="48" spans="1:15" x14ac:dyDescent="0.25">
      <c r="A48" s="4" t="s">
        <v>95</v>
      </c>
      <c r="B48" s="4" t="s">
        <v>96</v>
      </c>
      <c r="C48" s="4">
        <v>588</v>
      </c>
      <c r="D48" s="4">
        <v>577</v>
      </c>
      <c r="E48" s="4">
        <v>653</v>
      </c>
      <c r="F48" s="4">
        <v>544</v>
      </c>
      <c r="G48" s="4">
        <v>675</v>
      </c>
      <c r="H48" s="4">
        <v>677</v>
      </c>
      <c r="I48" s="4">
        <v>901</v>
      </c>
      <c r="J48" s="5">
        <v>1290</v>
      </c>
      <c r="K48" s="4"/>
      <c r="L48" s="4"/>
      <c r="M48" s="4"/>
      <c r="N48" s="4"/>
      <c r="O48" s="5">
        <f t="shared" si="1"/>
        <v>5905</v>
      </c>
    </row>
    <row r="49" spans="1:15" x14ac:dyDescent="0.25">
      <c r="A49" s="4" t="s">
        <v>97</v>
      </c>
      <c r="B49" s="4" t="s">
        <v>98</v>
      </c>
      <c r="C49" s="4">
        <v>313</v>
      </c>
      <c r="D49" s="4">
        <v>370</v>
      </c>
      <c r="E49" s="4">
        <v>741</v>
      </c>
      <c r="F49" s="4">
        <v>632</v>
      </c>
      <c r="G49" s="4">
        <v>674</v>
      </c>
      <c r="H49" s="4">
        <v>842</v>
      </c>
      <c r="I49" s="5">
        <v>1086</v>
      </c>
      <c r="J49" s="4">
        <v>977</v>
      </c>
      <c r="K49" s="4"/>
      <c r="L49" s="4"/>
      <c r="M49" s="4"/>
      <c r="N49" s="4"/>
      <c r="O49" s="5">
        <f t="shared" si="1"/>
        <v>5635</v>
      </c>
    </row>
    <row r="50" spans="1:15" x14ac:dyDescent="0.25">
      <c r="A50" s="4" t="s">
        <v>99</v>
      </c>
      <c r="B50" s="4" t="s">
        <v>100</v>
      </c>
      <c r="C50" s="4">
        <v>488</v>
      </c>
      <c r="D50" s="4">
        <v>392</v>
      </c>
      <c r="E50" s="4">
        <v>658</v>
      </c>
      <c r="F50" s="4">
        <v>419</v>
      </c>
      <c r="G50" s="4">
        <v>598</v>
      </c>
      <c r="H50" s="5">
        <v>1004</v>
      </c>
      <c r="I50" s="5">
        <v>1348</v>
      </c>
      <c r="J50" s="4">
        <v>677</v>
      </c>
      <c r="K50" s="4"/>
      <c r="L50" s="4"/>
      <c r="M50" s="4"/>
      <c r="N50" s="4"/>
      <c r="O50" s="5">
        <f t="shared" si="1"/>
        <v>5584</v>
      </c>
    </row>
    <row r="51" spans="1:15" x14ac:dyDescent="0.25">
      <c r="A51" s="4" t="s">
        <v>101</v>
      </c>
      <c r="B51" s="4" t="s">
        <v>102</v>
      </c>
      <c r="C51" s="4">
        <v>661</v>
      </c>
      <c r="D51" s="4">
        <v>429</v>
      </c>
      <c r="E51" s="4">
        <v>571</v>
      </c>
      <c r="F51" s="4">
        <v>452</v>
      </c>
      <c r="G51" s="4">
        <v>810</v>
      </c>
      <c r="H51" s="4">
        <v>955</v>
      </c>
      <c r="I51" s="4">
        <v>748</v>
      </c>
      <c r="J51" s="4">
        <v>803</v>
      </c>
      <c r="K51" s="4"/>
      <c r="L51" s="4"/>
      <c r="M51" s="4"/>
      <c r="N51" s="4"/>
      <c r="O51" s="5">
        <f t="shared" si="1"/>
        <v>5429</v>
      </c>
    </row>
    <row r="52" spans="1:15" x14ac:dyDescent="0.25">
      <c r="A52" s="4" t="s">
        <v>103</v>
      </c>
      <c r="B52" s="4" t="s">
        <v>104</v>
      </c>
      <c r="C52" s="4">
        <v>567</v>
      </c>
      <c r="D52" s="4">
        <v>453</v>
      </c>
      <c r="E52" s="4">
        <v>601</v>
      </c>
      <c r="F52" s="4">
        <v>716</v>
      </c>
      <c r="G52" s="4">
        <v>812</v>
      </c>
      <c r="H52" s="4">
        <v>630</v>
      </c>
      <c r="I52" s="4">
        <v>466</v>
      </c>
      <c r="J52" s="4">
        <v>554</v>
      </c>
      <c r="K52" s="4"/>
      <c r="L52" s="4"/>
      <c r="M52" s="4"/>
      <c r="N52" s="4"/>
      <c r="O52" s="5">
        <f t="shared" si="1"/>
        <v>4799</v>
      </c>
    </row>
    <row r="53" spans="1:15" x14ac:dyDescent="0.25">
      <c r="A53" s="4" t="s">
        <v>105</v>
      </c>
      <c r="B53" s="4" t="s">
        <v>106</v>
      </c>
      <c r="C53" s="4"/>
      <c r="D53" s="4">
        <v>2</v>
      </c>
      <c r="E53" s="4">
        <v>139</v>
      </c>
      <c r="F53" s="4">
        <v>92</v>
      </c>
      <c r="G53" s="4">
        <v>960</v>
      </c>
      <c r="H53" s="4">
        <v>969</v>
      </c>
      <c r="I53" s="4">
        <v>953</v>
      </c>
      <c r="J53" s="5">
        <v>1452</v>
      </c>
      <c r="K53" s="4"/>
      <c r="L53" s="4"/>
      <c r="M53" s="4"/>
      <c r="N53" s="4"/>
      <c r="O53" s="5">
        <f t="shared" si="1"/>
        <v>4567</v>
      </c>
    </row>
    <row r="54" spans="1:15" x14ac:dyDescent="0.25">
      <c r="A54" s="4" t="s">
        <v>107</v>
      </c>
      <c r="B54" s="4" t="s">
        <v>108</v>
      </c>
      <c r="C54" s="4">
        <v>371</v>
      </c>
      <c r="D54" s="4">
        <v>375</v>
      </c>
      <c r="E54" s="4">
        <v>475</v>
      </c>
      <c r="F54" s="4">
        <v>418</v>
      </c>
      <c r="G54" s="4">
        <v>582</v>
      </c>
      <c r="H54" s="4">
        <v>457</v>
      </c>
      <c r="I54" s="4">
        <v>555</v>
      </c>
      <c r="J54" s="4">
        <v>693</v>
      </c>
      <c r="K54" s="4"/>
      <c r="L54" s="4"/>
      <c r="M54" s="4"/>
      <c r="N54" s="4"/>
      <c r="O54" s="5">
        <f t="shared" si="1"/>
        <v>3926</v>
      </c>
    </row>
    <row r="55" spans="1:15" x14ac:dyDescent="0.25">
      <c r="A55" s="4" t="s">
        <v>109</v>
      </c>
      <c r="B55" s="4" t="s">
        <v>110</v>
      </c>
      <c r="C55" s="4">
        <v>331</v>
      </c>
      <c r="D55" s="4">
        <v>401</v>
      </c>
      <c r="E55" s="4">
        <v>671</v>
      </c>
      <c r="F55" s="4">
        <v>393</v>
      </c>
      <c r="G55" s="4">
        <v>444</v>
      </c>
      <c r="H55" s="4">
        <v>409</v>
      </c>
      <c r="I55" s="4">
        <v>359</v>
      </c>
      <c r="J55" s="4">
        <v>495</v>
      </c>
      <c r="K55" s="4"/>
      <c r="L55" s="4"/>
      <c r="M55" s="4"/>
      <c r="N55" s="4"/>
      <c r="O55" s="5">
        <f t="shared" si="1"/>
        <v>3503</v>
      </c>
    </row>
    <row r="56" spans="1:15" x14ac:dyDescent="0.25">
      <c r="A56" s="4" t="s">
        <v>111</v>
      </c>
      <c r="B56" s="4" t="s">
        <v>112</v>
      </c>
      <c r="C56" s="4">
        <v>286</v>
      </c>
      <c r="D56" s="4">
        <v>54</v>
      </c>
      <c r="E56" s="4">
        <v>240</v>
      </c>
      <c r="F56" s="4">
        <v>142</v>
      </c>
      <c r="G56" s="4">
        <v>171</v>
      </c>
      <c r="H56" s="4">
        <v>473</v>
      </c>
      <c r="I56" s="5">
        <v>1923</v>
      </c>
      <c r="J56" s="4">
        <v>88</v>
      </c>
      <c r="K56" s="4"/>
      <c r="L56" s="4"/>
      <c r="M56" s="4"/>
      <c r="N56" s="4"/>
      <c r="O56" s="5">
        <f t="shared" si="1"/>
        <v>3377</v>
      </c>
    </row>
    <row r="57" spans="1:15" x14ac:dyDescent="0.25">
      <c r="A57" s="4" t="s">
        <v>113</v>
      </c>
      <c r="B57" s="4" t="s">
        <v>114</v>
      </c>
      <c r="C57" s="4">
        <v>578</v>
      </c>
      <c r="D57" s="4">
        <v>197</v>
      </c>
      <c r="E57" s="4">
        <v>504</v>
      </c>
      <c r="F57" s="4">
        <v>157</v>
      </c>
      <c r="G57" s="4">
        <v>380</v>
      </c>
      <c r="H57" s="4">
        <v>392</v>
      </c>
      <c r="I57" s="4">
        <v>395</v>
      </c>
      <c r="J57" s="4">
        <v>412</v>
      </c>
      <c r="K57" s="4"/>
      <c r="L57" s="4"/>
      <c r="M57" s="4"/>
      <c r="N57" s="4"/>
      <c r="O57" s="5">
        <f t="shared" si="1"/>
        <v>3015</v>
      </c>
    </row>
    <row r="58" spans="1:15" x14ac:dyDescent="0.25">
      <c r="A58" s="4" t="s">
        <v>115</v>
      </c>
      <c r="B58" s="4" t="s">
        <v>116</v>
      </c>
      <c r="C58" s="4">
        <v>5</v>
      </c>
      <c r="D58" s="4">
        <v>1</v>
      </c>
      <c r="E58" s="4">
        <v>453</v>
      </c>
      <c r="F58" s="4">
        <v>450</v>
      </c>
      <c r="G58" s="4">
        <v>636</v>
      </c>
      <c r="H58" s="4">
        <v>408</v>
      </c>
      <c r="I58" s="4">
        <v>275</v>
      </c>
      <c r="J58" s="4">
        <v>376</v>
      </c>
      <c r="K58" s="4"/>
      <c r="L58" s="4"/>
      <c r="M58" s="4"/>
      <c r="N58" s="4"/>
      <c r="O58" s="5">
        <f t="shared" si="1"/>
        <v>2604</v>
      </c>
    </row>
    <row r="59" spans="1:15" x14ac:dyDescent="0.25">
      <c r="A59" s="4" t="s">
        <v>117</v>
      </c>
      <c r="B59" s="4" t="s">
        <v>118</v>
      </c>
      <c r="C59" s="4">
        <v>316</v>
      </c>
      <c r="D59" s="4">
        <v>269</v>
      </c>
      <c r="E59" s="4">
        <v>342</v>
      </c>
      <c r="F59" s="4">
        <v>292</v>
      </c>
      <c r="G59" s="4">
        <v>349</v>
      </c>
      <c r="H59" s="4">
        <v>325</v>
      </c>
      <c r="I59" s="4">
        <v>335</v>
      </c>
      <c r="J59" s="4">
        <v>328</v>
      </c>
      <c r="K59" s="4"/>
      <c r="L59" s="4"/>
      <c r="M59" s="4"/>
      <c r="N59" s="4"/>
      <c r="O59" s="5">
        <f t="shared" si="1"/>
        <v>2556</v>
      </c>
    </row>
    <row r="60" spans="1:15" x14ac:dyDescent="0.25">
      <c r="A60" s="4" t="s">
        <v>119</v>
      </c>
      <c r="B60" s="4" t="s">
        <v>120</v>
      </c>
      <c r="C60" s="4">
        <v>270</v>
      </c>
      <c r="D60" s="4">
        <v>239</v>
      </c>
      <c r="E60" s="4">
        <v>553</v>
      </c>
      <c r="F60" s="4">
        <v>550</v>
      </c>
      <c r="G60" s="4">
        <v>379</v>
      </c>
      <c r="H60" s="4">
        <v>174</v>
      </c>
      <c r="I60" s="4">
        <v>165</v>
      </c>
      <c r="J60" s="4">
        <v>202</v>
      </c>
      <c r="K60" s="4"/>
      <c r="L60" s="4"/>
      <c r="M60" s="4"/>
      <c r="N60" s="4"/>
      <c r="O60" s="5">
        <f t="shared" si="1"/>
        <v>2532</v>
      </c>
    </row>
    <row r="61" spans="1:15" x14ac:dyDescent="0.25">
      <c r="A61" s="4" t="s">
        <v>121</v>
      </c>
      <c r="B61" s="4" t="s">
        <v>122</v>
      </c>
      <c r="C61" s="4">
        <v>253</v>
      </c>
      <c r="D61" s="4">
        <v>289</v>
      </c>
      <c r="E61" s="4">
        <v>564</v>
      </c>
      <c r="F61" s="4">
        <v>344</v>
      </c>
      <c r="G61" s="4">
        <v>238</v>
      </c>
      <c r="H61" s="4">
        <v>143</v>
      </c>
      <c r="I61" s="4">
        <v>227</v>
      </c>
      <c r="J61" s="4">
        <v>428</v>
      </c>
      <c r="K61" s="4"/>
      <c r="L61" s="4"/>
      <c r="M61" s="4"/>
      <c r="N61" s="4"/>
      <c r="O61" s="5">
        <f t="shared" si="1"/>
        <v>2486</v>
      </c>
    </row>
    <row r="62" spans="1:15" x14ac:dyDescent="0.25">
      <c r="A62" s="4" t="s">
        <v>123</v>
      </c>
      <c r="B62" s="4" t="s">
        <v>124</v>
      </c>
      <c r="C62" s="4">
        <v>6</v>
      </c>
      <c r="D62" s="4">
        <v>41</v>
      </c>
      <c r="E62" s="4">
        <v>245</v>
      </c>
      <c r="F62" s="4">
        <v>367</v>
      </c>
      <c r="G62" s="4">
        <v>509</v>
      </c>
      <c r="H62" s="4">
        <v>433</v>
      </c>
      <c r="I62" s="4">
        <v>390</v>
      </c>
      <c r="J62" s="4">
        <v>385</v>
      </c>
      <c r="K62" s="4"/>
      <c r="L62" s="4"/>
      <c r="M62" s="4"/>
      <c r="N62" s="4"/>
      <c r="O62" s="5">
        <f t="shared" si="1"/>
        <v>2376</v>
      </c>
    </row>
    <row r="63" spans="1:15" x14ac:dyDescent="0.25">
      <c r="A63" s="4" t="s">
        <v>125</v>
      </c>
      <c r="B63" s="4" t="s">
        <v>126</v>
      </c>
      <c r="C63" s="4">
        <v>277</v>
      </c>
      <c r="D63" s="4">
        <v>225</v>
      </c>
      <c r="E63" s="4">
        <v>378</v>
      </c>
      <c r="F63" s="4">
        <v>307</v>
      </c>
      <c r="G63" s="4">
        <v>280</v>
      </c>
      <c r="H63" s="4">
        <v>286</v>
      </c>
      <c r="I63" s="4">
        <v>257</v>
      </c>
      <c r="J63" s="4">
        <v>340</v>
      </c>
      <c r="K63" s="4"/>
      <c r="L63" s="4"/>
      <c r="M63" s="4"/>
      <c r="N63" s="4"/>
      <c r="O63" s="5">
        <f t="shared" si="1"/>
        <v>2350</v>
      </c>
    </row>
    <row r="64" spans="1:15" x14ac:dyDescent="0.25">
      <c r="A64" s="4" t="s">
        <v>127</v>
      </c>
      <c r="B64" s="4" t="s">
        <v>128</v>
      </c>
      <c r="C64" s="4">
        <v>33</v>
      </c>
      <c r="D64" s="4">
        <v>145</v>
      </c>
      <c r="E64" s="4">
        <v>205</v>
      </c>
      <c r="F64" s="4">
        <v>39</v>
      </c>
      <c r="G64" s="4">
        <v>322</v>
      </c>
      <c r="H64" s="4">
        <v>353</v>
      </c>
      <c r="I64" s="4">
        <v>445</v>
      </c>
      <c r="J64" s="4">
        <v>762</v>
      </c>
      <c r="K64" s="4"/>
      <c r="L64" s="4"/>
      <c r="M64" s="4"/>
      <c r="N64" s="4"/>
      <c r="O64" s="5">
        <f t="shared" si="1"/>
        <v>2304</v>
      </c>
    </row>
    <row r="65" spans="1:15" x14ac:dyDescent="0.25">
      <c r="A65" s="4" t="s">
        <v>129</v>
      </c>
      <c r="B65" s="4" t="s">
        <v>130</v>
      </c>
      <c r="C65" s="5">
        <v>2004</v>
      </c>
      <c r="D65" s="4">
        <v>57</v>
      </c>
      <c r="E65" s="4">
        <v>1</v>
      </c>
      <c r="F65" s="4">
        <v>1</v>
      </c>
      <c r="G65" s="4">
        <v>4</v>
      </c>
      <c r="H65" s="4">
        <v>1</v>
      </c>
      <c r="I65" s="4"/>
      <c r="J65" s="4">
        <v>3</v>
      </c>
      <c r="K65" s="4"/>
      <c r="L65" s="4"/>
      <c r="M65" s="4"/>
      <c r="N65" s="4"/>
      <c r="O65" s="5">
        <f t="shared" si="1"/>
        <v>2071</v>
      </c>
    </row>
    <row r="66" spans="1:15" x14ac:dyDescent="0.25">
      <c r="A66" s="4" t="s">
        <v>131</v>
      </c>
      <c r="B66" s="4" t="s">
        <v>132</v>
      </c>
      <c r="C66" s="4">
        <v>215</v>
      </c>
      <c r="D66" s="4">
        <v>234</v>
      </c>
      <c r="E66" s="4">
        <v>258</v>
      </c>
      <c r="F66" s="4">
        <v>206</v>
      </c>
      <c r="G66" s="4">
        <v>211</v>
      </c>
      <c r="H66" s="4">
        <v>294</v>
      </c>
      <c r="I66" s="4">
        <v>264</v>
      </c>
      <c r="J66" s="4">
        <v>366</v>
      </c>
      <c r="K66" s="4"/>
      <c r="L66" s="4"/>
      <c r="M66" s="4"/>
      <c r="N66" s="4"/>
      <c r="O66" s="5">
        <f t="shared" ref="O66:O97" si="2">C66+D66+E66+F66+G66+H66+I66+J66+K66+L66+M66+N66</f>
        <v>2048</v>
      </c>
    </row>
    <row r="67" spans="1:15" x14ac:dyDescent="0.25">
      <c r="A67" s="4" t="s">
        <v>133</v>
      </c>
      <c r="B67" s="4" t="s">
        <v>134</v>
      </c>
      <c r="C67" s="4">
        <v>260</v>
      </c>
      <c r="D67" s="4">
        <v>227</v>
      </c>
      <c r="E67" s="4">
        <v>337</v>
      </c>
      <c r="F67" s="4">
        <v>286</v>
      </c>
      <c r="G67" s="4">
        <v>256</v>
      </c>
      <c r="H67" s="4">
        <v>114</v>
      </c>
      <c r="I67" s="4">
        <v>218</v>
      </c>
      <c r="J67" s="4">
        <v>211</v>
      </c>
      <c r="K67" s="4"/>
      <c r="L67" s="4"/>
      <c r="M67" s="4"/>
      <c r="N67" s="4"/>
      <c r="O67" s="5">
        <f t="shared" si="2"/>
        <v>1909</v>
      </c>
    </row>
    <row r="68" spans="1:15" x14ac:dyDescent="0.25">
      <c r="A68" s="4" t="s">
        <v>135</v>
      </c>
      <c r="B68" s="4" t="s">
        <v>136</v>
      </c>
      <c r="C68" s="4">
        <v>80</v>
      </c>
      <c r="D68" s="4">
        <v>555</v>
      </c>
      <c r="E68" s="4">
        <v>171</v>
      </c>
      <c r="F68" s="4">
        <v>154</v>
      </c>
      <c r="G68" s="4">
        <v>139</v>
      </c>
      <c r="H68" s="4">
        <v>129</v>
      </c>
      <c r="I68" s="4">
        <v>112</v>
      </c>
      <c r="J68" s="4">
        <v>235</v>
      </c>
      <c r="K68" s="4"/>
      <c r="L68" s="4"/>
      <c r="M68" s="4"/>
      <c r="N68" s="4"/>
      <c r="O68" s="5">
        <f t="shared" si="2"/>
        <v>1575</v>
      </c>
    </row>
    <row r="69" spans="1:15" x14ac:dyDescent="0.25">
      <c r="A69" s="4" t="s">
        <v>137</v>
      </c>
      <c r="B69" s="4" t="s">
        <v>138</v>
      </c>
      <c r="C69" s="4">
        <v>166</v>
      </c>
      <c r="D69" s="4">
        <v>161</v>
      </c>
      <c r="E69" s="4">
        <v>251</v>
      </c>
      <c r="F69" s="4">
        <v>129</v>
      </c>
      <c r="G69" s="4">
        <v>227</v>
      </c>
      <c r="H69" s="4">
        <v>153</v>
      </c>
      <c r="I69" s="4">
        <v>184</v>
      </c>
      <c r="J69" s="4">
        <v>209</v>
      </c>
      <c r="K69" s="4"/>
      <c r="L69" s="4"/>
      <c r="M69" s="4"/>
      <c r="N69" s="4"/>
      <c r="O69" s="5">
        <f t="shared" si="2"/>
        <v>1480</v>
      </c>
    </row>
    <row r="70" spans="1:15" x14ac:dyDescent="0.25">
      <c r="A70" s="4" t="s">
        <v>139</v>
      </c>
      <c r="B70" s="4" t="s">
        <v>140</v>
      </c>
      <c r="C70" s="4">
        <v>145</v>
      </c>
      <c r="D70" s="4">
        <v>132</v>
      </c>
      <c r="E70" s="4">
        <v>144</v>
      </c>
      <c r="F70" s="4">
        <v>137</v>
      </c>
      <c r="G70" s="4">
        <v>237</v>
      </c>
      <c r="H70" s="4">
        <v>256</v>
      </c>
      <c r="I70" s="4">
        <v>231</v>
      </c>
      <c r="J70" s="4">
        <v>188</v>
      </c>
      <c r="K70" s="4"/>
      <c r="L70" s="4"/>
      <c r="M70" s="4"/>
      <c r="N70" s="4"/>
      <c r="O70" s="5">
        <f t="shared" si="2"/>
        <v>1470</v>
      </c>
    </row>
    <row r="71" spans="1:15" x14ac:dyDescent="0.25">
      <c r="A71" s="4" t="s">
        <v>141</v>
      </c>
      <c r="B71" s="4" t="s">
        <v>142</v>
      </c>
      <c r="C71" s="4">
        <v>138</v>
      </c>
      <c r="D71" s="4">
        <v>124</v>
      </c>
      <c r="E71" s="4">
        <v>155</v>
      </c>
      <c r="F71" s="4">
        <v>108</v>
      </c>
      <c r="G71" s="4">
        <v>118</v>
      </c>
      <c r="H71" s="4">
        <v>214</v>
      </c>
      <c r="I71" s="4">
        <v>227</v>
      </c>
      <c r="J71" s="4">
        <v>207</v>
      </c>
      <c r="K71" s="4"/>
      <c r="L71" s="4"/>
      <c r="M71" s="4"/>
      <c r="N71" s="4"/>
      <c r="O71" s="5">
        <f t="shared" si="2"/>
        <v>1291</v>
      </c>
    </row>
    <row r="72" spans="1:15" x14ac:dyDescent="0.25">
      <c r="A72" s="4" t="s">
        <v>143</v>
      </c>
      <c r="B72" s="4" t="s">
        <v>144</v>
      </c>
      <c r="C72" s="4">
        <v>80</v>
      </c>
      <c r="D72" s="4">
        <v>109</v>
      </c>
      <c r="E72" s="4">
        <v>195</v>
      </c>
      <c r="F72" s="4">
        <v>145</v>
      </c>
      <c r="G72" s="4">
        <v>253</v>
      </c>
      <c r="H72" s="4">
        <v>208</v>
      </c>
      <c r="I72" s="4">
        <v>190</v>
      </c>
      <c r="J72" s="4">
        <v>100</v>
      </c>
      <c r="K72" s="4"/>
      <c r="L72" s="4"/>
      <c r="M72" s="4"/>
      <c r="N72" s="4"/>
      <c r="O72" s="5">
        <f t="shared" si="2"/>
        <v>1280</v>
      </c>
    </row>
    <row r="73" spans="1:15" x14ac:dyDescent="0.25">
      <c r="A73" s="4" t="s">
        <v>145</v>
      </c>
      <c r="B73" s="4" t="s">
        <v>146</v>
      </c>
      <c r="C73" s="4">
        <v>173</v>
      </c>
      <c r="D73" s="4">
        <v>248</v>
      </c>
      <c r="E73" s="4">
        <v>231</v>
      </c>
      <c r="F73" s="4">
        <v>168</v>
      </c>
      <c r="G73" s="4">
        <v>134</v>
      </c>
      <c r="H73" s="4">
        <v>92</v>
      </c>
      <c r="I73" s="4">
        <v>64</v>
      </c>
      <c r="J73" s="4">
        <v>132</v>
      </c>
      <c r="K73" s="4"/>
      <c r="L73" s="4"/>
      <c r="M73" s="4"/>
      <c r="N73" s="4"/>
      <c r="O73" s="5">
        <f t="shared" si="2"/>
        <v>1242</v>
      </c>
    </row>
    <row r="74" spans="1:15" x14ac:dyDescent="0.25">
      <c r="A74" s="4" t="s">
        <v>147</v>
      </c>
      <c r="B74" s="4" t="s">
        <v>148</v>
      </c>
      <c r="C74" s="4">
        <v>125</v>
      </c>
      <c r="D74" s="4">
        <v>112</v>
      </c>
      <c r="E74" s="4">
        <v>224</v>
      </c>
      <c r="F74" s="4">
        <v>159</v>
      </c>
      <c r="G74" s="4">
        <v>158</v>
      </c>
      <c r="H74" s="4">
        <v>149</v>
      </c>
      <c r="I74" s="4">
        <v>139</v>
      </c>
      <c r="J74" s="4">
        <v>163</v>
      </c>
      <c r="K74" s="4"/>
      <c r="L74" s="4"/>
      <c r="M74" s="4"/>
      <c r="N74" s="4"/>
      <c r="O74" s="5">
        <f t="shared" si="2"/>
        <v>1229</v>
      </c>
    </row>
    <row r="75" spans="1:15" x14ac:dyDescent="0.25">
      <c r="A75" s="4" t="s">
        <v>149</v>
      </c>
      <c r="B75" s="4" t="s">
        <v>150</v>
      </c>
      <c r="C75" s="4">
        <v>158</v>
      </c>
      <c r="D75" s="4">
        <v>91</v>
      </c>
      <c r="E75" s="4">
        <v>182</v>
      </c>
      <c r="F75" s="4">
        <v>138</v>
      </c>
      <c r="G75" s="4">
        <v>147</v>
      </c>
      <c r="H75" s="4">
        <v>167</v>
      </c>
      <c r="I75" s="4">
        <v>191</v>
      </c>
      <c r="J75" s="4">
        <v>146</v>
      </c>
      <c r="K75" s="4"/>
      <c r="L75" s="4"/>
      <c r="M75" s="4"/>
      <c r="N75" s="4"/>
      <c r="O75" s="5">
        <f t="shared" si="2"/>
        <v>1220</v>
      </c>
    </row>
    <row r="76" spans="1:15" x14ac:dyDescent="0.25">
      <c r="A76" s="4" t="s">
        <v>151</v>
      </c>
      <c r="B76" s="4" t="s">
        <v>152</v>
      </c>
      <c r="C76" s="4">
        <v>214</v>
      </c>
      <c r="D76" s="4">
        <v>208</v>
      </c>
      <c r="E76" s="4">
        <v>286</v>
      </c>
      <c r="F76" s="4">
        <v>194</v>
      </c>
      <c r="G76" s="4">
        <v>189</v>
      </c>
      <c r="H76" s="4">
        <v>88</v>
      </c>
      <c r="I76" s="4"/>
      <c r="J76" s="4"/>
      <c r="K76" s="4"/>
      <c r="L76" s="4"/>
      <c r="M76" s="4"/>
      <c r="N76" s="4"/>
      <c r="O76" s="5">
        <f t="shared" si="2"/>
        <v>1179</v>
      </c>
    </row>
    <row r="77" spans="1:15" x14ac:dyDescent="0.25">
      <c r="A77" s="4" t="s">
        <v>153</v>
      </c>
      <c r="B77" s="4" t="s">
        <v>154</v>
      </c>
      <c r="C77" s="4">
        <v>15</v>
      </c>
      <c r="D77" s="4">
        <v>53</v>
      </c>
      <c r="E77" s="4">
        <v>145</v>
      </c>
      <c r="F77" s="4">
        <v>61</v>
      </c>
      <c r="G77" s="4">
        <v>186</v>
      </c>
      <c r="H77" s="4">
        <v>184</v>
      </c>
      <c r="I77" s="4">
        <v>162</v>
      </c>
      <c r="J77" s="4">
        <v>371</v>
      </c>
      <c r="K77" s="4"/>
      <c r="L77" s="4"/>
      <c r="M77" s="4"/>
      <c r="N77" s="4"/>
      <c r="O77" s="5">
        <f t="shared" si="2"/>
        <v>1177</v>
      </c>
    </row>
    <row r="78" spans="1:15" x14ac:dyDescent="0.25">
      <c r="A78" s="4" t="s">
        <v>155</v>
      </c>
      <c r="B78" s="4" t="s">
        <v>156</v>
      </c>
      <c r="C78" s="4">
        <v>100</v>
      </c>
      <c r="D78" s="4">
        <v>45</v>
      </c>
      <c r="E78" s="4">
        <v>201</v>
      </c>
      <c r="F78" s="4">
        <v>185</v>
      </c>
      <c r="G78" s="4">
        <v>147</v>
      </c>
      <c r="H78" s="4">
        <v>217</v>
      </c>
      <c r="I78" s="4">
        <v>116</v>
      </c>
      <c r="J78" s="4">
        <v>129</v>
      </c>
      <c r="K78" s="4"/>
      <c r="L78" s="4"/>
      <c r="M78" s="4"/>
      <c r="N78" s="4"/>
      <c r="O78" s="5">
        <f t="shared" si="2"/>
        <v>1140</v>
      </c>
    </row>
    <row r="79" spans="1:15" x14ac:dyDescent="0.25">
      <c r="A79" s="4" t="s">
        <v>157</v>
      </c>
      <c r="B79" s="4" t="s">
        <v>158</v>
      </c>
      <c r="C79" s="4">
        <v>148</v>
      </c>
      <c r="D79" s="4">
        <v>114</v>
      </c>
      <c r="E79" s="4">
        <v>154</v>
      </c>
      <c r="F79" s="4">
        <v>76</v>
      </c>
      <c r="G79" s="4">
        <v>131</v>
      </c>
      <c r="H79" s="4">
        <v>117</v>
      </c>
      <c r="I79" s="4">
        <v>185</v>
      </c>
      <c r="J79" s="4">
        <v>207</v>
      </c>
      <c r="K79" s="4"/>
      <c r="L79" s="4"/>
      <c r="M79" s="4"/>
      <c r="N79" s="4"/>
      <c r="O79" s="5">
        <f t="shared" si="2"/>
        <v>1132</v>
      </c>
    </row>
    <row r="80" spans="1:15" x14ac:dyDescent="0.25">
      <c r="A80" s="4" t="s">
        <v>159</v>
      </c>
      <c r="B80" s="4" t="s">
        <v>160</v>
      </c>
      <c r="C80" s="4">
        <v>71</v>
      </c>
      <c r="D80" s="4">
        <v>80</v>
      </c>
      <c r="E80" s="4">
        <v>210</v>
      </c>
      <c r="F80" s="4">
        <v>231</v>
      </c>
      <c r="G80" s="4">
        <v>200</v>
      </c>
      <c r="H80" s="4">
        <v>84</v>
      </c>
      <c r="I80" s="4">
        <v>123</v>
      </c>
      <c r="J80" s="4">
        <v>109</v>
      </c>
      <c r="K80" s="4"/>
      <c r="L80" s="4"/>
      <c r="M80" s="4"/>
      <c r="N80" s="4"/>
      <c r="O80" s="5">
        <f t="shared" si="2"/>
        <v>1108</v>
      </c>
    </row>
    <row r="81" spans="1:15" x14ac:dyDescent="0.25">
      <c r="A81" s="4" t="s">
        <v>163</v>
      </c>
      <c r="B81" s="4" t="s">
        <v>162</v>
      </c>
      <c r="C81" s="4">
        <v>50</v>
      </c>
      <c r="D81" s="4">
        <v>122</v>
      </c>
      <c r="E81" s="4">
        <v>176</v>
      </c>
      <c r="F81" s="4">
        <v>81</v>
      </c>
      <c r="G81" s="4">
        <v>79</v>
      </c>
      <c r="H81" s="4">
        <v>248</v>
      </c>
      <c r="I81" s="4">
        <v>204</v>
      </c>
      <c r="J81" s="4">
        <v>146</v>
      </c>
      <c r="K81" s="4"/>
      <c r="L81" s="4"/>
      <c r="M81" s="4"/>
      <c r="N81" s="4"/>
      <c r="O81" s="5">
        <f t="shared" si="2"/>
        <v>1106</v>
      </c>
    </row>
    <row r="82" spans="1:15" x14ac:dyDescent="0.25">
      <c r="A82" s="4" t="s">
        <v>161</v>
      </c>
      <c r="B82" s="4" t="s">
        <v>164</v>
      </c>
      <c r="C82" s="4">
        <v>102</v>
      </c>
      <c r="D82" s="4">
        <v>65</v>
      </c>
      <c r="E82" s="4">
        <v>85</v>
      </c>
      <c r="F82" s="4">
        <v>71</v>
      </c>
      <c r="G82" s="4">
        <v>134</v>
      </c>
      <c r="H82" s="4">
        <v>157</v>
      </c>
      <c r="I82" s="4">
        <v>306</v>
      </c>
      <c r="J82" s="4">
        <v>186</v>
      </c>
      <c r="K82" s="4"/>
      <c r="L82" s="4"/>
      <c r="M82" s="4"/>
      <c r="N82" s="4"/>
      <c r="O82" s="5">
        <f t="shared" si="2"/>
        <v>1106</v>
      </c>
    </row>
    <row r="83" spans="1:15" x14ac:dyDescent="0.25">
      <c r="A83" s="4" t="s">
        <v>165</v>
      </c>
      <c r="B83" s="4" t="s">
        <v>166</v>
      </c>
      <c r="C83" s="4">
        <v>79</v>
      </c>
      <c r="D83" s="4">
        <v>123</v>
      </c>
      <c r="E83" s="4">
        <v>80</v>
      </c>
      <c r="F83" s="4">
        <v>169</v>
      </c>
      <c r="G83" s="4">
        <v>107</v>
      </c>
      <c r="H83" s="4">
        <v>169</v>
      </c>
      <c r="I83" s="4">
        <v>193</v>
      </c>
      <c r="J83" s="4">
        <v>153</v>
      </c>
      <c r="K83" s="4"/>
      <c r="L83" s="4"/>
      <c r="M83" s="4"/>
      <c r="N83" s="4"/>
      <c r="O83" s="5">
        <f t="shared" si="2"/>
        <v>1073</v>
      </c>
    </row>
    <row r="84" spans="1:15" x14ac:dyDescent="0.25">
      <c r="A84" s="4" t="s">
        <v>167</v>
      </c>
      <c r="B84" s="4" t="s">
        <v>168</v>
      </c>
      <c r="C84" s="4">
        <v>156</v>
      </c>
      <c r="D84" s="4">
        <v>180</v>
      </c>
      <c r="E84" s="4">
        <v>117</v>
      </c>
      <c r="F84" s="4">
        <v>140</v>
      </c>
      <c r="G84" s="4">
        <v>191</v>
      </c>
      <c r="H84" s="4">
        <v>119</v>
      </c>
      <c r="I84" s="4">
        <v>106</v>
      </c>
      <c r="J84" s="4">
        <v>62</v>
      </c>
      <c r="K84" s="4"/>
      <c r="L84" s="4"/>
      <c r="M84" s="4"/>
      <c r="N84" s="4"/>
      <c r="O84" s="5">
        <f t="shared" si="2"/>
        <v>1071</v>
      </c>
    </row>
    <row r="85" spans="1:15" x14ac:dyDescent="0.25">
      <c r="A85" s="4" t="s">
        <v>169</v>
      </c>
      <c r="B85" s="4" t="s">
        <v>170</v>
      </c>
      <c r="C85" s="4">
        <v>107</v>
      </c>
      <c r="D85" s="4">
        <v>146</v>
      </c>
      <c r="E85" s="4">
        <v>191</v>
      </c>
      <c r="F85" s="4">
        <v>82</v>
      </c>
      <c r="G85" s="4">
        <v>53</v>
      </c>
      <c r="H85" s="4">
        <v>33</v>
      </c>
      <c r="I85" s="4">
        <v>168</v>
      </c>
      <c r="J85" s="4">
        <v>255</v>
      </c>
      <c r="K85" s="4"/>
      <c r="L85" s="4"/>
      <c r="M85" s="4"/>
      <c r="N85" s="4"/>
      <c r="O85" s="5">
        <f t="shared" si="2"/>
        <v>1035</v>
      </c>
    </row>
    <row r="86" spans="1:15" x14ac:dyDescent="0.25">
      <c r="A86" s="4" t="s">
        <v>171</v>
      </c>
      <c r="B86" s="4" t="s">
        <v>172</v>
      </c>
      <c r="C86" s="4">
        <v>85</v>
      </c>
      <c r="D86" s="4">
        <v>92</v>
      </c>
      <c r="E86" s="4">
        <v>228</v>
      </c>
      <c r="F86" s="4">
        <v>149</v>
      </c>
      <c r="G86" s="4">
        <v>112</v>
      </c>
      <c r="H86" s="4">
        <v>86</v>
      </c>
      <c r="I86" s="4">
        <v>78</v>
      </c>
      <c r="J86" s="4">
        <v>110</v>
      </c>
      <c r="K86" s="4"/>
      <c r="L86" s="4"/>
      <c r="M86" s="4"/>
      <c r="N86" s="4"/>
      <c r="O86" s="5">
        <f t="shared" si="2"/>
        <v>940</v>
      </c>
    </row>
    <row r="87" spans="1:15" x14ac:dyDescent="0.25">
      <c r="A87" s="4" t="s">
        <v>173</v>
      </c>
      <c r="B87" s="4" t="s">
        <v>174</v>
      </c>
      <c r="C87" s="4">
        <v>79</v>
      </c>
      <c r="D87" s="4">
        <v>54</v>
      </c>
      <c r="E87" s="4">
        <v>150</v>
      </c>
      <c r="F87" s="4">
        <v>125</v>
      </c>
      <c r="G87" s="4">
        <v>100</v>
      </c>
      <c r="H87" s="4">
        <v>124</v>
      </c>
      <c r="I87" s="4">
        <v>137</v>
      </c>
      <c r="J87" s="4">
        <v>142</v>
      </c>
      <c r="K87" s="4"/>
      <c r="L87" s="4"/>
      <c r="M87" s="4"/>
      <c r="N87" s="4"/>
      <c r="O87" s="5">
        <f t="shared" si="2"/>
        <v>911</v>
      </c>
    </row>
    <row r="88" spans="1:15" x14ac:dyDescent="0.25">
      <c r="A88" s="4" t="s">
        <v>175</v>
      </c>
      <c r="B88" s="4" t="s">
        <v>176</v>
      </c>
      <c r="C88" s="4">
        <v>57</v>
      </c>
      <c r="D88" s="4">
        <v>86</v>
      </c>
      <c r="E88" s="4">
        <v>120</v>
      </c>
      <c r="F88" s="4">
        <v>123</v>
      </c>
      <c r="G88" s="4">
        <v>114</v>
      </c>
      <c r="H88" s="4">
        <v>88</v>
      </c>
      <c r="I88" s="4">
        <v>65</v>
      </c>
      <c r="J88" s="4">
        <v>127</v>
      </c>
      <c r="K88" s="4"/>
      <c r="L88" s="4"/>
      <c r="M88" s="4"/>
      <c r="N88" s="4"/>
      <c r="O88" s="5">
        <f t="shared" si="2"/>
        <v>780</v>
      </c>
    </row>
    <row r="89" spans="1:15" x14ac:dyDescent="0.25">
      <c r="A89" s="4" t="s">
        <v>177</v>
      </c>
      <c r="B89" s="4" t="s">
        <v>178</v>
      </c>
      <c r="C89" s="4">
        <v>86</v>
      </c>
      <c r="D89" s="4">
        <v>49</v>
      </c>
      <c r="E89" s="4">
        <v>83</v>
      </c>
      <c r="F89" s="4">
        <v>117</v>
      </c>
      <c r="G89" s="4">
        <v>126</v>
      </c>
      <c r="H89" s="4">
        <v>101</v>
      </c>
      <c r="I89" s="4">
        <v>113</v>
      </c>
      <c r="J89" s="4">
        <v>95</v>
      </c>
      <c r="K89" s="4"/>
      <c r="L89" s="4"/>
      <c r="M89" s="4"/>
      <c r="N89" s="4"/>
      <c r="O89" s="5">
        <f t="shared" si="2"/>
        <v>770</v>
      </c>
    </row>
    <row r="90" spans="1:15" x14ac:dyDescent="0.25">
      <c r="A90" s="4" t="s">
        <v>179</v>
      </c>
      <c r="B90" s="4" t="s">
        <v>180</v>
      </c>
      <c r="C90" s="4">
        <v>49</v>
      </c>
      <c r="D90" s="4">
        <v>86</v>
      </c>
      <c r="E90" s="4">
        <v>144</v>
      </c>
      <c r="F90" s="4">
        <v>88</v>
      </c>
      <c r="G90" s="4">
        <v>107</v>
      </c>
      <c r="H90" s="4">
        <v>104</v>
      </c>
      <c r="I90" s="4">
        <v>57</v>
      </c>
      <c r="J90" s="4">
        <v>126</v>
      </c>
      <c r="K90" s="4"/>
      <c r="L90" s="4"/>
      <c r="M90" s="4"/>
      <c r="N90" s="4"/>
      <c r="O90" s="5">
        <f t="shared" si="2"/>
        <v>761</v>
      </c>
    </row>
    <row r="91" spans="1:15" x14ac:dyDescent="0.25">
      <c r="A91" s="4" t="s">
        <v>181</v>
      </c>
      <c r="B91" s="4" t="s">
        <v>182</v>
      </c>
      <c r="C91" s="4">
        <v>42</v>
      </c>
      <c r="D91" s="4">
        <v>37</v>
      </c>
      <c r="E91" s="4">
        <v>106</v>
      </c>
      <c r="F91" s="4">
        <v>134</v>
      </c>
      <c r="G91" s="4">
        <v>77</v>
      </c>
      <c r="H91" s="4">
        <v>125</v>
      </c>
      <c r="I91" s="4">
        <v>121</v>
      </c>
      <c r="J91" s="4">
        <v>97</v>
      </c>
      <c r="K91" s="4"/>
      <c r="L91" s="4"/>
      <c r="M91" s="4"/>
      <c r="N91" s="4"/>
      <c r="O91" s="5">
        <f t="shared" si="2"/>
        <v>739</v>
      </c>
    </row>
    <row r="92" spans="1:15" x14ac:dyDescent="0.25">
      <c r="A92" s="4" t="s">
        <v>183</v>
      </c>
      <c r="B92" s="4" t="s">
        <v>184</v>
      </c>
      <c r="C92" s="4">
        <v>3</v>
      </c>
      <c r="D92" s="4">
        <v>2</v>
      </c>
      <c r="E92" s="4">
        <v>7</v>
      </c>
      <c r="F92" s="4">
        <v>15</v>
      </c>
      <c r="G92" s="4">
        <v>190</v>
      </c>
      <c r="H92" s="4">
        <v>173</v>
      </c>
      <c r="I92" s="4">
        <v>249</v>
      </c>
      <c r="J92" s="4">
        <v>87</v>
      </c>
      <c r="K92" s="4"/>
      <c r="L92" s="4"/>
      <c r="M92" s="4"/>
      <c r="N92" s="4"/>
      <c r="O92" s="5">
        <f t="shared" si="2"/>
        <v>726</v>
      </c>
    </row>
    <row r="93" spans="1:15" x14ac:dyDescent="0.25">
      <c r="A93" s="4" t="s">
        <v>185</v>
      </c>
      <c r="B93" s="4" t="s">
        <v>186</v>
      </c>
      <c r="C93" s="4">
        <v>33</v>
      </c>
      <c r="D93" s="4">
        <v>35</v>
      </c>
      <c r="E93" s="4">
        <v>79</v>
      </c>
      <c r="F93" s="4">
        <v>55</v>
      </c>
      <c r="G93" s="4">
        <v>105</v>
      </c>
      <c r="H93" s="4">
        <v>114</v>
      </c>
      <c r="I93" s="4">
        <v>137</v>
      </c>
      <c r="J93" s="4">
        <v>140</v>
      </c>
      <c r="K93" s="4"/>
      <c r="L93" s="4"/>
      <c r="M93" s="4"/>
      <c r="N93" s="4"/>
      <c r="O93" s="5">
        <f t="shared" si="2"/>
        <v>698</v>
      </c>
    </row>
    <row r="94" spans="1:15" x14ac:dyDescent="0.25">
      <c r="A94" s="4" t="s">
        <v>187</v>
      </c>
      <c r="B94" s="4" t="s">
        <v>188</v>
      </c>
      <c r="C94" s="4">
        <v>80</v>
      </c>
      <c r="D94" s="4">
        <v>74</v>
      </c>
      <c r="E94" s="4">
        <v>147</v>
      </c>
      <c r="F94" s="4">
        <v>81</v>
      </c>
      <c r="G94" s="4">
        <v>92</v>
      </c>
      <c r="H94" s="4">
        <v>85</v>
      </c>
      <c r="I94" s="4">
        <v>77</v>
      </c>
      <c r="J94" s="4">
        <v>61</v>
      </c>
      <c r="K94" s="4"/>
      <c r="L94" s="4"/>
      <c r="M94" s="4"/>
      <c r="N94" s="4"/>
      <c r="O94" s="5">
        <f t="shared" si="2"/>
        <v>697</v>
      </c>
    </row>
    <row r="95" spans="1:15" x14ac:dyDescent="0.25">
      <c r="A95" s="4" t="s">
        <v>189</v>
      </c>
      <c r="B95" s="4" t="s">
        <v>190</v>
      </c>
      <c r="C95" s="4">
        <v>19</v>
      </c>
      <c r="D95" s="4">
        <v>65</v>
      </c>
      <c r="E95" s="4">
        <v>89</v>
      </c>
      <c r="F95" s="4">
        <v>88</v>
      </c>
      <c r="G95" s="4">
        <v>85</v>
      </c>
      <c r="H95" s="4">
        <v>84</v>
      </c>
      <c r="I95" s="4">
        <v>100</v>
      </c>
      <c r="J95" s="4">
        <v>150</v>
      </c>
      <c r="K95" s="4"/>
      <c r="L95" s="4"/>
      <c r="M95" s="4"/>
      <c r="N95" s="4"/>
      <c r="O95" s="5">
        <f t="shared" si="2"/>
        <v>680</v>
      </c>
    </row>
    <row r="96" spans="1:15" x14ac:dyDescent="0.25">
      <c r="A96" s="4" t="s">
        <v>191</v>
      </c>
      <c r="B96" s="4" t="s">
        <v>192</v>
      </c>
      <c r="C96" s="4">
        <v>88</v>
      </c>
      <c r="D96" s="4">
        <v>68</v>
      </c>
      <c r="E96" s="4">
        <v>116</v>
      </c>
      <c r="F96" s="4">
        <v>96</v>
      </c>
      <c r="G96" s="4">
        <v>92</v>
      </c>
      <c r="H96" s="4">
        <v>61</v>
      </c>
      <c r="I96" s="4">
        <v>92</v>
      </c>
      <c r="J96" s="4">
        <v>55</v>
      </c>
      <c r="K96" s="4"/>
      <c r="L96" s="4"/>
      <c r="M96" s="4"/>
      <c r="N96" s="4"/>
      <c r="O96" s="5">
        <f t="shared" si="2"/>
        <v>668</v>
      </c>
    </row>
    <row r="97" spans="1:15" x14ac:dyDescent="0.25">
      <c r="A97" s="4" t="s">
        <v>193</v>
      </c>
      <c r="B97" s="4" t="s">
        <v>194</v>
      </c>
      <c r="C97" s="4">
        <v>61</v>
      </c>
      <c r="D97" s="4">
        <v>30</v>
      </c>
      <c r="E97" s="4">
        <v>72</v>
      </c>
      <c r="F97" s="4">
        <v>104</v>
      </c>
      <c r="G97" s="4">
        <v>146</v>
      </c>
      <c r="H97" s="4">
        <v>100</v>
      </c>
      <c r="I97" s="4">
        <v>78</v>
      </c>
      <c r="J97" s="4">
        <v>73</v>
      </c>
      <c r="K97" s="4"/>
      <c r="L97" s="4"/>
      <c r="M97" s="4"/>
      <c r="N97" s="4"/>
      <c r="O97" s="5">
        <f t="shared" si="2"/>
        <v>664</v>
      </c>
    </row>
    <row r="98" spans="1:15" x14ac:dyDescent="0.25">
      <c r="A98" s="4" t="s">
        <v>195</v>
      </c>
      <c r="B98" s="4" t="s">
        <v>196</v>
      </c>
      <c r="C98" s="4">
        <v>80</v>
      </c>
      <c r="D98" s="4">
        <v>69</v>
      </c>
      <c r="E98" s="4">
        <v>69</v>
      </c>
      <c r="F98" s="4">
        <v>94</v>
      </c>
      <c r="G98" s="4">
        <v>108</v>
      </c>
      <c r="H98" s="4">
        <v>13</v>
      </c>
      <c r="I98" s="4">
        <v>105</v>
      </c>
      <c r="J98" s="4">
        <v>122</v>
      </c>
      <c r="K98" s="4"/>
      <c r="L98" s="4"/>
      <c r="M98" s="4"/>
      <c r="N98" s="4"/>
      <c r="O98" s="5">
        <f t="shared" ref="O98:O108" si="3">C98+D98+E98+F98+G98+H98+I98+J98+K98+L98+M98+N98</f>
        <v>660</v>
      </c>
    </row>
    <row r="99" spans="1:15" x14ac:dyDescent="0.25">
      <c r="A99" s="4" t="s">
        <v>197</v>
      </c>
      <c r="B99" s="4" t="s">
        <v>198</v>
      </c>
      <c r="C99" s="4">
        <v>66</v>
      </c>
      <c r="D99" s="4">
        <v>99</v>
      </c>
      <c r="E99" s="4">
        <v>105</v>
      </c>
      <c r="F99" s="4">
        <v>82</v>
      </c>
      <c r="G99" s="4">
        <v>60</v>
      </c>
      <c r="H99" s="4">
        <v>79</v>
      </c>
      <c r="I99" s="4">
        <v>71</v>
      </c>
      <c r="J99" s="4">
        <v>94</v>
      </c>
      <c r="K99" s="4"/>
      <c r="L99" s="4"/>
      <c r="M99" s="4"/>
      <c r="N99" s="4"/>
      <c r="O99" s="5">
        <f t="shared" si="3"/>
        <v>656</v>
      </c>
    </row>
    <row r="100" spans="1:15" x14ac:dyDescent="0.25">
      <c r="A100" s="4" t="s">
        <v>199</v>
      </c>
      <c r="B100" s="4" t="s">
        <v>200</v>
      </c>
      <c r="C100" s="4">
        <v>79</v>
      </c>
      <c r="D100" s="4">
        <v>64</v>
      </c>
      <c r="E100" s="4">
        <v>85</v>
      </c>
      <c r="F100" s="4">
        <v>83</v>
      </c>
      <c r="G100" s="4">
        <v>38</v>
      </c>
      <c r="H100" s="4">
        <v>57</v>
      </c>
      <c r="I100" s="4">
        <v>97</v>
      </c>
      <c r="J100" s="4">
        <v>132</v>
      </c>
      <c r="K100" s="4"/>
      <c r="L100" s="4"/>
      <c r="M100" s="4"/>
      <c r="N100" s="4"/>
      <c r="O100" s="5">
        <f t="shared" si="3"/>
        <v>635</v>
      </c>
    </row>
    <row r="101" spans="1:15" x14ac:dyDescent="0.25">
      <c r="A101" s="4" t="s">
        <v>201</v>
      </c>
      <c r="B101" s="4" t="s">
        <v>202</v>
      </c>
      <c r="C101" s="4">
        <v>27</v>
      </c>
      <c r="D101" s="4">
        <v>82</v>
      </c>
      <c r="E101" s="4">
        <v>176</v>
      </c>
      <c r="F101" s="4">
        <v>47</v>
      </c>
      <c r="G101" s="4">
        <v>57</v>
      </c>
      <c r="H101" s="4">
        <v>53</v>
      </c>
      <c r="I101" s="4">
        <v>58</v>
      </c>
      <c r="J101" s="4">
        <v>99</v>
      </c>
      <c r="K101" s="4"/>
      <c r="L101" s="4"/>
      <c r="M101" s="4"/>
      <c r="N101" s="4"/>
      <c r="O101" s="5">
        <f t="shared" si="3"/>
        <v>599</v>
      </c>
    </row>
    <row r="102" spans="1:15" x14ac:dyDescent="0.25">
      <c r="A102" s="4" t="s">
        <v>203</v>
      </c>
      <c r="B102" s="4" t="s">
        <v>204</v>
      </c>
      <c r="C102" s="4">
        <v>78</v>
      </c>
      <c r="D102" s="4">
        <v>69</v>
      </c>
      <c r="E102" s="4">
        <v>91</v>
      </c>
      <c r="F102" s="4">
        <v>46</v>
      </c>
      <c r="G102" s="4">
        <v>58</v>
      </c>
      <c r="H102" s="4">
        <v>65</v>
      </c>
      <c r="I102" s="4">
        <v>51</v>
      </c>
      <c r="J102" s="4">
        <v>109</v>
      </c>
      <c r="K102" s="4"/>
      <c r="L102" s="4"/>
      <c r="M102" s="4"/>
      <c r="N102" s="4"/>
      <c r="O102" s="5">
        <f t="shared" si="3"/>
        <v>567</v>
      </c>
    </row>
    <row r="103" spans="1:15" x14ac:dyDescent="0.25">
      <c r="A103" s="4" t="s">
        <v>205</v>
      </c>
      <c r="B103" s="4" t="s">
        <v>206</v>
      </c>
      <c r="C103" s="4">
        <v>61</v>
      </c>
      <c r="D103" s="4">
        <v>47</v>
      </c>
      <c r="E103" s="4">
        <v>61</v>
      </c>
      <c r="F103" s="4">
        <v>71</v>
      </c>
      <c r="G103" s="4">
        <v>51</v>
      </c>
      <c r="H103" s="4">
        <v>41</v>
      </c>
      <c r="I103" s="4">
        <v>58</v>
      </c>
      <c r="J103" s="4">
        <v>175</v>
      </c>
      <c r="K103" s="4"/>
      <c r="L103" s="4"/>
      <c r="M103" s="4"/>
      <c r="N103" s="4"/>
      <c r="O103" s="5">
        <f t="shared" si="3"/>
        <v>565</v>
      </c>
    </row>
    <row r="104" spans="1:15" x14ac:dyDescent="0.25">
      <c r="A104" s="4" t="s">
        <v>207</v>
      </c>
      <c r="B104" s="4" t="s">
        <v>208</v>
      </c>
      <c r="C104" s="4">
        <v>62</v>
      </c>
      <c r="D104" s="4">
        <v>56</v>
      </c>
      <c r="E104" s="4">
        <v>70</v>
      </c>
      <c r="F104" s="4">
        <v>59</v>
      </c>
      <c r="G104" s="4">
        <v>73</v>
      </c>
      <c r="H104" s="4">
        <v>77</v>
      </c>
      <c r="I104" s="4">
        <v>65</v>
      </c>
      <c r="J104" s="4">
        <v>97</v>
      </c>
      <c r="K104" s="4"/>
      <c r="L104" s="4"/>
      <c r="M104" s="4"/>
      <c r="N104" s="4"/>
      <c r="O104" s="5">
        <f t="shared" si="3"/>
        <v>559</v>
      </c>
    </row>
    <row r="105" spans="1:15" x14ac:dyDescent="0.25">
      <c r="A105" s="4" t="s">
        <v>209</v>
      </c>
      <c r="B105" s="4" t="s">
        <v>210</v>
      </c>
      <c r="C105" s="4">
        <v>59</v>
      </c>
      <c r="D105" s="4">
        <v>26</v>
      </c>
      <c r="E105" s="4">
        <v>23</v>
      </c>
      <c r="F105" s="4">
        <v>24</v>
      </c>
      <c r="G105" s="4">
        <v>185</v>
      </c>
      <c r="H105" s="4">
        <v>107</v>
      </c>
      <c r="I105" s="4">
        <v>71</v>
      </c>
      <c r="J105" s="4">
        <v>58</v>
      </c>
      <c r="K105" s="4"/>
      <c r="L105" s="4"/>
      <c r="M105" s="4"/>
      <c r="N105" s="4"/>
      <c r="O105" s="5">
        <f t="shared" si="3"/>
        <v>553</v>
      </c>
    </row>
    <row r="106" spans="1:15" x14ac:dyDescent="0.25">
      <c r="A106" s="4" t="s">
        <v>211</v>
      </c>
      <c r="B106" s="4" t="s">
        <v>212</v>
      </c>
      <c r="C106" s="4">
        <v>69</v>
      </c>
      <c r="D106" s="4">
        <v>31</v>
      </c>
      <c r="E106" s="4">
        <v>67</v>
      </c>
      <c r="F106" s="4">
        <v>43</v>
      </c>
      <c r="G106" s="4">
        <v>39</v>
      </c>
      <c r="H106" s="4">
        <v>6</v>
      </c>
      <c r="I106" s="4">
        <v>96</v>
      </c>
      <c r="J106" s="4">
        <v>193</v>
      </c>
      <c r="K106" s="4"/>
      <c r="L106" s="4"/>
      <c r="M106" s="4"/>
      <c r="N106" s="4"/>
      <c r="O106" s="5">
        <f t="shared" si="3"/>
        <v>544</v>
      </c>
    </row>
    <row r="107" spans="1:15" x14ac:dyDescent="0.25">
      <c r="A107" s="4" t="s">
        <v>213</v>
      </c>
      <c r="B107" s="4" t="s">
        <v>214</v>
      </c>
      <c r="C107" s="4">
        <v>108</v>
      </c>
      <c r="D107" s="4">
        <v>81</v>
      </c>
      <c r="E107" s="4">
        <v>36</v>
      </c>
      <c r="F107" s="4">
        <v>31</v>
      </c>
      <c r="G107" s="4">
        <v>41</v>
      </c>
      <c r="H107" s="4">
        <v>9</v>
      </c>
      <c r="I107" s="4">
        <v>93</v>
      </c>
      <c r="J107" s="4">
        <v>117</v>
      </c>
      <c r="K107" s="4"/>
      <c r="L107" s="4"/>
      <c r="M107" s="4"/>
      <c r="N107" s="4"/>
      <c r="O107" s="5">
        <f t="shared" si="3"/>
        <v>516</v>
      </c>
    </row>
    <row r="108" spans="1:15" x14ac:dyDescent="0.25">
      <c r="A108" s="4" t="s">
        <v>215</v>
      </c>
      <c r="B108" s="4" t="s">
        <v>216</v>
      </c>
      <c r="C108" s="4">
        <v>49</v>
      </c>
      <c r="D108" s="4">
        <v>19</v>
      </c>
      <c r="E108" s="4">
        <v>88</v>
      </c>
      <c r="F108" s="4">
        <v>79</v>
      </c>
      <c r="G108" s="4">
        <v>89</v>
      </c>
      <c r="H108" s="4">
        <v>50</v>
      </c>
      <c r="I108" s="4">
        <v>58</v>
      </c>
      <c r="J108" s="4">
        <v>65</v>
      </c>
      <c r="K108" s="4"/>
      <c r="L108" s="4"/>
      <c r="M108" s="4"/>
      <c r="N108" s="4"/>
      <c r="O108" s="5">
        <f t="shared" si="3"/>
        <v>497</v>
      </c>
    </row>
    <row r="109" spans="1:15" x14ac:dyDescent="0.25">
      <c r="A109" s="4" t="s">
        <v>217</v>
      </c>
      <c r="B109" s="4" t="s">
        <v>218</v>
      </c>
      <c r="C109" s="4">
        <v>74</v>
      </c>
      <c r="D109" s="4">
        <v>72</v>
      </c>
      <c r="E109" s="4">
        <v>81</v>
      </c>
      <c r="F109" s="4">
        <v>57</v>
      </c>
      <c r="G109" s="4">
        <v>56</v>
      </c>
      <c r="H109" s="4">
        <v>10</v>
      </c>
      <c r="I109" s="4">
        <v>53</v>
      </c>
      <c r="J109" s="4">
        <v>81</v>
      </c>
      <c r="K109" s="4"/>
      <c r="L109" s="4"/>
      <c r="M109" s="4"/>
      <c r="N109" s="4"/>
      <c r="O109" s="5">
        <f t="shared" ref="O109:O131" si="4">C109+D109+E109+F109+G109+H109+I109+J109+K109+L109+M109+N109</f>
        <v>484</v>
      </c>
    </row>
    <row r="110" spans="1:15" x14ac:dyDescent="0.25">
      <c r="A110" s="4" t="s">
        <v>219</v>
      </c>
      <c r="B110" s="4" t="s">
        <v>220</v>
      </c>
      <c r="C110" s="4"/>
      <c r="D110" s="4"/>
      <c r="E110" s="4"/>
      <c r="F110" s="4"/>
      <c r="G110" s="4">
        <v>10</v>
      </c>
      <c r="H110" s="4">
        <v>7</v>
      </c>
      <c r="I110" s="4">
        <v>80</v>
      </c>
      <c r="J110" s="4">
        <v>371</v>
      </c>
      <c r="K110" s="4"/>
      <c r="L110" s="4"/>
      <c r="M110" s="4"/>
      <c r="N110" s="4"/>
      <c r="O110" s="5">
        <f t="shared" si="4"/>
        <v>468</v>
      </c>
    </row>
    <row r="111" spans="1:15" x14ac:dyDescent="0.25">
      <c r="A111" s="4" t="s">
        <v>221</v>
      </c>
      <c r="B111" s="4" t="s">
        <v>222</v>
      </c>
      <c r="C111" s="4">
        <v>67</v>
      </c>
      <c r="D111" s="4">
        <v>21</v>
      </c>
      <c r="E111" s="4">
        <v>103</v>
      </c>
      <c r="F111" s="4">
        <v>78</v>
      </c>
      <c r="G111" s="4">
        <v>56</v>
      </c>
      <c r="H111" s="4">
        <v>55</v>
      </c>
      <c r="I111" s="4">
        <v>44</v>
      </c>
      <c r="J111" s="4">
        <v>26</v>
      </c>
      <c r="K111" s="4"/>
      <c r="L111" s="4"/>
      <c r="M111" s="4"/>
      <c r="N111" s="4"/>
      <c r="O111" s="5">
        <f t="shared" si="4"/>
        <v>450</v>
      </c>
    </row>
    <row r="112" spans="1:15" x14ac:dyDescent="0.25">
      <c r="A112" s="4" t="s">
        <v>223</v>
      </c>
      <c r="B112" s="4" t="s">
        <v>224</v>
      </c>
      <c r="C112" s="4">
        <v>119</v>
      </c>
      <c r="D112" s="4">
        <v>53</v>
      </c>
      <c r="E112" s="4">
        <v>63</v>
      </c>
      <c r="F112" s="4">
        <v>27</v>
      </c>
      <c r="G112" s="4">
        <v>34</v>
      </c>
      <c r="H112" s="4">
        <v>20</v>
      </c>
      <c r="I112" s="4">
        <v>44</v>
      </c>
      <c r="J112" s="4">
        <v>74</v>
      </c>
      <c r="K112" s="4"/>
      <c r="L112" s="4"/>
      <c r="M112" s="4"/>
      <c r="N112" s="4"/>
      <c r="O112" s="5">
        <f t="shared" si="4"/>
        <v>434</v>
      </c>
    </row>
    <row r="113" spans="1:15" x14ac:dyDescent="0.25">
      <c r="A113" s="4" t="s">
        <v>225</v>
      </c>
      <c r="B113" s="4" t="s">
        <v>226</v>
      </c>
      <c r="C113" s="4">
        <v>46</v>
      </c>
      <c r="D113" s="4">
        <v>30</v>
      </c>
      <c r="E113" s="4">
        <v>41</v>
      </c>
      <c r="F113" s="4">
        <v>41</v>
      </c>
      <c r="G113" s="4">
        <v>58</v>
      </c>
      <c r="H113" s="4">
        <v>106</v>
      </c>
      <c r="I113" s="4">
        <v>71</v>
      </c>
      <c r="J113" s="4">
        <v>33</v>
      </c>
      <c r="K113" s="4"/>
      <c r="L113" s="4"/>
      <c r="M113" s="4"/>
      <c r="N113" s="4"/>
      <c r="O113" s="5">
        <f t="shared" si="4"/>
        <v>426</v>
      </c>
    </row>
    <row r="114" spans="1:15" x14ac:dyDescent="0.25">
      <c r="A114" s="4" t="s">
        <v>227</v>
      </c>
      <c r="B114" s="4" t="s">
        <v>228</v>
      </c>
      <c r="C114" s="4">
        <v>8</v>
      </c>
      <c r="D114" s="4">
        <v>49</v>
      </c>
      <c r="E114" s="4">
        <v>79</v>
      </c>
      <c r="F114" s="4">
        <v>35</v>
      </c>
      <c r="G114" s="4">
        <v>55</v>
      </c>
      <c r="H114" s="4">
        <v>67</v>
      </c>
      <c r="I114" s="4">
        <v>66</v>
      </c>
      <c r="J114" s="4">
        <v>62</v>
      </c>
      <c r="K114" s="4"/>
      <c r="L114" s="4"/>
      <c r="M114" s="4"/>
      <c r="N114" s="4"/>
      <c r="O114" s="5">
        <f t="shared" si="4"/>
        <v>421</v>
      </c>
    </row>
    <row r="115" spans="1:15" x14ac:dyDescent="0.25">
      <c r="A115" s="4" t="s">
        <v>229</v>
      </c>
      <c r="B115" s="4" t="s">
        <v>230</v>
      </c>
      <c r="C115" s="4">
        <v>85</v>
      </c>
      <c r="D115" s="4">
        <v>69</v>
      </c>
      <c r="E115" s="4">
        <v>139</v>
      </c>
      <c r="F115" s="4">
        <v>53</v>
      </c>
      <c r="G115" s="4">
        <v>42</v>
      </c>
      <c r="H115" s="4">
        <v>16</v>
      </c>
      <c r="I115" s="4">
        <v>8</v>
      </c>
      <c r="J115" s="4">
        <v>9</v>
      </c>
      <c r="K115" s="4"/>
      <c r="L115" s="4"/>
      <c r="M115" s="4"/>
      <c r="N115" s="4"/>
      <c r="O115" s="5">
        <f t="shared" si="4"/>
        <v>421</v>
      </c>
    </row>
    <row r="116" spans="1:15" x14ac:dyDescent="0.25">
      <c r="A116" s="4" t="s">
        <v>231</v>
      </c>
      <c r="B116" s="4" t="s">
        <v>232</v>
      </c>
      <c r="C116" s="4">
        <v>42</v>
      </c>
      <c r="D116" s="4">
        <v>157</v>
      </c>
      <c r="E116" s="4">
        <v>76</v>
      </c>
      <c r="F116" s="4">
        <v>33</v>
      </c>
      <c r="G116" s="4">
        <v>7</v>
      </c>
      <c r="H116" s="4">
        <v>5</v>
      </c>
      <c r="I116" s="4">
        <v>4</v>
      </c>
      <c r="J116" s="4">
        <v>66</v>
      </c>
      <c r="K116" s="4"/>
      <c r="L116" s="4"/>
      <c r="M116" s="4"/>
      <c r="N116" s="4"/>
      <c r="O116" s="5">
        <f t="shared" si="4"/>
        <v>390</v>
      </c>
    </row>
    <row r="117" spans="1:15" x14ac:dyDescent="0.25">
      <c r="A117" s="4" t="s">
        <v>233</v>
      </c>
      <c r="B117" s="4" t="s">
        <v>234</v>
      </c>
      <c r="C117" s="4">
        <v>74</v>
      </c>
      <c r="D117" s="4">
        <v>61</v>
      </c>
      <c r="E117" s="4">
        <v>80</v>
      </c>
      <c r="F117" s="4">
        <v>23</v>
      </c>
      <c r="G117" s="4">
        <v>24</v>
      </c>
      <c r="H117" s="4">
        <v>22</v>
      </c>
      <c r="I117" s="4">
        <v>67</v>
      </c>
      <c r="J117" s="4">
        <v>33</v>
      </c>
      <c r="K117" s="4"/>
      <c r="L117" s="4"/>
      <c r="M117" s="4"/>
      <c r="N117" s="4"/>
      <c r="O117" s="5">
        <f t="shared" si="4"/>
        <v>384</v>
      </c>
    </row>
    <row r="118" spans="1:15" x14ac:dyDescent="0.25">
      <c r="A118" s="4" t="s">
        <v>235</v>
      </c>
      <c r="B118" s="4" t="s">
        <v>236</v>
      </c>
      <c r="C118" s="4">
        <v>30</v>
      </c>
      <c r="D118" s="4">
        <v>59</v>
      </c>
      <c r="E118" s="4">
        <v>27</v>
      </c>
      <c r="F118" s="4">
        <v>53</v>
      </c>
      <c r="G118" s="4">
        <v>73</v>
      </c>
      <c r="H118" s="4">
        <v>48</v>
      </c>
      <c r="I118" s="4">
        <v>44</v>
      </c>
      <c r="J118" s="4">
        <v>46</v>
      </c>
      <c r="K118" s="4"/>
      <c r="L118" s="4"/>
      <c r="M118" s="4"/>
      <c r="N118" s="4"/>
      <c r="O118" s="5">
        <f t="shared" si="4"/>
        <v>380</v>
      </c>
    </row>
    <row r="119" spans="1:15" x14ac:dyDescent="0.25">
      <c r="A119" s="4" t="s">
        <v>237</v>
      </c>
      <c r="B119" s="4" t="s">
        <v>238</v>
      </c>
      <c r="C119" s="4">
        <v>9</v>
      </c>
      <c r="D119" s="4">
        <v>17</v>
      </c>
      <c r="E119" s="4">
        <v>113</v>
      </c>
      <c r="F119" s="4">
        <v>31</v>
      </c>
      <c r="G119" s="4">
        <v>53</v>
      </c>
      <c r="H119" s="4">
        <v>42</v>
      </c>
      <c r="I119" s="4">
        <v>55</v>
      </c>
      <c r="J119" s="4">
        <v>52</v>
      </c>
      <c r="K119" s="4"/>
      <c r="L119" s="4"/>
      <c r="M119" s="4"/>
      <c r="N119" s="4"/>
      <c r="O119" s="5">
        <f t="shared" si="4"/>
        <v>372</v>
      </c>
    </row>
    <row r="120" spans="1:15" x14ac:dyDescent="0.25">
      <c r="A120" s="4" t="s">
        <v>239</v>
      </c>
      <c r="B120" s="4" t="s">
        <v>240</v>
      </c>
      <c r="C120" s="4">
        <v>46</v>
      </c>
      <c r="D120" s="4">
        <v>47</v>
      </c>
      <c r="E120" s="4">
        <v>48</v>
      </c>
      <c r="F120" s="4">
        <v>25</v>
      </c>
      <c r="G120" s="4">
        <v>32</v>
      </c>
      <c r="H120" s="4">
        <v>43</v>
      </c>
      <c r="I120" s="4">
        <v>52</v>
      </c>
      <c r="J120" s="4">
        <v>47</v>
      </c>
      <c r="K120" s="4"/>
      <c r="L120" s="4"/>
      <c r="M120" s="4"/>
      <c r="N120" s="4"/>
      <c r="O120" s="5">
        <f t="shared" si="4"/>
        <v>340</v>
      </c>
    </row>
    <row r="121" spans="1:15" x14ac:dyDescent="0.25">
      <c r="A121" s="4" t="s">
        <v>243</v>
      </c>
      <c r="B121" s="4" t="s">
        <v>242</v>
      </c>
      <c r="C121" s="4">
        <v>43</v>
      </c>
      <c r="D121" s="4">
        <v>51</v>
      </c>
      <c r="E121" s="4">
        <v>42</v>
      </c>
      <c r="F121" s="4">
        <v>42</v>
      </c>
      <c r="G121" s="4">
        <v>40</v>
      </c>
      <c r="H121" s="4">
        <v>40</v>
      </c>
      <c r="I121" s="4">
        <v>39</v>
      </c>
      <c r="J121" s="4">
        <v>42</v>
      </c>
      <c r="K121" s="4"/>
      <c r="L121" s="4"/>
      <c r="M121" s="4"/>
      <c r="N121" s="4"/>
      <c r="O121" s="5">
        <f t="shared" si="4"/>
        <v>339</v>
      </c>
    </row>
    <row r="122" spans="1:15" x14ac:dyDescent="0.25">
      <c r="A122" s="4" t="s">
        <v>241</v>
      </c>
      <c r="B122" s="4" t="s">
        <v>244</v>
      </c>
      <c r="C122" s="4"/>
      <c r="D122" s="4"/>
      <c r="E122" s="4"/>
      <c r="F122" s="4">
        <v>25</v>
      </c>
      <c r="G122" s="4"/>
      <c r="H122" s="4"/>
      <c r="I122" s="4">
        <v>203</v>
      </c>
      <c r="J122" s="4">
        <v>111</v>
      </c>
      <c r="K122" s="4"/>
      <c r="L122" s="4"/>
      <c r="M122" s="4"/>
      <c r="N122" s="4"/>
      <c r="O122" s="5">
        <f t="shared" si="4"/>
        <v>339</v>
      </c>
    </row>
    <row r="123" spans="1:15" x14ac:dyDescent="0.25">
      <c r="A123" s="4" t="s">
        <v>245</v>
      </c>
      <c r="B123" s="4" t="s">
        <v>246</v>
      </c>
      <c r="C123" s="4">
        <v>30</v>
      </c>
      <c r="D123" s="4">
        <v>27</v>
      </c>
      <c r="E123" s="4">
        <v>66</v>
      </c>
      <c r="F123" s="4">
        <v>34</v>
      </c>
      <c r="G123" s="4">
        <v>33</v>
      </c>
      <c r="H123" s="4">
        <v>49</v>
      </c>
      <c r="I123" s="4">
        <v>41</v>
      </c>
      <c r="J123" s="4">
        <v>37</v>
      </c>
      <c r="K123" s="4"/>
      <c r="L123" s="4"/>
      <c r="M123" s="4"/>
      <c r="N123" s="4"/>
      <c r="O123" s="5">
        <f t="shared" si="4"/>
        <v>317</v>
      </c>
    </row>
    <row r="124" spans="1:15" x14ac:dyDescent="0.25">
      <c r="A124" s="4" t="s">
        <v>247</v>
      </c>
      <c r="B124" s="4" t="s">
        <v>248</v>
      </c>
      <c r="C124" s="4">
        <v>1</v>
      </c>
      <c r="D124" s="4">
        <v>8</v>
      </c>
      <c r="E124" s="4">
        <v>3</v>
      </c>
      <c r="F124" s="4">
        <v>2</v>
      </c>
      <c r="G124" s="4"/>
      <c r="H124" s="4">
        <v>6</v>
      </c>
      <c r="I124" s="4">
        <v>143</v>
      </c>
      <c r="J124" s="4">
        <v>153</v>
      </c>
      <c r="K124" s="4"/>
      <c r="L124" s="4"/>
      <c r="M124" s="4"/>
      <c r="N124" s="4"/>
      <c r="O124" s="5">
        <f t="shared" si="4"/>
        <v>316</v>
      </c>
    </row>
    <row r="125" spans="1:15" x14ac:dyDescent="0.25">
      <c r="A125" s="4" t="s">
        <v>249</v>
      </c>
      <c r="B125" s="4" t="s">
        <v>250</v>
      </c>
      <c r="C125" s="4">
        <v>10</v>
      </c>
      <c r="D125" s="4">
        <v>8</v>
      </c>
      <c r="E125" s="4">
        <v>3</v>
      </c>
      <c r="F125" s="4">
        <v>28</v>
      </c>
      <c r="G125" s="4">
        <v>83</v>
      </c>
      <c r="H125" s="4">
        <v>17</v>
      </c>
      <c r="I125" s="4">
        <v>56</v>
      </c>
      <c r="J125" s="4">
        <v>107</v>
      </c>
      <c r="K125" s="4"/>
      <c r="L125" s="4"/>
      <c r="M125" s="4"/>
      <c r="N125" s="4"/>
      <c r="O125" s="5">
        <f t="shared" si="4"/>
        <v>312</v>
      </c>
    </row>
    <row r="126" spans="1:15" x14ac:dyDescent="0.25">
      <c r="A126" s="4" t="s">
        <v>251</v>
      </c>
      <c r="B126" s="4" t="s">
        <v>252</v>
      </c>
      <c r="C126" s="4">
        <v>43</v>
      </c>
      <c r="D126" s="4">
        <v>58</v>
      </c>
      <c r="E126" s="4">
        <v>71</v>
      </c>
      <c r="F126" s="4">
        <v>27</v>
      </c>
      <c r="G126" s="4">
        <v>24</v>
      </c>
      <c r="H126" s="4">
        <v>27</v>
      </c>
      <c r="I126" s="4">
        <v>20</v>
      </c>
      <c r="J126" s="4">
        <v>22</v>
      </c>
      <c r="K126" s="4"/>
      <c r="L126" s="4"/>
      <c r="M126" s="4"/>
      <c r="N126" s="4"/>
      <c r="O126" s="5">
        <f t="shared" si="4"/>
        <v>292</v>
      </c>
    </row>
    <row r="127" spans="1:15" x14ac:dyDescent="0.25">
      <c r="A127" s="4" t="s">
        <v>253</v>
      </c>
      <c r="B127" s="4" t="s">
        <v>254</v>
      </c>
      <c r="C127" s="4">
        <v>23</v>
      </c>
      <c r="D127" s="4">
        <v>29</v>
      </c>
      <c r="E127" s="4">
        <v>39</v>
      </c>
      <c r="F127" s="4">
        <v>34</v>
      </c>
      <c r="G127" s="4">
        <v>63</v>
      </c>
      <c r="H127" s="4">
        <v>33</v>
      </c>
      <c r="I127" s="4">
        <v>39</v>
      </c>
      <c r="J127" s="4">
        <v>32</v>
      </c>
      <c r="K127" s="4"/>
      <c r="L127" s="4"/>
      <c r="M127" s="4"/>
      <c r="N127" s="4"/>
      <c r="O127" s="5">
        <f t="shared" si="4"/>
        <v>292</v>
      </c>
    </row>
    <row r="128" spans="1:15" x14ac:dyDescent="0.25">
      <c r="A128" s="4" t="s">
        <v>255</v>
      </c>
      <c r="B128" s="4" t="s">
        <v>256</v>
      </c>
      <c r="C128" s="4">
        <v>25</v>
      </c>
      <c r="D128" s="4">
        <v>20</v>
      </c>
      <c r="E128" s="4">
        <v>40</v>
      </c>
      <c r="F128" s="4">
        <v>41</v>
      </c>
      <c r="G128" s="4">
        <v>45</v>
      </c>
      <c r="H128" s="4">
        <v>34</v>
      </c>
      <c r="I128" s="4">
        <v>33</v>
      </c>
      <c r="J128" s="4">
        <v>33</v>
      </c>
      <c r="K128" s="4"/>
      <c r="L128" s="4"/>
      <c r="M128" s="4"/>
      <c r="N128" s="4"/>
      <c r="O128" s="5">
        <f t="shared" si="4"/>
        <v>271</v>
      </c>
    </row>
    <row r="129" spans="1:15" x14ac:dyDescent="0.25">
      <c r="A129" s="4" t="s">
        <v>257</v>
      </c>
      <c r="B129" s="4" t="s">
        <v>258</v>
      </c>
      <c r="C129" s="4">
        <v>26</v>
      </c>
      <c r="D129" s="4">
        <v>36</v>
      </c>
      <c r="E129" s="4">
        <v>39</v>
      </c>
      <c r="F129" s="4">
        <v>44</v>
      </c>
      <c r="G129" s="4">
        <v>39</v>
      </c>
      <c r="H129" s="4">
        <v>34</v>
      </c>
      <c r="I129" s="4">
        <v>25</v>
      </c>
      <c r="J129" s="4">
        <v>27</v>
      </c>
      <c r="K129" s="4"/>
      <c r="L129" s="4"/>
      <c r="M129" s="4"/>
      <c r="N129" s="4"/>
      <c r="O129" s="5">
        <f t="shared" si="4"/>
        <v>270</v>
      </c>
    </row>
    <row r="130" spans="1:15" x14ac:dyDescent="0.25">
      <c r="A130" s="4" t="s">
        <v>259</v>
      </c>
      <c r="B130" s="4" t="s">
        <v>260</v>
      </c>
      <c r="C130" s="4">
        <v>31</v>
      </c>
      <c r="D130" s="4">
        <v>27</v>
      </c>
      <c r="E130" s="4">
        <v>42</v>
      </c>
      <c r="F130" s="4">
        <v>30</v>
      </c>
      <c r="G130" s="4">
        <v>29</v>
      </c>
      <c r="H130" s="4">
        <v>16</v>
      </c>
      <c r="I130" s="4">
        <v>40</v>
      </c>
      <c r="J130" s="4">
        <v>51</v>
      </c>
      <c r="K130" s="4"/>
      <c r="L130" s="4"/>
      <c r="M130" s="4"/>
      <c r="N130" s="4"/>
      <c r="O130" s="5">
        <f t="shared" si="4"/>
        <v>266</v>
      </c>
    </row>
    <row r="131" spans="1:15" x14ac:dyDescent="0.25">
      <c r="A131" s="4" t="s">
        <v>261</v>
      </c>
      <c r="B131" s="4" t="s">
        <v>262</v>
      </c>
      <c r="C131" s="4">
        <v>20</v>
      </c>
      <c r="D131" s="4">
        <v>12</v>
      </c>
      <c r="E131" s="4">
        <v>44</v>
      </c>
      <c r="F131" s="4">
        <v>41</v>
      </c>
      <c r="G131" s="4">
        <v>31</v>
      </c>
      <c r="H131" s="4">
        <v>27</v>
      </c>
      <c r="I131" s="4">
        <v>33</v>
      </c>
      <c r="J131" s="4">
        <v>47</v>
      </c>
      <c r="K131" s="4"/>
      <c r="L131" s="4"/>
      <c r="M131" s="4"/>
      <c r="N131" s="4"/>
      <c r="O131" s="5">
        <f t="shared" si="4"/>
        <v>255</v>
      </c>
    </row>
    <row r="132" spans="1:15" x14ac:dyDescent="0.25">
      <c r="A132" s="4" t="s">
        <v>263</v>
      </c>
      <c r="B132" s="4" t="s">
        <v>264</v>
      </c>
      <c r="C132" s="4">
        <v>28</v>
      </c>
      <c r="D132" s="4">
        <v>29</v>
      </c>
      <c r="E132" s="4">
        <v>73</v>
      </c>
      <c r="F132" s="4">
        <v>24</v>
      </c>
      <c r="G132" s="4">
        <v>36</v>
      </c>
      <c r="H132" s="4">
        <v>31</v>
      </c>
      <c r="I132" s="4">
        <v>22</v>
      </c>
      <c r="J132" s="4">
        <v>9</v>
      </c>
      <c r="K132" s="4"/>
      <c r="L132" s="4"/>
      <c r="M132" s="4"/>
      <c r="N132" s="4"/>
      <c r="O132" s="4">
        <v>252</v>
      </c>
    </row>
    <row r="133" spans="1:15" x14ac:dyDescent="0.25">
      <c r="A133" s="4" t="s">
        <v>265</v>
      </c>
      <c r="B133" s="4" t="s">
        <v>266</v>
      </c>
      <c r="C133" s="4">
        <v>23</v>
      </c>
      <c r="D133" s="4">
        <v>16</v>
      </c>
      <c r="E133" s="4">
        <v>46</v>
      </c>
      <c r="F133" s="4">
        <v>28</v>
      </c>
      <c r="G133" s="4">
        <v>29</v>
      </c>
      <c r="H133" s="4">
        <v>35</v>
      </c>
      <c r="I133" s="4">
        <v>40</v>
      </c>
      <c r="J133" s="4">
        <v>35</v>
      </c>
      <c r="K133" s="4"/>
      <c r="L133" s="4"/>
      <c r="M133" s="4"/>
      <c r="N133" s="4"/>
      <c r="O133" s="4">
        <v>252</v>
      </c>
    </row>
    <row r="134" spans="1:15" x14ac:dyDescent="0.25">
      <c r="A134" s="4" t="s">
        <v>267</v>
      </c>
      <c r="B134" s="4" t="s">
        <v>268</v>
      </c>
      <c r="C134" s="4">
        <v>32</v>
      </c>
      <c r="D134" s="4">
        <v>26</v>
      </c>
      <c r="E134" s="4">
        <v>20</v>
      </c>
      <c r="F134" s="4">
        <v>20</v>
      </c>
      <c r="G134" s="4">
        <v>36</v>
      </c>
      <c r="H134" s="4">
        <v>42</v>
      </c>
      <c r="I134" s="4">
        <v>48</v>
      </c>
      <c r="J134" s="4">
        <v>21</v>
      </c>
      <c r="K134" s="4"/>
      <c r="L134" s="4"/>
      <c r="M134" s="4"/>
      <c r="N134" s="4"/>
      <c r="O134" s="4">
        <v>245</v>
      </c>
    </row>
    <row r="135" spans="1:15" x14ac:dyDescent="0.25">
      <c r="A135" s="4" t="s">
        <v>269</v>
      </c>
      <c r="B135" s="4" t="s">
        <v>270</v>
      </c>
      <c r="C135" s="4">
        <v>34</v>
      </c>
      <c r="D135" s="4">
        <v>8</v>
      </c>
      <c r="E135" s="4">
        <v>31</v>
      </c>
      <c r="F135" s="4">
        <v>30</v>
      </c>
      <c r="G135" s="4">
        <v>41</v>
      </c>
      <c r="H135" s="4">
        <v>27</v>
      </c>
      <c r="I135" s="4">
        <v>32</v>
      </c>
      <c r="J135" s="4">
        <v>35</v>
      </c>
      <c r="K135" s="4"/>
      <c r="L135" s="4"/>
      <c r="M135" s="4"/>
      <c r="N135" s="4"/>
      <c r="O135" s="4">
        <v>238</v>
      </c>
    </row>
    <row r="136" spans="1:15" x14ac:dyDescent="0.25">
      <c r="A136" s="4" t="s">
        <v>271</v>
      </c>
      <c r="B136" s="4" t="s">
        <v>272</v>
      </c>
      <c r="C136" s="4">
        <v>35</v>
      </c>
      <c r="D136" s="4">
        <v>42</v>
      </c>
      <c r="E136" s="4">
        <v>47</v>
      </c>
      <c r="F136" s="4">
        <v>20</v>
      </c>
      <c r="G136" s="4">
        <v>15</v>
      </c>
      <c r="H136" s="4">
        <v>22</v>
      </c>
      <c r="I136" s="4">
        <v>12</v>
      </c>
      <c r="J136" s="4">
        <v>29</v>
      </c>
      <c r="K136" s="4"/>
      <c r="L136" s="4"/>
      <c r="M136" s="4"/>
      <c r="N136" s="4"/>
      <c r="O136" s="4">
        <v>222</v>
      </c>
    </row>
    <row r="137" spans="1:15" x14ac:dyDescent="0.25">
      <c r="A137" s="4" t="s">
        <v>273</v>
      </c>
      <c r="B137" s="4" t="s">
        <v>274</v>
      </c>
      <c r="C137" s="4">
        <v>33</v>
      </c>
      <c r="D137" s="4">
        <v>31</v>
      </c>
      <c r="E137" s="4">
        <v>47</v>
      </c>
      <c r="F137" s="4">
        <v>20</v>
      </c>
      <c r="G137" s="4">
        <v>18</v>
      </c>
      <c r="H137" s="4">
        <v>19</v>
      </c>
      <c r="I137" s="4">
        <v>18</v>
      </c>
      <c r="J137" s="4">
        <v>24</v>
      </c>
      <c r="K137" s="4"/>
      <c r="L137" s="4"/>
      <c r="M137" s="4"/>
      <c r="N137" s="4"/>
      <c r="O137" s="4">
        <v>210</v>
      </c>
    </row>
    <row r="138" spans="1:15" x14ac:dyDescent="0.25">
      <c r="A138" s="4" t="s">
        <v>275</v>
      </c>
      <c r="B138" s="4" t="s">
        <v>276</v>
      </c>
      <c r="C138" s="4">
        <v>20</v>
      </c>
      <c r="D138" s="4">
        <v>26</v>
      </c>
      <c r="E138" s="4">
        <v>24</v>
      </c>
      <c r="F138" s="4">
        <v>25</v>
      </c>
      <c r="G138" s="4">
        <v>23</v>
      </c>
      <c r="H138" s="4">
        <v>26</v>
      </c>
      <c r="I138" s="4">
        <v>23</v>
      </c>
      <c r="J138" s="4">
        <v>39</v>
      </c>
      <c r="K138" s="4"/>
      <c r="L138" s="4"/>
      <c r="M138" s="4"/>
      <c r="N138" s="4"/>
      <c r="O138" s="4">
        <v>206</v>
      </c>
    </row>
    <row r="139" spans="1:15" x14ac:dyDescent="0.25">
      <c r="A139" s="4" t="s">
        <v>277</v>
      </c>
      <c r="B139" s="4" t="s">
        <v>278</v>
      </c>
      <c r="C139" s="4"/>
      <c r="D139" s="4"/>
      <c r="E139" s="4"/>
      <c r="F139" s="4"/>
      <c r="G139" s="4"/>
      <c r="H139" s="4">
        <v>13</v>
      </c>
      <c r="I139" s="4">
        <v>15</v>
      </c>
      <c r="J139" s="4">
        <v>175</v>
      </c>
      <c r="K139" s="4"/>
      <c r="L139" s="4"/>
      <c r="M139" s="4"/>
      <c r="N139" s="4"/>
      <c r="O139" s="4">
        <v>203</v>
      </c>
    </row>
    <row r="140" spans="1:15" x14ac:dyDescent="0.25">
      <c r="A140" s="4" t="s">
        <v>279</v>
      </c>
      <c r="B140" s="4" t="s">
        <v>280</v>
      </c>
      <c r="C140" s="4">
        <v>24</v>
      </c>
      <c r="D140" s="4">
        <v>21</v>
      </c>
      <c r="E140" s="4">
        <v>37</v>
      </c>
      <c r="F140" s="4">
        <v>19</v>
      </c>
      <c r="G140" s="4">
        <v>17</v>
      </c>
      <c r="H140" s="4">
        <v>19</v>
      </c>
      <c r="I140" s="4">
        <v>23</v>
      </c>
      <c r="J140" s="4">
        <v>22</v>
      </c>
      <c r="K140" s="4"/>
      <c r="L140" s="4"/>
      <c r="M140" s="4"/>
      <c r="N140" s="4"/>
      <c r="O140" s="4">
        <v>182</v>
      </c>
    </row>
    <row r="141" spans="1:15" x14ac:dyDescent="0.25">
      <c r="A141" s="4" t="s">
        <v>281</v>
      </c>
      <c r="B141" s="4" t="s">
        <v>282</v>
      </c>
      <c r="C141" s="4">
        <v>80</v>
      </c>
      <c r="D141" s="4">
        <v>6</v>
      </c>
      <c r="E141" s="4">
        <v>8</v>
      </c>
      <c r="F141" s="4">
        <v>5</v>
      </c>
      <c r="G141" s="4">
        <v>6</v>
      </c>
      <c r="H141" s="4">
        <v>56</v>
      </c>
      <c r="I141" s="4">
        <v>7</v>
      </c>
      <c r="J141" s="4"/>
      <c r="K141" s="4"/>
      <c r="L141" s="4"/>
      <c r="M141" s="4"/>
      <c r="N141" s="4"/>
      <c r="O141" s="4">
        <v>168</v>
      </c>
    </row>
    <row r="142" spans="1:15" x14ac:dyDescent="0.25">
      <c r="A142" s="4" t="s">
        <v>283</v>
      </c>
      <c r="B142" s="4" t="s">
        <v>284</v>
      </c>
      <c r="C142" s="4">
        <v>11</v>
      </c>
      <c r="D142" s="4">
        <v>13</v>
      </c>
      <c r="E142" s="4">
        <v>23</v>
      </c>
      <c r="F142" s="4">
        <v>33</v>
      </c>
      <c r="G142" s="4">
        <v>23</v>
      </c>
      <c r="H142" s="4">
        <v>17</v>
      </c>
      <c r="I142" s="4"/>
      <c r="J142" s="4">
        <v>37</v>
      </c>
      <c r="K142" s="4"/>
      <c r="L142" s="4"/>
      <c r="M142" s="4"/>
      <c r="N142" s="4"/>
      <c r="O142" s="4">
        <v>157</v>
      </c>
    </row>
    <row r="143" spans="1:15" x14ac:dyDescent="0.25">
      <c r="A143" s="4" t="s">
        <v>285</v>
      </c>
      <c r="B143" s="4" t="s">
        <v>286</v>
      </c>
      <c r="C143" s="4">
        <v>2</v>
      </c>
      <c r="D143" s="4"/>
      <c r="E143" s="4">
        <v>21</v>
      </c>
      <c r="F143" s="4">
        <v>45</v>
      </c>
      <c r="G143" s="4">
        <v>32</v>
      </c>
      <c r="H143" s="4">
        <v>13</v>
      </c>
      <c r="I143" s="4">
        <v>14</v>
      </c>
      <c r="J143" s="4">
        <v>30</v>
      </c>
      <c r="K143" s="4"/>
      <c r="L143" s="4"/>
      <c r="M143" s="4"/>
      <c r="N143" s="4"/>
      <c r="O143" s="4">
        <v>157</v>
      </c>
    </row>
    <row r="144" spans="1:15" x14ac:dyDescent="0.25">
      <c r="A144" s="4" t="s">
        <v>287</v>
      </c>
      <c r="B144" s="4" t="s">
        <v>288</v>
      </c>
      <c r="C144" s="4">
        <v>29</v>
      </c>
      <c r="D144" s="4">
        <v>20</v>
      </c>
      <c r="E144" s="4">
        <v>27</v>
      </c>
      <c r="F144" s="4">
        <v>15</v>
      </c>
      <c r="G144" s="4">
        <v>12</v>
      </c>
      <c r="H144" s="4">
        <v>22</v>
      </c>
      <c r="I144" s="4">
        <v>14</v>
      </c>
      <c r="J144" s="4">
        <v>13</v>
      </c>
      <c r="K144" s="4"/>
      <c r="L144" s="4"/>
      <c r="M144" s="4"/>
      <c r="N144" s="4"/>
      <c r="O144" s="4">
        <v>152</v>
      </c>
    </row>
    <row r="145" spans="1:15" x14ac:dyDescent="0.25">
      <c r="A145" s="4" t="s">
        <v>289</v>
      </c>
      <c r="B145" s="4" t="s">
        <v>290</v>
      </c>
      <c r="C145" s="4"/>
      <c r="D145" s="4">
        <v>16</v>
      </c>
      <c r="E145" s="4"/>
      <c r="F145" s="4"/>
      <c r="G145" s="4"/>
      <c r="H145" s="4"/>
      <c r="I145" s="4">
        <v>58</v>
      </c>
      <c r="J145" s="4">
        <v>75</v>
      </c>
      <c r="K145" s="4"/>
      <c r="L145" s="4"/>
      <c r="M145" s="4"/>
      <c r="N145" s="4"/>
      <c r="O145" s="4">
        <v>149</v>
      </c>
    </row>
    <row r="146" spans="1:15" x14ac:dyDescent="0.25">
      <c r="A146" s="4" t="s">
        <v>291</v>
      </c>
      <c r="B146" s="4" t="s">
        <v>292</v>
      </c>
      <c r="C146" s="4">
        <v>13</v>
      </c>
      <c r="D146" s="4">
        <v>18</v>
      </c>
      <c r="E146" s="4">
        <v>10</v>
      </c>
      <c r="F146" s="4">
        <v>17</v>
      </c>
      <c r="G146" s="4">
        <v>21</v>
      </c>
      <c r="H146" s="4">
        <v>20</v>
      </c>
      <c r="I146" s="4">
        <v>18</v>
      </c>
      <c r="J146" s="4">
        <v>22</v>
      </c>
      <c r="K146" s="4"/>
      <c r="L146" s="4"/>
      <c r="M146" s="4"/>
      <c r="N146" s="4"/>
      <c r="O146" s="4">
        <v>139</v>
      </c>
    </row>
    <row r="147" spans="1:15" x14ac:dyDescent="0.25">
      <c r="A147" s="4" t="s">
        <v>293</v>
      </c>
      <c r="B147" s="4" t="s">
        <v>294</v>
      </c>
      <c r="C147" s="4"/>
      <c r="D147" s="4">
        <v>11</v>
      </c>
      <c r="E147" s="4">
        <v>38</v>
      </c>
      <c r="F147" s="4"/>
      <c r="G147" s="4">
        <v>16</v>
      </c>
      <c r="H147" s="4">
        <v>31</v>
      </c>
      <c r="I147" s="4">
        <v>40</v>
      </c>
      <c r="J147" s="4"/>
      <c r="K147" s="4"/>
      <c r="L147" s="4"/>
      <c r="M147" s="4"/>
      <c r="N147" s="4"/>
      <c r="O147" s="4">
        <v>136</v>
      </c>
    </row>
    <row r="148" spans="1:15" x14ac:dyDescent="0.25">
      <c r="A148" s="4" t="s">
        <v>295</v>
      </c>
      <c r="B148" s="4" t="s">
        <v>296</v>
      </c>
      <c r="C148" s="4">
        <v>16</v>
      </c>
      <c r="D148" s="4">
        <v>6</v>
      </c>
      <c r="E148" s="4">
        <v>9</v>
      </c>
      <c r="F148" s="4">
        <v>16</v>
      </c>
      <c r="G148" s="4">
        <v>8</v>
      </c>
      <c r="H148" s="4">
        <v>14</v>
      </c>
      <c r="I148" s="4">
        <v>22</v>
      </c>
      <c r="J148" s="4">
        <v>38</v>
      </c>
      <c r="K148" s="4"/>
      <c r="L148" s="4"/>
      <c r="M148" s="4"/>
      <c r="N148" s="4"/>
      <c r="O148" s="4">
        <v>129</v>
      </c>
    </row>
    <row r="149" spans="1:15" x14ac:dyDescent="0.25">
      <c r="A149" s="4" t="s">
        <v>297</v>
      </c>
      <c r="B149" s="4" t="s">
        <v>298</v>
      </c>
      <c r="C149" s="4">
        <v>19</v>
      </c>
      <c r="D149" s="4">
        <v>24</v>
      </c>
      <c r="E149" s="4">
        <v>17</v>
      </c>
      <c r="F149" s="4">
        <v>8</v>
      </c>
      <c r="G149" s="4">
        <v>10</v>
      </c>
      <c r="H149" s="4">
        <v>18</v>
      </c>
      <c r="I149" s="4">
        <v>9</v>
      </c>
      <c r="J149" s="4">
        <v>14</v>
      </c>
      <c r="K149" s="4"/>
      <c r="L149" s="4"/>
      <c r="M149" s="4"/>
      <c r="N149" s="4"/>
      <c r="O149" s="4">
        <v>119</v>
      </c>
    </row>
    <row r="150" spans="1:15" x14ac:dyDescent="0.25">
      <c r="A150" s="4" t="s">
        <v>299</v>
      </c>
      <c r="B150" s="4" t="s">
        <v>300</v>
      </c>
      <c r="C150" s="4">
        <v>1</v>
      </c>
      <c r="D150" s="4">
        <v>14</v>
      </c>
      <c r="E150" s="4">
        <v>11</v>
      </c>
      <c r="F150" s="4">
        <v>12</v>
      </c>
      <c r="G150" s="4">
        <v>16</v>
      </c>
      <c r="H150" s="4">
        <v>15</v>
      </c>
      <c r="I150" s="4">
        <v>15</v>
      </c>
      <c r="J150" s="4">
        <v>31</v>
      </c>
      <c r="K150" s="4"/>
      <c r="L150" s="4"/>
      <c r="M150" s="4"/>
      <c r="N150" s="4"/>
      <c r="O150" s="4">
        <v>115</v>
      </c>
    </row>
    <row r="151" spans="1:15" x14ac:dyDescent="0.25">
      <c r="A151" s="4" t="s">
        <v>301</v>
      </c>
      <c r="B151" s="4" t="s">
        <v>302</v>
      </c>
      <c r="C151" s="4"/>
      <c r="D151" s="4"/>
      <c r="E151" s="4"/>
      <c r="F151" s="4"/>
      <c r="G151" s="4"/>
      <c r="H151" s="4"/>
      <c r="I151" s="4"/>
      <c r="J151" s="4">
        <v>103</v>
      </c>
      <c r="K151" s="4"/>
      <c r="L151" s="4"/>
      <c r="M151" s="4"/>
      <c r="N151" s="4"/>
      <c r="O151" s="4">
        <v>103</v>
      </c>
    </row>
    <row r="152" spans="1:15" x14ac:dyDescent="0.25">
      <c r="A152" s="4" t="s">
        <v>303</v>
      </c>
      <c r="B152" s="4" t="s">
        <v>304</v>
      </c>
      <c r="C152" s="4">
        <v>10</v>
      </c>
      <c r="D152" s="4">
        <v>3</v>
      </c>
      <c r="E152" s="4">
        <v>8</v>
      </c>
      <c r="F152" s="4">
        <v>18</v>
      </c>
      <c r="G152" s="4">
        <v>12</v>
      </c>
      <c r="H152" s="4">
        <v>15</v>
      </c>
      <c r="I152" s="4">
        <v>16</v>
      </c>
      <c r="J152" s="4">
        <v>17</v>
      </c>
      <c r="K152" s="4"/>
      <c r="L152" s="4"/>
      <c r="M152" s="4"/>
      <c r="N152" s="4"/>
      <c r="O152" s="4">
        <v>99</v>
      </c>
    </row>
    <row r="153" spans="1:15" x14ac:dyDescent="0.25">
      <c r="A153" s="4" t="s">
        <v>305</v>
      </c>
      <c r="B153" s="4" t="s">
        <v>306</v>
      </c>
      <c r="C153" s="4"/>
      <c r="D153" s="4">
        <v>10</v>
      </c>
      <c r="E153" s="4"/>
      <c r="F153" s="4"/>
      <c r="G153" s="4"/>
      <c r="H153" s="4">
        <v>25</v>
      </c>
      <c r="I153" s="4">
        <v>39</v>
      </c>
      <c r="J153" s="4">
        <v>20</v>
      </c>
      <c r="K153" s="4"/>
      <c r="L153" s="4"/>
      <c r="M153" s="4"/>
      <c r="N153" s="4"/>
      <c r="O153" s="4">
        <v>94</v>
      </c>
    </row>
    <row r="154" spans="1:15" x14ac:dyDescent="0.25">
      <c r="A154" s="4" t="s">
        <v>307</v>
      </c>
      <c r="B154" s="4" t="s">
        <v>308</v>
      </c>
      <c r="C154" s="4">
        <v>17</v>
      </c>
      <c r="D154" s="4">
        <v>11</v>
      </c>
      <c r="E154" s="4">
        <v>15</v>
      </c>
      <c r="F154" s="4">
        <v>6</v>
      </c>
      <c r="G154" s="4">
        <v>7</v>
      </c>
      <c r="H154" s="4">
        <v>17</v>
      </c>
      <c r="I154" s="4">
        <v>7</v>
      </c>
      <c r="J154" s="4">
        <v>4</v>
      </c>
      <c r="K154" s="4"/>
      <c r="L154" s="4"/>
      <c r="M154" s="4"/>
      <c r="N154" s="4"/>
      <c r="O154" s="4">
        <v>84</v>
      </c>
    </row>
    <row r="155" spans="1:15" x14ac:dyDescent="0.25">
      <c r="A155" s="4" t="s">
        <v>309</v>
      </c>
      <c r="B155" s="4" t="s">
        <v>310</v>
      </c>
      <c r="C155" s="4">
        <v>13</v>
      </c>
      <c r="D155" s="4">
        <v>13</v>
      </c>
      <c r="E155" s="4">
        <v>13</v>
      </c>
      <c r="F155" s="4">
        <v>8</v>
      </c>
      <c r="G155" s="4">
        <v>9</v>
      </c>
      <c r="H155" s="4">
        <v>13</v>
      </c>
      <c r="I155" s="4">
        <v>7</v>
      </c>
      <c r="J155" s="4">
        <v>7</v>
      </c>
      <c r="K155" s="4"/>
      <c r="L155" s="4"/>
      <c r="M155" s="4"/>
      <c r="N155" s="4"/>
      <c r="O155" s="4">
        <v>83</v>
      </c>
    </row>
    <row r="156" spans="1:15" x14ac:dyDescent="0.25">
      <c r="A156" s="4" t="s">
        <v>311</v>
      </c>
      <c r="B156" s="4" t="s">
        <v>312</v>
      </c>
      <c r="C156" s="4">
        <v>6</v>
      </c>
      <c r="D156" s="4">
        <v>1</v>
      </c>
      <c r="E156" s="4">
        <v>8</v>
      </c>
      <c r="F156" s="4">
        <v>5</v>
      </c>
      <c r="G156" s="4">
        <v>13</v>
      </c>
      <c r="H156" s="4">
        <v>8</v>
      </c>
      <c r="I156" s="4">
        <v>19</v>
      </c>
      <c r="J156" s="4">
        <v>23</v>
      </c>
      <c r="K156" s="4"/>
      <c r="L156" s="4"/>
      <c r="M156" s="4"/>
      <c r="N156" s="4"/>
      <c r="O156" s="4">
        <v>83</v>
      </c>
    </row>
    <row r="157" spans="1:15" x14ac:dyDescent="0.25">
      <c r="A157" s="4" t="s">
        <v>313</v>
      </c>
      <c r="B157" s="4" t="s">
        <v>314</v>
      </c>
      <c r="C157" s="4">
        <v>5</v>
      </c>
      <c r="D157" s="4">
        <v>7</v>
      </c>
      <c r="E157" s="4">
        <v>10</v>
      </c>
      <c r="F157" s="4">
        <v>17</v>
      </c>
      <c r="G157" s="4">
        <v>15</v>
      </c>
      <c r="H157" s="4">
        <v>13</v>
      </c>
      <c r="I157" s="4">
        <v>9</v>
      </c>
      <c r="J157" s="4">
        <v>5</v>
      </c>
      <c r="K157" s="4"/>
      <c r="L157" s="4"/>
      <c r="M157" s="4"/>
      <c r="N157" s="4"/>
      <c r="O157" s="4">
        <v>81</v>
      </c>
    </row>
    <row r="158" spans="1:15" x14ac:dyDescent="0.25">
      <c r="A158" s="4" t="s">
        <v>315</v>
      </c>
      <c r="B158" s="4" t="s">
        <v>316</v>
      </c>
      <c r="C158" s="4">
        <v>5</v>
      </c>
      <c r="D158" s="4">
        <v>2</v>
      </c>
      <c r="E158" s="4">
        <v>7</v>
      </c>
      <c r="F158" s="4">
        <v>13</v>
      </c>
      <c r="G158" s="4">
        <v>11</v>
      </c>
      <c r="H158" s="4">
        <v>12</v>
      </c>
      <c r="I158" s="4">
        <v>7</v>
      </c>
      <c r="J158" s="4">
        <v>22</v>
      </c>
      <c r="K158" s="4"/>
      <c r="L158" s="4"/>
      <c r="M158" s="4"/>
      <c r="N158" s="4"/>
      <c r="O158" s="4">
        <v>79</v>
      </c>
    </row>
    <row r="159" spans="1:15" x14ac:dyDescent="0.25">
      <c r="A159" s="4" t="s">
        <v>317</v>
      </c>
      <c r="B159" s="4" t="s">
        <v>318</v>
      </c>
      <c r="C159" s="4"/>
      <c r="D159" s="4">
        <v>79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>
        <v>79</v>
      </c>
    </row>
    <row r="160" spans="1:15" x14ac:dyDescent="0.25">
      <c r="A160" s="4" t="s">
        <v>319</v>
      </c>
      <c r="B160" s="4" t="s">
        <v>320</v>
      </c>
      <c r="C160" s="4">
        <v>13</v>
      </c>
      <c r="D160" s="4">
        <v>9</v>
      </c>
      <c r="E160" s="4">
        <v>15</v>
      </c>
      <c r="F160" s="4">
        <v>13</v>
      </c>
      <c r="G160" s="4">
        <v>12</v>
      </c>
      <c r="H160" s="4">
        <v>13</v>
      </c>
      <c r="I160" s="4"/>
      <c r="J160" s="4"/>
      <c r="K160" s="4"/>
      <c r="L160" s="4"/>
      <c r="M160" s="4"/>
      <c r="N160" s="4"/>
      <c r="O160" s="4">
        <v>75</v>
      </c>
    </row>
    <row r="161" spans="1:15" x14ac:dyDescent="0.25">
      <c r="A161" s="4" t="s">
        <v>321</v>
      </c>
      <c r="B161" s="4" t="s">
        <v>322</v>
      </c>
      <c r="C161" s="4">
        <v>2</v>
      </c>
      <c r="D161" s="4"/>
      <c r="E161" s="4">
        <v>1</v>
      </c>
      <c r="F161" s="4">
        <v>2</v>
      </c>
      <c r="G161" s="4">
        <v>10</v>
      </c>
      <c r="H161" s="4">
        <v>32</v>
      </c>
      <c r="I161" s="4">
        <v>18</v>
      </c>
      <c r="J161" s="4">
        <v>8</v>
      </c>
      <c r="K161" s="4"/>
      <c r="L161" s="4"/>
      <c r="M161" s="4"/>
      <c r="N161" s="4"/>
      <c r="O161" s="4">
        <v>73</v>
      </c>
    </row>
    <row r="162" spans="1:15" x14ac:dyDescent="0.25">
      <c r="A162" s="4" t="s">
        <v>323</v>
      </c>
      <c r="B162" s="4" t="s">
        <v>324</v>
      </c>
      <c r="C162" s="4">
        <v>10</v>
      </c>
      <c r="D162" s="4">
        <v>1</v>
      </c>
      <c r="E162" s="4">
        <v>23</v>
      </c>
      <c r="F162" s="4">
        <v>13</v>
      </c>
      <c r="G162" s="4">
        <v>7</v>
      </c>
      <c r="H162" s="4">
        <v>4</v>
      </c>
      <c r="I162" s="4">
        <v>6</v>
      </c>
      <c r="J162" s="4">
        <v>8</v>
      </c>
      <c r="K162" s="4"/>
      <c r="L162" s="4"/>
      <c r="M162" s="4"/>
      <c r="N162" s="4"/>
      <c r="O162" s="4">
        <v>72</v>
      </c>
    </row>
    <row r="163" spans="1:15" x14ac:dyDescent="0.25">
      <c r="A163" s="4" t="s">
        <v>325</v>
      </c>
      <c r="B163" s="4" t="s">
        <v>326</v>
      </c>
      <c r="C163" s="4"/>
      <c r="D163" s="4"/>
      <c r="E163" s="4">
        <v>62</v>
      </c>
      <c r="F163" s="4"/>
      <c r="G163" s="4"/>
      <c r="H163" s="4">
        <v>6</v>
      </c>
      <c r="I163" s="4"/>
      <c r="J163" s="4">
        <v>3</v>
      </c>
      <c r="K163" s="4"/>
      <c r="L163" s="4"/>
      <c r="M163" s="4"/>
      <c r="N163" s="4"/>
      <c r="O163" s="4">
        <v>71</v>
      </c>
    </row>
    <row r="164" spans="1:15" x14ac:dyDescent="0.25">
      <c r="A164" s="4" t="s">
        <v>327</v>
      </c>
      <c r="B164" s="4" t="s">
        <v>328</v>
      </c>
      <c r="C164" s="4">
        <v>4</v>
      </c>
      <c r="D164" s="4">
        <v>10</v>
      </c>
      <c r="E164" s="4"/>
      <c r="F164" s="4">
        <v>6</v>
      </c>
      <c r="G164" s="4">
        <v>1</v>
      </c>
      <c r="H164" s="4">
        <v>44</v>
      </c>
      <c r="I164" s="4"/>
      <c r="J164" s="4">
        <v>3</v>
      </c>
      <c r="K164" s="4"/>
      <c r="L164" s="4"/>
      <c r="M164" s="4"/>
      <c r="N164" s="4"/>
      <c r="O164" s="4">
        <v>68</v>
      </c>
    </row>
    <row r="165" spans="1:15" x14ac:dyDescent="0.25">
      <c r="A165" s="4" t="s">
        <v>329</v>
      </c>
      <c r="B165" s="4" t="s">
        <v>330</v>
      </c>
      <c r="C165" s="4">
        <v>16</v>
      </c>
      <c r="D165" s="4">
        <v>10</v>
      </c>
      <c r="E165" s="4">
        <v>3</v>
      </c>
      <c r="F165" s="4">
        <v>8</v>
      </c>
      <c r="G165" s="4">
        <v>5</v>
      </c>
      <c r="H165" s="4">
        <v>7</v>
      </c>
      <c r="I165" s="4">
        <v>11</v>
      </c>
      <c r="J165" s="4">
        <v>8</v>
      </c>
      <c r="K165" s="4"/>
      <c r="L165" s="4"/>
      <c r="M165" s="4"/>
      <c r="N165" s="4"/>
      <c r="O165" s="4">
        <v>68</v>
      </c>
    </row>
    <row r="166" spans="1:15" x14ac:dyDescent="0.25">
      <c r="A166" s="4" t="s">
        <v>331</v>
      </c>
      <c r="B166" s="4" t="s">
        <v>332</v>
      </c>
      <c r="C166" s="4">
        <v>4</v>
      </c>
      <c r="D166" s="4">
        <v>1</v>
      </c>
      <c r="E166" s="4">
        <v>2</v>
      </c>
      <c r="F166" s="4">
        <v>6</v>
      </c>
      <c r="G166" s="4">
        <v>17</v>
      </c>
      <c r="H166" s="4">
        <v>15</v>
      </c>
      <c r="I166" s="4">
        <v>9</v>
      </c>
      <c r="J166" s="4">
        <v>12</v>
      </c>
      <c r="K166" s="4"/>
      <c r="L166" s="4"/>
      <c r="M166" s="4"/>
      <c r="N166" s="4"/>
      <c r="O166" s="4">
        <v>66</v>
      </c>
    </row>
    <row r="167" spans="1:15" x14ac:dyDescent="0.25">
      <c r="A167" s="4" t="s">
        <v>333</v>
      </c>
      <c r="B167" s="4" t="s">
        <v>334</v>
      </c>
      <c r="C167" s="4">
        <v>17</v>
      </c>
      <c r="D167" s="4">
        <v>6</v>
      </c>
      <c r="E167" s="4">
        <v>12</v>
      </c>
      <c r="F167" s="4">
        <v>6</v>
      </c>
      <c r="G167" s="4">
        <v>8</v>
      </c>
      <c r="H167" s="4">
        <v>5</v>
      </c>
      <c r="I167" s="4">
        <v>7</v>
      </c>
      <c r="J167" s="4">
        <v>4</v>
      </c>
      <c r="K167" s="4"/>
      <c r="L167" s="4"/>
      <c r="M167" s="4"/>
      <c r="N167" s="4"/>
      <c r="O167" s="4">
        <v>65</v>
      </c>
    </row>
    <row r="168" spans="1:15" x14ac:dyDescent="0.25">
      <c r="A168" s="4" t="s">
        <v>335</v>
      </c>
      <c r="B168" s="4" t="s">
        <v>336</v>
      </c>
      <c r="C168" s="4"/>
      <c r="D168" s="4">
        <v>65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>
        <v>65</v>
      </c>
    </row>
    <row r="169" spans="1:15" x14ac:dyDescent="0.25">
      <c r="A169" s="4" t="s">
        <v>337</v>
      </c>
      <c r="B169" s="4" t="s">
        <v>338</v>
      </c>
      <c r="C169" s="4">
        <v>9</v>
      </c>
      <c r="D169" s="4">
        <v>13</v>
      </c>
      <c r="E169" s="4">
        <v>7</v>
      </c>
      <c r="F169" s="4">
        <v>4</v>
      </c>
      <c r="G169" s="4">
        <v>11</v>
      </c>
      <c r="H169" s="4">
        <v>6</v>
      </c>
      <c r="I169" s="4">
        <v>4</v>
      </c>
      <c r="J169" s="4">
        <v>5</v>
      </c>
      <c r="K169" s="4"/>
      <c r="L169" s="4"/>
      <c r="M169" s="4"/>
      <c r="N169" s="4"/>
      <c r="O169" s="4">
        <v>59</v>
      </c>
    </row>
    <row r="170" spans="1:15" x14ac:dyDescent="0.25">
      <c r="A170" s="4" t="s">
        <v>339</v>
      </c>
      <c r="B170" s="4" t="s">
        <v>340</v>
      </c>
      <c r="C170" s="4">
        <v>3</v>
      </c>
      <c r="D170" s="4">
        <v>3</v>
      </c>
      <c r="E170" s="4">
        <v>12</v>
      </c>
      <c r="F170" s="4">
        <v>6</v>
      </c>
      <c r="G170" s="4">
        <v>4</v>
      </c>
      <c r="H170" s="4">
        <v>9</v>
      </c>
      <c r="I170" s="4">
        <v>10</v>
      </c>
      <c r="J170" s="4">
        <v>10</v>
      </c>
      <c r="K170" s="4"/>
      <c r="L170" s="4"/>
      <c r="M170" s="4"/>
      <c r="N170" s="4"/>
      <c r="O170" s="4">
        <v>57</v>
      </c>
    </row>
    <row r="171" spans="1:15" x14ac:dyDescent="0.25">
      <c r="A171" s="4" t="s">
        <v>341</v>
      </c>
      <c r="B171" s="4" t="s">
        <v>342</v>
      </c>
      <c r="C171" s="4">
        <v>10</v>
      </c>
      <c r="D171" s="4">
        <v>7</v>
      </c>
      <c r="E171" s="4">
        <v>7</v>
      </c>
      <c r="F171" s="4">
        <v>6</v>
      </c>
      <c r="G171" s="4">
        <v>7</v>
      </c>
      <c r="H171" s="4">
        <v>4</v>
      </c>
      <c r="I171" s="4">
        <v>8</v>
      </c>
      <c r="J171" s="4">
        <v>8</v>
      </c>
      <c r="K171" s="4"/>
      <c r="L171" s="4"/>
      <c r="M171" s="4"/>
      <c r="N171" s="4"/>
      <c r="O171" s="4">
        <v>57</v>
      </c>
    </row>
    <row r="172" spans="1:15" x14ac:dyDescent="0.25">
      <c r="A172" s="4" t="s">
        <v>343</v>
      </c>
      <c r="B172" s="4" t="s">
        <v>344</v>
      </c>
      <c r="C172" s="4">
        <v>7</v>
      </c>
      <c r="D172" s="4">
        <v>2</v>
      </c>
      <c r="E172" s="4">
        <v>4</v>
      </c>
      <c r="F172" s="4">
        <v>1</v>
      </c>
      <c r="G172" s="4"/>
      <c r="H172" s="4">
        <v>21</v>
      </c>
      <c r="I172" s="4">
        <v>18</v>
      </c>
      <c r="J172" s="4">
        <v>3</v>
      </c>
      <c r="K172" s="4"/>
      <c r="L172" s="4"/>
      <c r="M172" s="4"/>
      <c r="N172" s="4"/>
      <c r="O172" s="4">
        <v>56</v>
      </c>
    </row>
    <row r="173" spans="1:15" x14ac:dyDescent="0.25">
      <c r="A173" s="4" t="s">
        <v>345</v>
      </c>
      <c r="B173" s="4" t="s">
        <v>346</v>
      </c>
      <c r="C173" s="4">
        <v>4</v>
      </c>
      <c r="D173" s="4">
        <v>5</v>
      </c>
      <c r="E173" s="4">
        <v>12</v>
      </c>
      <c r="F173" s="4">
        <v>6</v>
      </c>
      <c r="G173" s="4">
        <v>6</v>
      </c>
      <c r="H173" s="4">
        <v>5</v>
      </c>
      <c r="I173" s="4">
        <v>5</v>
      </c>
      <c r="J173" s="4">
        <v>12</v>
      </c>
      <c r="K173" s="4"/>
      <c r="L173" s="4"/>
      <c r="M173" s="4"/>
      <c r="N173" s="4"/>
      <c r="O173" s="4">
        <v>55</v>
      </c>
    </row>
    <row r="174" spans="1:15" x14ac:dyDescent="0.25">
      <c r="A174" s="4" t="s">
        <v>347</v>
      </c>
      <c r="B174" s="4" t="s">
        <v>348</v>
      </c>
      <c r="C174" s="4">
        <v>8</v>
      </c>
      <c r="D174" s="4">
        <v>9</v>
      </c>
      <c r="E174" s="4">
        <v>7</v>
      </c>
      <c r="F174" s="4">
        <v>4</v>
      </c>
      <c r="G174" s="4">
        <v>8</v>
      </c>
      <c r="H174" s="4">
        <v>2</v>
      </c>
      <c r="I174" s="4">
        <v>3</v>
      </c>
      <c r="J174" s="4">
        <v>6</v>
      </c>
      <c r="K174" s="4"/>
      <c r="L174" s="4"/>
      <c r="M174" s="4"/>
      <c r="N174" s="4"/>
      <c r="O174" s="4">
        <v>47</v>
      </c>
    </row>
    <row r="175" spans="1:15" x14ac:dyDescent="0.25">
      <c r="A175" s="4" t="s">
        <v>349</v>
      </c>
      <c r="B175" s="4" t="s">
        <v>350</v>
      </c>
      <c r="C175" s="4"/>
      <c r="D175" s="4"/>
      <c r="E175" s="4"/>
      <c r="F175" s="4"/>
      <c r="G175" s="4"/>
      <c r="H175" s="4">
        <v>14</v>
      </c>
      <c r="I175" s="4">
        <v>18</v>
      </c>
      <c r="J175" s="4">
        <v>14</v>
      </c>
      <c r="K175" s="4"/>
      <c r="L175" s="4"/>
      <c r="M175" s="4"/>
      <c r="N175" s="4"/>
      <c r="O175" s="4">
        <v>46</v>
      </c>
    </row>
    <row r="176" spans="1:15" x14ac:dyDescent="0.25">
      <c r="A176" s="4" t="s">
        <v>351</v>
      </c>
      <c r="B176" s="4" t="s">
        <v>352</v>
      </c>
      <c r="C176" s="4"/>
      <c r="D176" s="4">
        <v>8</v>
      </c>
      <c r="E176" s="4">
        <v>5</v>
      </c>
      <c r="F176" s="4">
        <v>5</v>
      </c>
      <c r="G176" s="4">
        <v>1</v>
      </c>
      <c r="H176" s="4">
        <v>10</v>
      </c>
      <c r="I176" s="4">
        <v>9</v>
      </c>
      <c r="J176" s="4">
        <v>8</v>
      </c>
      <c r="K176" s="4"/>
      <c r="L176" s="4"/>
      <c r="M176" s="4"/>
      <c r="N176" s="4"/>
      <c r="O176" s="4">
        <v>46</v>
      </c>
    </row>
    <row r="177" spans="1:15" x14ac:dyDescent="0.25">
      <c r="A177" s="4" t="s">
        <v>353</v>
      </c>
      <c r="B177" s="4" t="s">
        <v>354</v>
      </c>
      <c r="C177" s="4">
        <v>3</v>
      </c>
      <c r="D177" s="4">
        <v>3</v>
      </c>
      <c r="E177" s="4">
        <v>7</v>
      </c>
      <c r="F177" s="4">
        <v>4</v>
      </c>
      <c r="G177" s="4">
        <v>9</v>
      </c>
      <c r="H177" s="4">
        <v>5</v>
      </c>
      <c r="I177" s="4">
        <v>8</v>
      </c>
      <c r="J177" s="4">
        <v>7</v>
      </c>
      <c r="K177" s="4"/>
      <c r="L177" s="4"/>
      <c r="M177" s="4"/>
      <c r="N177" s="4"/>
      <c r="O177" s="4">
        <v>46</v>
      </c>
    </row>
    <row r="178" spans="1:15" x14ac:dyDescent="0.25">
      <c r="A178" s="4" t="s">
        <v>355</v>
      </c>
      <c r="B178" s="4" t="s">
        <v>356</v>
      </c>
      <c r="C178" s="4">
        <v>7</v>
      </c>
      <c r="D178" s="4">
        <v>11</v>
      </c>
      <c r="E178" s="4">
        <v>4</v>
      </c>
      <c r="F178" s="4">
        <v>8</v>
      </c>
      <c r="G178" s="4">
        <v>3</v>
      </c>
      <c r="H178" s="4">
        <v>1</v>
      </c>
      <c r="I178" s="4">
        <v>2</v>
      </c>
      <c r="J178" s="4"/>
      <c r="K178" s="4"/>
      <c r="L178" s="4"/>
      <c r="M178" s="4"/>
      <c r="N178" s="4"/>
      <c r="O178" s="4">
        <v>36</v>
      </c>
    </row>
    <row r="179" spans="1:15" x14ac:dyDescent="0.25">
      <c r="A179" s="4" t="s">
        <v>357</v>
      </c>
      <c r="B179" s="4" t="s">
        <v>358</v>
      </c>
      <c r="C179" s="4">
        <v>4</v>
      </c>
      <c r="D179" s="4">
        <v>3</v>
      </c>
      <c r="E179" s="4">
        <v>9</v>
      </c>
      <c r="F179" s="4">
        <v>1</v>
      </c>
      <c r="G179" s="4">
        <v>11</v>
      </c>
      <c r="H179" s="4">
        <v>2</v>
      </c>
      <c r="I179" s="4">
        <v>1</v>
      </c>
      <c r="J179" s="4">
        <v>2</v>
      </c>
      <c r="K179" s="4"/>
      <c r="L179" s="4"/>
      <c r="M179" s="4"/>
      <c r="N179" s="4"/>
      <c r="O179" s="4">
        <v>33</v>
      </c>
    </row>
    <row r="180" spans="1:15" x14ac:dyDescent="0.25">
      <c r="A180" s="4" t="s">
        <v>359</v>
      </c>
      <c r="B180" s="4" t="s">
        <v>360</v>
      </c>
      <c r="C180" s="4"/>
      <c r="D180" s="4">
        <v>32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>
        <v>32</v>
      </c>
    </row>
    <row r="181" spans="1:15" x14ac:dyDescent="0.25">
      <c r="A181" s="4" t="s">
        <v>361</v>
      </c>
      <c r="B181" s="4" t="s">
        <v>362</v>
      </c>
      <c r="C181" s="4"/>
      <c r="D181" s="4"/>
      <c r="E181" s="4"/>
      <c r="F181" s="4"/>
      <c r="G181" s="4"/>
      <c r="H181" s="4"/>
      <c r="I181" s="4">
        <v>17</v>
      </c>
      <c r="J181" s="4">
        <v>15</v>
      </c>
      <c r="K181" s="4"/>
      <c r="L181" s="4"/>
      <c r="M181" s="4"/>
      <c r="N181" s="4"/>
      <c r="O181" s="4">
        <v>32</v>
      </c>
    </row>
    <row r="182" spans="1:15" x14ac:dyDescent="0.25">
      <c r="A182" s="4" t="s">
        <v>363</v>
      </c>
      <c r="B182" s="4" t="s">
        <v>364</v>
      </c>
      <c r="C182" s="4">
        <v>5</v>
      </c>
      <c r="D182" s="4"/>
      <c r="E182" s="4"/>
      <c r="F182" s="4">
        <v>5</v>
      </c>
      <c r="G182" s="4">
        <v>2</v>
      </c>
      <c r="H182" s="4">
        <v>4</v>
      </c>
      <c r="I182" s="4">
        <v>6</v>
      </c>
      <c r="J182" s="4">
        <v>6</v>
      </c>
      <c r="K182" s="4"/>
      <c r="L182" s="4"/>
      <c r="M182" s="4"/>
      <c r="N182" s="4"/>
      <c r="O182" s="4">
        <v>28</v>
      </c>
    </row>
    <row r="183" spans="1:15" x14ac:dyDescent="0.25">
      <c r="A183" s="4" t="s">
        <v>365</v>
      </c>
      <c r="B183" s="4" t="s">
        <v>366</v>
      </c>
      <c r="C183" s="4"/>
      <c r="D183" s="4">
        <v>3</v>
      </c>
      <c r="E183" s="4"/>
      <c r="F183" s="4">
        <v>5</v>
      </c>
      <c r="G183" s="4">
        <v>10</v>
      </c>
      <c r="H183" s="4">
        <v>10</v>
      </c>
      <c r="I183" s="4"/>
      <c r="J183" s="4"/>
      <c r="K183" s="4"/>
      <c r="L183" s="4"/>
      <c r="M183" s="4"/>
      <c r="N183" s="4"/>
      <c r="O183" s="4">
        <v>28</v>
      </c>
    </row>
    <row r="184" spans="1:15" x14ac:dyDescent="0.25">
      <c r="A184" s="4" t="s">
        <v>367</v>
      </c>
      <c r="B184" s="4" t="s">
        <v>368</v>
      </c>
      <c r="C184" s="4">
        <v>4</v>
      </c>
      <c r="D184" s="4">
        <v>2</v>
      </c>
      <c r="E184" s="4">
        <v>3</v>
      </c>
      <c r="F184" s="4">
        <v>5</v>
      </c>
      <c r="G184" s="4">
        <v>2</v>
      </c>
      <c r="H184" s="4">
        <v>3</v>
      </c>
      <c r="I184" s="4">
        <v>1</v>
      </c>
      <c r="J184" s="4">
        <v>7</v>
      </c>
      <c r="K184" s="4"/>
      <c r="L184" s="4"/>
      <c r="M184" s="4"/>
      <c r="N184" s="4"/>
      <c r="O184" s="4">
        <v>27</v>
      </c>
    </row>
    <row r="185" spans="1:15" x14ac:dyDescent="0.25">
      <c r="A185" s="4" t="s">
        <v>369</v>
      </c>
      <c r="B185" s="4" t="s">
        <v>370</v>
      </c>
      <c r="C185" s="4">
        <v>1</v>
      </c>
      <c r="D185" s="4">
        <v>2</v>
      </c>
      <c r="E185" s="4"/>
      <c r="F185" s="4">
        <v>3</v>
      </c>
      <c r="G185" s="4">
        <v>11</v>
      </c>
      <c r="H185" s="4">
        <v>3</v>
      </c>
      <c r="I185" s="4">
        <v>3</v>
      </c>
      <c r="J185" s="4">
        <v>4</v>
      </c>
      <c r="K185" s="4"/>
      <c r="L185" s="4"/>
      <c r="M185" s="4"/>
      <c r="N185" s="4"/>
      <c r="O185" s="4">
        <v>27</v>
      </c>
    </row>
    <row r="186" spans="1:15" x14ac:dyDescent="0.25">
      <c r="A186" s="4" t="s">
        <v>371</v>
      </c>
      <c r="B186" s="4" t="s">
        <v>372</v>
      </c>
      <c r="C186" s="4">
        <v>6</v>
      </c>
      <c r="D186" s="4">
        <v>4</v>
      </c>
      <c r="E186" s="4">
        <v>3</v>
      </c>
      <c r="F186" s="4">
        <v>1</v>
      </c>
      <c r="G186" s="4">
        <v>3</v>
      </c>
      <c r="H186" s="4">
        <v>3</v>
      </c>
      <c r="I186" s="4">
        <v>4</v>
      </c>
      <c r="J186" s="4">
        <v>1</v>
      </c>
      <c r="K186" s="4"/>
      <c r="L186" s="4"/>
      <c r="M186" s="4"/>
      <c r="N186" s="4"/>
      <c r="O186" s="4">
        <v>25</v>
      </c>
    </row>
    <row r="187" spans="1:15" x14ac:dyDescent="0.25">
      <c r="A187" s="4" t="s">
        <v>373</v>
      </c>
      <c r="B187" s="4" t="s">
        <v>374</v>
      </c>
      <c r="C187" s="4"/>
      <c r="D187" s="4">
        <v>24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>
        <v>24</v>
      </c>
    </row>
    <row r="188" spans="1:15" x14ac:dyDescent="0.25">
      <c r="A188" s="4" t="s">
        <v>375</v>
      </c>
      <c r="B188" s="4" t="s">
        <v>376</v>
      </c>
      <c r="C188" s="4"/>
      <c r="D188" s="4"/>
      <c r="E188" s="4"/>
      <c r="F188" s="4"/>
      <c r="G188" s="4"/>
      <c r="H188" s="4"/>
      <c r="I188" s="4">
        <v>9</v>
      </c>
      <c r="J188" s="4">
        <v>14</v>
      </c>
      <c r="K188" s="4"/>
      <c r="L188" s="4"/>
      <c r="M188" s="4"/>
      <c r="N188" s="4"/>
      <c r="O188" s="4">
        <v>23</v>
      </c>
    </row>
    <row r="189" spans="1:15" x14ac:dyDescent="0.25">
      <c r="A189" s="4" t="s">
        <v>377</v>
      </c>
      <c r="B189" s="4" t="s">
        <v>378</v>
      </c>
      <c r="C189" s="4">
        <v>10</v>
      </c>
      <c r="D189" s="4">
        <v>5</v>
      </c>
      <c r="E189" s="4">
        <v>6</v>
      </c>
      <c r="F189" s="4"/>
      <c r="G189" s="4">
        <v>1</v>
      </c>
      <c r="H189" s="4"/>
      <c r="I189" s="4"/>
      <c r="J189" s="4"/>
      <c r="K189" s="4"/>
      <c r="L189" s="4"/>
      <c r="M189" s="4"/>
      <c r="N189" s="4"/>
      <c r="O189" s="4">
        <v>22</v>
      </c>
    </row>
    <row r="190" spans="1:15" x14ac:dyDescent="0.25">
      <c r="A190" s="4" t="s">
        <v>379</v>
      </c>
      <c r="B190" s="4" t="s">
        <v>380</v>
      </c>
      <c r="C190" s="4">
        <v>3</v>
      </c>
      <c r="D190" s="4"/>
      <c r="E190" s="4">
        <v>1</v>
      </c>
      <c r="F190" s="4">
        <v>3</v>
      </c>
      <c r="G190" s="4">
        <v>2</v>
      </c>
      <c r="H190" s="4">
        <v>1</v>
      </c>
      <c r="I190" s="4"/>
      <c r="J190" s="4">
        <v>11</v>
      </c>
      <c r="K190" s="4"/>
      <c r="L190" s="4"/>
      <c r="M190" s="4"/>
      <c r="N190" s="4"/>
      <c r="O190" s="4">
        <v>21</v>
      </c>
    </row>
    <row r="191" spans="1:15" x14ac:dyDescent="0.25">
      <c r="A191" s="4" t="s">
        <v>381</v>
      </c>
      <c r="B191" s="4" t="s">
        <v>382</v>
      </c>
      <c r="C191" s="4"/>
      <c r="D191" s="4">
        <v>20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>
        <v>20</v>
      </c>
    </row>
    <row r="192" spans="1:15" x14ac:dyDescent="0.25">
      <c r="A192" s="4" t="s">
        <v>383</v>
      </c>
      <c r="B192" s="4" t="s">
        <v>384</v>
      </c>
      <c r="C192" s="4">
        <v>2</v>
      </c>
      <c r="D192" s="4"/>
      <c r="E192" s="4">
        <v>7</v>
      </c>
      <c r="F192" s="4">
        <v>4</v>
      </c>
      <c r="G192" s="4">
        <v>1</v>
      </c>
      <c r="H192" s="4">
        <v>4</v>
      </c>
      <c r="I192" s="4"/>
      <c r="J192" s="4">
        <v>2</v>
      </c>
      <c r="K192" s="4"/>
      <c r="L192" s="4"/>
      <c r="M192" s="4"/>
      <c r="N192" s="4"/>
      <c r="O192" s="4">
        <v>20</v>
      </c>
    </row>
    <row r="193" spans="1:15" x14ac:dyDescent="0.25">
      <c r="A193" s="4" t="s">
        <v>385</v>
      </c>
      <c r="B193" s="4" t="s">
        <v>386</v>
      </c>
      <c r="C193" s="4">
        <v>2</v>
      </c>
      <c r="D193" s="4">
        <v>3</v>
      </c>
      <c r="E193" s="4">
        <v>2</v>
      </c>
      <c r="F193" s="4">
        <v>2</v>
      </c>
      <c r="G193" s="4">
        <v>3</v>
      </c>
      <c r="H193" s="4">
        <v>4</v>
      </c>
      <c r="I193" s="4">
        <v>2</v>
      </c>
      <c r="J193" s="4"/>
      <c r="K193" s="4"/>
      <c r="L193" s="4"/>
      <c r="M193" s="4"/>
      <c r="N193" s="4"/>
      <c r="O193" s="4">
        <v>18</v>
      </c>
    </row>
    <row r="194" spans="1:15" x14ac:dyDescent="0.25">
      <c r="A194" s="4" t="s">
        <v>387</v>
      </c>
      <c r="B194" s="4" t="s">
        <v>388</v>
      </c>
      <c r="C194" s="4">
        <v>6</v>
      </c>
      <c r="D194" s="4">
        <v>1</v>
      </c>
      <c r="E194" s="4">
        <v>3</v>
      </c>
      <c r="F194" s="4">
        <v>1</v>
      </c>
      <c r="G194" s="4">
        <v>2</v>
      </c>
      <c r="H194" s="4">
        <v>2</v>
      </c>
      <c r="I194" s="4">
        <v>1</v>
      </c>
      <c r="J194" s="4">
        <v>1</v>
      </c>
      <c r="K194" s="4"/>
      <c r="L194" s="4"/>
      <c r="M194" s="4"/>
      <c r="N194" s="4"/>
      <c r="O194" s="4">
        <v>17</v>
      </c>
    </row>
    <row r="195" spans="1:15" x14ac:dyDescent="0.25">
      <c r="A195" s="4" t="s">
        <v>389</v>
      </c>
      <c r="B195" s="4" t="s">
        <v>390</v>
      </c>
      <c r="C195" s="4">
        <v>7</v>
      </c>
      <c r="D195" s="4">
        <v>2</v>
      </c>
      <c r="E195" s="4">
        <v>3</v>
      </c>
      <c r="F195" s="4">
        <v>3</v>
      </c>
      <c r="G195" s="4"/>
      <c r="H195" s="4"/>
      <c r="I195" s="4">
        <v>1</v>
      </c>
      <c r="J195" s="4">
        <v>1</v>
      </c>
      <c r="K195" s="4"/>
      <c r="L195" s="4"/>
      <c r="M195" s="4"/>
      <c r="N195" s="4"/>
      <c r="O195" s="4">
        <v>17</v>
      </c>
    </row>
    <row r="196" spans="1:15" x14ac:dyDescent="0.25">
      <c r="A196" s="4" t="s">
        <v>391</v>
      </c>
      <c r="B196" s="4" t="s">
        <v>392</v>
      </c>
      <c r="C196" s="4">
        <v>5</v>
      </c>
      <c r="D196" s="4">
        <v>2</v>
      </c>
      <c r="E196" s="4">
        <v>2</v>
      </c>
      <c r="F196" s="4"/>
      <c r="G196" s="4">
        <v>2</v>
      </c>
      <c r="H196" s="4">
        <v>3</v>
      </c>
      <c r="I196" s="4">
        <v>1</v>
      </c>
      <c r="J196" s="4"/>
      <c r="K196" s="4"/>
      <c r="L196" s="4"/>
      <c r="M196" s="4"/>
      <c r="N196" s="4"/>
      <c r="O196" s="4">
        <v>15</v>
      </c>
    </row>
    <row r="197" spans="1:15" x14ac:dyDescent="0.25">
      <c r="A197" s="4" t="s">
        <v>393</v>
      </c>
      <c r="B197" s="4" t="s">
        <v>394</v>
      </c>
      <c r="C197" s="4">
        <v>9</v>
      </c>
      <c r="D197" s="4">
        <v>1</v>
      </c>
      <c r="E197" s="4"/>
      <c r="F197" s="4"/>
      <c r="G197" s="4">
        <v>1</v>
      </c>
      <c r="H197" s="4">
        <v>1</v>
      </c>
      <c r="I197" s="4"/>
      <c r="J197" s="4">
        <v>2</v>
      </c>
      <c r="K197" s="4"/>
      <c r="L197" s="4"/>
      <c r="M197" s="4"/>
      <c r="N197" s="4"/>
      <c r="O197" s="4">
        <v>14</v>
      </c>
    </row>
    <row r="198" spans="1:15" x14ac:dyDescent="0.25">
      <c r="A198" s="4" t="s">
        <v>395</v>
      </c>
      <c r="B198" s="4" t="s">
        <v>396</v>
      </c>
      <c r="C198" s="4">
        <v>4</v>
      </c>
      <c r="D198" s="4">
        <v>6</v>
      </c>
      <c r="E198" s="4">
        <v>2</v>
      </c>
      <c r="F198" s="4"/>
      <c r="G198" s="4"/>
      <c r="H198" s="4"/>
      <c r="I198" s="4">
        <v>1</v>
      </c>
      <c r="J198" s="4"/>
      <c r="K198" s="4"/>
      <c r="L198" s="4"/>
      <c r="M198" s="4"/>
      <c r="N198" s="4"/>
      <c r="O198" s="4">
        <v>13</v>
      </c>
    </row>
    <row r="199" spans="1:15" x14ac:dyDescent="0.25">
      <c r="A199" s="4" t="s">
        <v>397</v>
      </c>
      <c r="B199" s="4" t="s">
        <v>398</v>
      </c>
      <c r="C199" s="4">
        <v>5</v>
      </c>
      <c r="D199" s="4">
        <v>1</v>
      </c>
      <c r="E199" s="4">
        <v>4</v>
      </c>
      <c r="F199" s="4">
        <v>1</v>
      </c>
      <c r="G199" s="4">
        <v>1</v>
      </c>
      <c r="H199" s="4"/>
      <c r="I199" s="4"/>
      <c r="J199" s="4">
        <v>1</v>
      </c>
      <c r="K199" s="4"/>
      <c r="L199" s="4"/>
      <c r="M199" s="4"/>
      <c r="N199" s="4"/>
      <c r="O199" s="4">
        <v>13</v>
      </c>
    </row>
    <row r="200" spans="1:15" x14ac:dyDescent="0.25">
      <c r="A200" s="4" t="s">
        <v>399</v>
      </c>
      <c r="B200" s="4" t="s">
        <v>400</v>
      </c>
      <c r="C200" s="4">
        <v>1</v>
      </c>
      <c r="D200" s="4">
        <v>2</v>
      </c>
      <c r="E200" s="4">
        <v>2</v>
      </c>
      <c r="F200" s="4">
        <v>3</v>
      </c>
      <c r="G200" s="4">
        <v>2</v>
      </c>
      <c r="H200" s="4">
        <v>1</v>
      </c>
      <c r="I200" s="4"/>
      <c r="J200" s="4"/>
      <c r="K200" s="4"/>
      <c r="L200" s="4"/>
      <c r="M200" s="4"/>
      <c r="N200" s="4"/>
      <c r="O200" s="4">
        <v>11</v>
      </c>
    </row>
    <row r="201" spans="1:15" x14ac:dyDescent="0.25">
      <c r="A201" s="4" t="s">
        <v>401</v>
      </c>
      <c r="B201" s="4" t="s">
        <v>402</v>
      </c>
      <c r="C201" s="4">
        <v>3</v>
      </c>
      <c r="D201" s="4"/>
      <c r="E201" s="4">
        <v>1</v>
      </c>
      <c r="F201" s="4"/>
      <c r="G201" s="4">
        <v>1</v>
      </c>
      <c r="H201" s="4">
        <v>4</v>
      </c>
      <c r="I201" s="4">
        <v>1</v>
      </c>
      <c r="J201" s="4"/>
      <c r="K201" s="4"/>
      <c r="L201" s="4"/>
      <c r="M201" s="4"/>
      <c r="N201" s="4"/>
      <c r="O201" s="4">
        <v>10</v>
      </c>
    </row>
    <row r="202" spans="1:15" x14ac:dyDescent="0.25">
      <c r="A202" s="4" t="s">
        <v>403</v>
      </c>
      <c r="B202" s="4" t="s">
        <v>404</v>
      </c>
      <c r="C202" s="4"/>
      <c r="D202" s="4">
        <v>1</v>
      </c>
      <c r="E202" s="4">
        <v>4</v>
      </c>
      <c r="F202" s="4"/>
      <c r="G202" s="4">
        <v>1</v>
      </c>
      <c r="H202" s="4">
        <v>2</v>
      </c>
      <c r="I202" s="4"/>
      <c r="J202" s="4">
        <v>1</v>
      </c>
      <c r="K202" s="4"/>
      <c r="L202" s="4"/>
      <c r="M202" s="4"/>
      <c r="N202" s="4"/>
      <c r="O202" s="4">
        <v>9</v>
      </c>
    </row>
    <row r="203" spans="1:15" x14ac:dyDescent="0.25">
      <c r="A203" s="4" t="s">
        <v>405</v>
      </c>
      <c r="B203" s="4" t="s">
        <v>406</v>
      </c>
      <c r="C203" s="4"/>
      <c r="D203" s="4">
        <v>7</v>
      </c>
      <c r="E203" s="4">
        <v>2</v>
      </c>
      <c r="F203" s="4"/>
      <c r="G203" s="4"/>
      <c r="H203" s="4"/>
      <c r="I203" s="4"/>
      <c r="J203" s="4"/>
      <c r="K203" s="4"/>
      <c r="L203" s="4"/>
      <c r="M203" s="4"/>
      <c r="N203" s="4"/>
      <c r="O203" s="4">
        <v>9</v>
      </c>
    </row>
    <row r="204" spans="1:15" x14ac:dyDescent="0.25">
      <c r="A204" s="4" t="s">
        <v>407</v>
      </c>
      <c r="B204" s="4" t="s">
        <v>408</v>
      </c>
      <c r="C204" s="4">
        <v>1</v>
      </c>
      <c r="D204" s="4">
        <v>1</v>
      </c>
      <c r="E204" s="4">
        <v>4</v>
      </c>
      <c r="F204" s="4"/>
      <c r="G204" s="4">
        <v>2</v>
      </c>
      <c r="H204" s="4"/>
      <c r="I204" s="4">
        <v>1</v>
      </c>
      <c r="J204" s="4"/>
      <c r="K204" s="4"/>
      <c r="L204" s="4"/>
      <c r="M204" s="4"/>
      <c r="N204" s="4"/>
      <c r="O204" s="4">
        <v>9</v>
      </c>
    </row>
    <row r="205" spans="1:15" x14ac:dyDescent="0.25">
      <c r="A205" s="4" t="s">
        <v>409</v>
      </c>
      <c r="B205" s="4" t="s">
        <v>410</v>
      </c>
      <c r="C205" s="4"/>
      <c r="D205" s="4">
        <v>9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>
        <v>9</v>
      </c>
    </row>
    <row r="206" spans="1:15" x14ac:dyDescent="0.25">
      <c r="A206" s="4" t="s">
        <v>411</v>
      </c>
      <c r="B206" s="4" t="s">
        <v>412</v>
      </c>
      <c r="C206" s="4">
        <v>3</v>
      </c>
      <c r="D206" s="4">
        <v>1</v>
      </c>
      <c r="E206" s="4">
        <v>1</v>
      </c>
      <c r="F206" s="4">
        <v>2</v>
      </c>
      <c r="G206" s="4"/>
      <c r="H206" s="4">
        <v>1</v>
      </c>
      <c r="I206" s="4"/>
      <c r="J206" s="4"/>
      <c r="K206" s="4"/>
      <c r="L206" s="4"/>
      <c r="M206" s="4"/>
      <c r="N206" s="4"/>
      <c r="O206" s="4">
        <v>8</v>
      </c>
    </row>
    <row r="207" spans="1:15" x14ac:dyDescent="0.25">
      <c r="A207" s="4" t="s">
        <v>413</v>
      </c>
      <c r="B207" s="4" t="s">
        <v>414</v>
      </c>
      <c r="C207" s="4"/>
      <c r="D207" s="4">
        <v>8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>
        <v>8</v>
      </c>
    </row>
    <row r="208" spans="1:15" x14ac:dyDescent="0.25">
      <c r="A208" s="4" t="s">
        <v>415</v>
      </c>
      <c r="B208" s="4" t="s">
        <v>416</v>
      </c>
      <c r="C208" s="4"/>
      <c r="D208" s="4">
        <v>7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>
        <v>7</v>
      </c>
    </row>
    <row r="209" spans="1:15" x14ac:dyDescent="0.25">
      <c r="A209" s="4" t="s">
        <v>417</v>
      </c>
      <c r="B209" s="4" t="s">
        <v>418</v>
      </c>
      <c r="C209" s="4"/>
      <c r="D209" s="4">
        <v>2</v>
      </c>
      <c r="E209" s="4">
        <v>1</v>
      </c>
      <c r="F209" s="4">
        <v>1</v>
      </c>
      <c r="G209" s="4">
        <v>1</v>
      </c>
      <c r="H209" s="4">
        <v>1</v>
      </c>
      <c r="I209" s="4"/>
      <c r="J209" s="4">
        <v>1</v>
      </c>
      <c r="K209" s="4"/>
      <c r="L209" s="4"/>
      <c r="M209" s="4"/>
      <c r="N209" s="4"/>
      <c r="O209" s="4">
        <v>7</v>
      </c>
    </row>
    <row r="210" spans="1:15" x14ac:dyDescent="0.25">
      <c r="A210" s="4" t="s">
        <v>415</v>
      </c>
      <c r="B210" s="4" t="s">
        <v>420</v>
      </c>
      <c r="C210" s="4">
        <v>1</v>
      </c>
      <c r="D210" s="4">
        <v>1</v>
      </c>
      <c r="E210" s="4">
        <v>2</v>
      </c>
      <c r="F210" s="4">
        <v>1</v>
      </c>
      <c r="G210" s="4">
        <v>1</v>
      </c>
      <c r="H210" s="4"/>
      <c r="I210" s="4"/>
      <c r="J210" s="4"/>
      <c r="K210" s="4"/>
      <c r="L210" s="4"/>
      <c r="M210" s="4"/>
      <c r="N210" s="4"/>
      <c r="O210" s="4">
        <v>6</v>
      </c>
    </row>
    <row r="211" spans="1:15" x14ac:dyDescent="0.25">
      <c r="A211" s="4" t="s">
        <v>421</v>
      </c>
      <c r="B211" s="4" t="s">
        <v>422</v>
      </c>
      <c r="C211" s="4">
        <v>1</v>
      </c>
      <c r="D211" s="4"/>
      <c r="E211" s="4">
        <v>4</v>
      </c>
      <c r="F211" s="4"/>
      <c r="G211" s="4">
        <v>1</v>
      </c>
      <c r="H211" s="4"/>
      <c r="I211" s="4"/>
      <c r="J211" s="4"/>
      <c r="K211" s="4"/>
      <c r="L211" s="4"/>
      <c r="M211" s="4"/>
      <c r="N211" s="4"/>
      <c r="O211" s="4">
        <v>6</v>
      </c>
    </row>
    <row r="212" spans="1:15" x14ac:dyDescent="0.25">
      <c r="A212" s="4" t="s">
        <v>419</v>
      </c>
      <c r="B212" s="4" t="s">
        <v>424</v>
      </c>
      <c r="C212" s="4"/>
      <c r="D212" s="4"/>
      <c r="E212" s="4"/>
      <c r="F212" s="4">
        <v>1</v>
      </c>
      <c r="G212" s="4"/>
      <c r="H212" s="4">
        <v>4</v>
      </c>
      <c r="I212" s="4"/>
      <c r="J212" s="4"/>
      <c r="K212" s="4"/>
      <c r="L212" s="4"/>
      <c r="M212" s="4"/>
      <c r="N212" s="4"/>
      <c r="O212" s="4">
        <v>5</v>
      </c>
    </row>
    <row r="213" spans="1:15" x14ac:dyDescent="0.25">
      <c r="A213" s="4" t="s">
        <v>423</v>
      </c>
      <c r="B213" s="4" t="s">
        <v>426</v>
      </c>
      <c r="C213" s="4"/>
      <c r="D213" s="4">
        <v>4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>
        <v>4</v>
      </c>
    </row>
    <row r="214" spans="1:15" x14ac:dyDescent="0.25">
      <c r="A214" s="4" t="s">
        <v>427</v>
      </c>
      <c r="B214" s="4" t="s">
        <v>428</v>
      </c>
      <c r="C214" s="4"/>
      <c r="D214" s="4"/>
      <c r="E214" s="4"/>
      <c r="F214" s="4">
        <v>1</v>
      </c>
      <c r="G214" s="4"/>
      <c r="H214" s="4">
        <v>1</v>
      </c>
      <c r="I214" s="4">
        <v>1</v>
      </c>
      <c r="J214" s="4">
        <v>1</v>
      </c>
      <c r="K214" s="4"/>
      <c r="L214" s="4"/>
      <c r="M214" s="4"/>
      <c r="N214" s="4"/>
      <c r="O214" s="4">
        <v>4</v>
      </c>
    </row>
    <row r="215" spans="1:15" x14ac:dyDescent="0.25">
      <c r="A215" s="4" t="s">
        <v>425</v>
      </c>
      <c r="B215" s="4" t="s">
        <v>430</v>
      </c>
      <c r="C215" s="4"/>
      <c r="D215" s="4">
        <v>1</v>
      </c>
      <c r="E215" s="4"/>
      <c r="F215" s="4">
        <v>1</v>
      </c>
      <c r="G215" s="4">
        <v>1</v>
      </c>
      <c r="H215" s="4"/>
      <c r="I215" s="4"/>
      <c r="J215" s="4"/>
      <c r="K215" s="4"/>
      <c r="L215" s="4"/>
      <c r="M215" s="4"/>
      <c r="N215" s="4"/>
      <c r="O215" s="4">
        <v>3</v>
      </c>
    </row>
    <row r="216" spans="1:15" x14ac:dyDescent="0.25">
      <c r="A216" s="4" t="s">
        <v>445</v>
      </c>
      <c r="B216" s="4" t="s">
        <v>432</v>
      </c>
      <c r="C216" s="4"/>
      <c r="D216" s="4">
        <v>2</v>
      </c>
      <c r="E216" s="4">
        <v>1</v>
      </c>
      <c r="F216" s="4"/>
      <c r="G216" s="4"/>
      <c r="H216" s="4"/>
      <c r="I216" s="4"/>
      <c r="J216" s="4"/>
      <c r="K216" s="4"/>
      <c r="L216" s="4"/>
      <c r="M216" s="4"/>
      <c r="N216" s="4"/>
      <c r="O216" s="4">
        <v>3</v>
      </c>
    </row>
    <row r="217" spans="1:15" x14ac:dyDescent="0.25">
      <c r="A217" s="4" t="s">
        <v>443</v>
      </c>
      <c r="B217" s="4" t="s">
        <v>434</v>
      </c>
      <c r="C217" s="4"/>
      <c r="D217" s="4">
        <v>3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>
        <v>3</v>
      </c>
    </row>
    <row r="218" spans="1:15" x14ac:dyDescent="0.25">
      <c r="A218" s="4" t="s">
        <v>441</v>
      </c>
      <c r="B218" s="4" t="s">
        <v>436</v>
      </c>
      <c r="C218" s="4"/>
      <c r="D218" s="4">
        <v>1</v>
      </c>
      <c r="E218" s="4"/>
      <c r="F218" s="4">
        <v>1</v>
      </c>
      <c r="G218" s="4"/>
      <c r="H218" s="4"/>
      <c r="I218" s="4"/>
      <c r="J218" s="4">
        <v>1</v>
      </c>
      <c r="K218" s="4"/>
      <c r="L218" s="4"/>
      <c r="M218" s="4"/>
      <c r="N218" s="4"/>
      <c r="O218" s="4">
        <v>3</v>
      </c>
    </row>
    <row r="219" spans="1:15" x14ac:dyDescent="0.25">
      <c r="A219" s="4" t="s">
        <v>439</v>
      </c>
      <c r="B219" s="4" t="s">
        <v>438</v>
      </c>
      <c r="C219" s="4">
        <v>1</v>
      </c>
      <c r="D219" s="4"/>
      <c r="E219" s="4">
        <v>2</v>
      </c>
      <c r="F219" s="4"/>
      <c r="G219" s="4"/>
      <c r="H219" s="4"/>
      <c r="I219" s="4"/>
      <c r="J219" s="4"/>
      <c r="K219" s="4"/>
      <c r="L219" s="4"/>
      <c r="M219" s="4"/>
      <c r="N219" s="4"/>
      <c r="O219" s="4">
        <v>3</v>
      </c>
    </row>
    <row r="220" spans="1:15" x14ac:dyDescent="0.25">
      <c r="A220" s="4" t="s">
        <v>437</v>
      </c>
      <c r="B220" s="4" t="s">
        <v>440</v>
      </c>
      <c r="C220" s="4"/>
      <c r="D220" s="4"/>
      <c r="E220" s="4"/>
      <c r="F220" s="4"/>
      <c r="G220" s="4"/>
      <c r="H220" s="4"/>
      <c r="I220" s="4">
        <v>3</v>
      </c>
      <c r="J220" s="4"/>
      <c r="K220" s="4"/>
      <c r="L220" s="4"/>
      <c r="M220" s="4"/>
      <c r="N220" s="4"/>
      <c r="O220" s="4">
        <v>3</v>
      </c>
    </row>
    <row r="221" spans="1:15" x14ac:dyDescent="0.25">
      <c r="A221" s="4" t="s">
        <v>435</v>
      </c>
      <c r="B221" s="4" t="s">
        <v>442</v>
      </c>
      <c r="C221" s="4"/>
      <c r="D221" s="4">
        <v>3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>
        <v>3</v>
      </c>
    </row>
    <row r="222" spans="1:15" x14ac:dyDescent="0.25">
      <c r="A222" s="4" t="s">
        <v>433</v>
      </c>
      <c r="B222" s="4" t="s">
        <v>444</v>
      </c>
      <c r="C222" s="4"/>
      <c r="D222" s="4">
        <v>3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>
        <v>3</v>
      </c>
    </row>
    <row r="223" spans="1:15" x14ac:dyDescent="0.25">
      <c r="A223" s="4" t="s">
        <v>431</v>
      </c>
      <c r="B223" s="4" t="s">
        <v>446</v>
      </c>
      <c r="C223" s="4"/>
      <c r="D223" s="4">
        <v>1</v>
      </c>
      <c r="E223" s="4">
        <v>1</v>
      </c>
      <c r="F223" s="4"/>
      <c r="G223" s="4"/>
      <c r="H223" s="4">
        <v>1</v>
      </c>
      <c r="I223" s="4"/>
      <c r="J223" s="4"/>
      <c r="K223" s="4"/>
      <c r="L223" s="4"/>
      <c r="M223" s="4"/>
      <c r="N223" s="4"/>
      <c r="O223" s="4">
        <v>3</v>
      </c>
    </row>
    <row r="224" spans="1:15" x14ac:dyDescent="0.25">
      <c r="A224" s="4" t="s">
        <v>429</v>
      </c>
      <c r="B224" s="4" t="s">
        <v>448</v>
      </c>
      <c r="C224" s="4"/>
      <c r="D224" s="4"/>
      <c r="E224" s="4">
        <v>1</v>
      </c>
      <c r="F224" s="4"/>
      <c r="G224" s="4">
        <v>1</v>
      </c>
      <c r="H224" s="4"/>
      <c r="I224" s="4"/>
      <c r="J224" s="4"/>
      <c r="K224" s="4"/>
      <c r="L224" s="4"/>
      <c r="M224" s="4"/>
      <c r="N224" s="4"/>
      <c r="O224" s="4">
        <v>2</v>
      </c>
    </row>
    <row r="225" spans="1:15" x14ac:dyDescent="0.25">
      <c r="A225" s="4" t="s">
        <v>473</v>
      </c>
      <c r="B225" s="4" t="s">
        <v>450</v>
      </c>
      <c r="C225" s="4"/>
      <c r="D225" s="4">
        <v>1</v>
      </c>
      <c r="E225" s="4"/>
      <c r="F225" s="4"/>
      <c r="G225" s="4">
        <v>1</v>
      </c>
      <c r="H225" s="4"/>
      <c r="I225" s="4"/>
      <c r="J225" s="4"/>
      <c r="K225" s="4"/>
      <c r="L225" s="4"/>
      <c r="M225" s="4"/>
      <c r="N225" s="4"/>
      <c r="O225" s="4">
        <v>2</v>
      </c>
    </row>
    <row r="226" spans="1:15" x14ac:dyDescent="0.25">
      <c r="A226" s="4" t="s">
        <v>471</v>
      </c>
      <c r="B226" s="4" t="s">
        <v>452</v>
      </c>
      <c r="C226" s="4"/>
      <c r="D226" s="4"/>
      <c r="E226" s="4">
        <v>1</v>
      </c>
      <c r="F226" s="4"/>
      <c r="G226" s="4"/>
      <c r="H226" s="4"/>
      <c r="I226" s="4"/>
      <c r="J226" s="4">
        <v>1</v>
      </c>
      <c r="K226" s="4"/>
      <c r="L226" s="4"/>
      <c r="M226" s="4"/>
      <c r="N226" s="4"/>
      <c r="O226" s="4">
        <v>2</v>
      </c>
    </row>
    <row r="227" spans="1:15" x14ac:dyDescent="0.25">
      <c r="A227" s="4" t="s">
        <v>469</v>
      </c>
      <c r="B227" s="4" t="s">
        <v>454</v>
      </c>
      <c r="C227" s="4">
        <v>1</v>
      </c>
      <c r="D227" s="4">
        <v>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>
        <v>2</v>
      </c>
    </row>
    <row r="228" spans="1:15" x14ac:dyDescent="0.25">
      <c r="A228" s="4" t="s">
        <v>467</v>
      </c>
      <c r="B228" s="4" t="s">
        <v>456</v>
      </c>
      <c r="C228" s="4"/>
      <c r="D228" s="4">
        <v>2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>
        <v>2</v>
      </c>
    </row>
    <row r="229" spans="1:15" x14ac:dyDescent="0.25">
      <c r="A229" s="4" t="s">
        <v>465</v>
      </c>
      <c r="B229" s="4" t="s">
        <v>458</v>
      </c>
      <c r="C229" s="4"/>
      <c r="D229" s="4"/>
      <c r="E229" s="4"/>
      <c r="F229" s="4"/>
      <c r="G229" s="4"/>
      <c r="H229" s="4"/>
      <c r="I229" s="4">
        <v>2</v>
      </c>
      <c r="J229" s="4"/>
      <c r="K229" s="4"/>
      <c r="L229" s="4"/>
      <c r="M229" s="4"/>
      <c r="N229" s="4"/>
      <c r="O229" s="4">
        <v>2</v>
      </c>
    </row>
    <row r="230" spans="1:15" x14ac:dyDescent="0.25">
      <c r="A230" s="4" t="s">
        <v>463</v>
      </c>
      <c r="B230" s="4" t="s">
        <v>460</v>
      </c>
      <c r="C230" s="4"/>
      <c r="D230" s="4">
        <v>2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>
        <v>2</v>
      </c>
    </row>
    <row r="231" spans="1:15" x14ac:dyDescent="0.25">
      <c r="A231" s="4" t="s">
        <v>461</v>
      </c>
      <c r="B231" s="4" t="s">
        <v>462</v>
      </c>
      <c r="C231" s="4"/>
      <c r="D231" s="4">
        <v>2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>
        <v>2</v>
      </c>
    </row>
    <row r="232" spans="1:15" x14ac:dyDescent="0.25">
      <c r="A232" s="4" t="s">
        <v>459</v>
      </c>
      <c r="B232" s="4" t="s">
        <v>464</v>
      </c>
      <c r="C232" s="4"/>
      <c r="D232" s="4">
        <v>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>
        <v>2</v>
      </c>
    </row>
    <row r="233" spans="1:15" x14ac:dyDescent="0.25">
      <c r="A233" s="4" t="s">
        <v>457</v>
      </c>
      <c r="B233" s="4" t="s">
        <v>466</v>
      </c>
      <c r="C233" s="4"/>
      <c r="D233" s="4"/>
      <c r="E233" s="4">
        <v>2</v>
      </c>
      <c r="F233" s="4"/>
      <c r="G233" s="4"/>
      <c r="H233" s="4"/>
      <c r="I233" s="4"/>
      <c r="J233" s="4"/>
      <c r="K233" s="4"/>
      <c r="L233" s="4"/>
      <c r="M233" s="4"/>
      <c r="N233" s="4"/>
      <c r="O233" s="4">
        <v>2</v>
      </c>
    </row>
    <row r="234" spans="1:15" x14ac:dyDescent="0.25">
      <c r="A234" s="4" t="s">
        <v>455</v>
      </c>
      <c r="B234" s="4" t="s">
        <v>468</v>
      </c>
      <c r="C234" s="4">
        <v>1</v>
      </c>
      <c r="D234" s="4">
        <v>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>
        <v>2</v>
      </c>
    </row>
    <row r="235" spans="1:15" x14ac:dyDescent="0.25">
      <c r="A235" s="4" t="s">
        <v>453</v>
      </c>
      <c r="B235" s="4" t="s">
        <v>470</v>
      </c>
      <c r="C235" s="4"/>
      <c r="D235" s="4">
        <v>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>
        <v>2</v>
      </c>
    </row>
    <row r="236" spans="1:15" x14ac:dyDescent="0.25">
      <c r="A236" s="4" t="s">
        <v>451</v>
      </c>
      <c r="B236" s="4" t="s">
        <v>472</v>
      </c>
      <c r="C236" s="4"/>
      <c r="D236" s="4">
        <v>2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>
        <v>2</v>
      </c>
    </row>
    <row r="237" spans="1:15" x14ac:dyDescent="0.25">
      <c r="A237" s="4" t="s">
        <v>449</v>
      </c>
      <c r="B237" s="4" t="s">
        <v>474</v>
      </c>
      <c r="C237" s="4"/>
      <c r="D237" s="4">
        <v>2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>
        <v>2</v>
      </c>
    </row>
    <row r="238" spans="1:15" x14ac:dyDescent="0.25">
      <c r="A238" s="4" t="s">
        <v>447</v>
      </c>
      <c r="B238" s="4" t="s">
        <v>476</v>
      </c>
      <c r="C238" s="4"/>
      <c r="D238" s="4">
        <v>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>
        <v>1</v>
      </c>
    </row>
    <row r="239" spans="1:15" x14ac:dyDescent="0.25">
      <c r="A239" s="4" t="s">
        <v>515</v>
      </c>
      <c r="B239" s="4" t="s">
        <v>478</v>
      </c>
      <c r="C239" s="4"/>
      <c r="D239" s="4"/>
      <c r="E239" s="4"/>
      <c r="F239" s="4"/>
      <c r="G239" s="4"/>
      <c r="H239" s="4"/>
      <c r="I239" s="4">
        <v>1</v>
      </c>
      <c r="J239" s="4"/>
      <c r="K239" s="4"/>
      <c r="L239" s="4"/>
      <c r="M239" s="4"/>
      <c r="N239" s="4"/>
      <c r="O239" s="4">
        <v>1</v>
      </c>
    </row>
    <row r="240" spans="1:15" x14ac:dyDescent="0.25">
      <c r="A240" s="4" t="s">
        <v>513</v>
      </c>
      <c r="B240" s="4" t="s">
        <v>480</v>
      </c>
      <c r="C240" s="4"/>
      <c r="D240" s="4"/>
      <c r="E240" s="4"/>
      <c r="F240" s="4"/>
      <c r="G240" s="4"/>
      <c r="H240" s="4">
        <v>1</v>
      </c>
      <c r="I240" s="4"/>
      <c r="J240" s="4"/>
      <c r="K240" s="4"/>
      <c r="L240" s="4"/>
      <c r="M240" s="4"/>
      <c r="N240" s="4"/>
      <c r="O240" s="4">
        <v>1</v>
      </c>
    </row>
    <row r="241" spans="1:15" x14ac:dyDescent="0.25">
      <c r="A241" s="4" t="s">
        <v>511</v>
      </c>
      <c r="B241" s="4" t="s">
        <v>482</v>
      </c>
      <c r="C241" s="4"/>
      <c r="D241" s="4">
        <v>1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>
        <v>1</v>
      </c>
    </row>
    <row r="242" spans="1:15" x14ac:dyDescent="0.25">
      <c r="A242" s="4" t="s">
        <v>509</v>
      </c>
      <c r="B242" s="4" t="s">
        <v>484</v>
      </c>
      <c r="C242" s="4"/>
      <c r="D242" s="4">
        <v>1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>
        <v>1</v>
      </c>
    </row>
    <row r="243" spans="1:15" x14ac:dyDescent="0.25">
      <c r="A243" s="4" t="s">
        <v>507</v>
      </c>
      <c r="B243" s="4" t="s">
        <v>486</v>
      </c>
      <c r="C243" s="4">
        <v>1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>
        <v>1</v>
      </c>
    </row>
    <row r="244" spans="1:15" x14ac:dyDescent="0.25">
      <c r="A244" s="4" t="s">
        <v>505</v>
      </c>
      <c r="B244" s="4" t="s">
        <v>488</v>
      </c>
      <c r="C244" s="4"/>
      <c r="D244" s="4">
        <v>1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>
        <v>1</v>
      </c>
    </row>
    <row r="245" spans="1:15" x14ac:dyDescent="0.25">
      <c r="A245" s="4" t="s">
        <v>503</v>
      </c>
      <c r="B245" s="4" t="s">
        <v>490</v>
      </c>
      <c r="C245" s="4"/>
      <c r="D245" s="4"/>
      <c r="E245" s="4">
        <v>1</v>
      </c>
      <c r="F245" s="4"/>
      <c r="G245" s="4"/>
      <c r="H245" s="4"/>
      <c r="I245" s="4"/>
      <c r="J245" s="4"/>
      <c r="K245" s="4"/>
      <c r="L245" s="4"/>
      <c r="M245" s="4"/>
      <c r="N245" s="4"/>
      <c r="O245" s="4">
        <v>1</v>
      </c>
    </row>
    <row r="246" spans="1:15" x14ac:dyDescent="0.25">
      <c r="A246" s="4" t="s">
        <v>501</v>
      </c>
      <c r="B246" s="4" t="s">
        <v>492</v>
      </c>
      <c r="C246" s="4"/>
      <c r="D246" s="4">
        <v>1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>
        <v>1</v>
      </c>
    </row>
    <row r="247" spans="1:15" x14ac:dyDescent="0.25">
      <c r="A247" s="4" t="s">
        <v>499</v>
      </c>
      <c r="B247" s="4" t="s">
        <v>494</v>
      </c>
      <c r="C247" s="4">
        <v>1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>
        <v>1</v>
      </c>
    </row>
    <row r="248" spans="1:15" x14ac:dyDescent="0.25">
      <c r="A248" s="4" t="s">
        <v>497</v>
      </c>
      <c r="B248" s="4" t="s">
        <v>496</v>
      </c>
      <c r="C248" s="4"/>
      <c r="D248" s="4"/>
      <c r="E248" s="4"/>
      <c r="F248" s="4"/>
      <c r="G248" s="4">
        <v>1</v>
      </c>
      <c r="H248" s="4"/>
      <c r="I248" s="4"/>
      <c r="J248" s="4"/>
      <c r="K248" s="4"/>
      <c r="L248" s="4"/>
      <c r="M248" s="4"/>
      <c r="N248" s="4"/>
      <c r="O248" s="4">
        <v>1</v>
      </c>
    </row>
    <row r="249" spans="1:15" x14ac:dyDescent="0.25">
      <c r="A249" s="4" t="s">
        <v>495</v>
      </c>
      <c r="B249" s="4" t="s">
        <v>498</v>
      </c>
      <c r="C249" s="4"/>
      <c r="D249" s="4"/>
      <c r="E249" s="4"/>
      <c r="F249" s="4"/>
      <c r="G249" s="4"/>
      <c r="H249" s="4">
        <v>1</v>
      </c>
      <c r="I249" s="4"/>
      <c r="J249" s="4"/>
      <c r="K249" s="4"/>
      <c r="L249" s="4"/>
      <c r="M249" s="4"/>
      <c r="N249" s="4"/>
      <c r="O249" s="4">
        <v>1</v>
      </c>
    </row>
    <row r="250" spans="1:15" x14ac:dyDescent="0.25">
      <c r="A250" s="4" t="s">
        <v>493</v>
      </c>
      <c r="B250" s="4" t="s">
        <v>500</v>
      </c>
      <c r="C250" s="4"/>
      <c r="D250" s="4">
        <v>1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>
        <v>1</v>
      </c>
    </row>
    <row r="251" spans="1:15" x14ac:dyDescent="0.25">
      <c r="A251" s="4" t="s">
        <v>491</v>
      </c>
      <c r="B251" s="4" t="s">
        <v>502</v>
      </c>
      <c r="C251" s="4"/>
      <c r="D251" s="4">
        <v>1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>
        <v>1</v>
      </c>
    </row>
    <row r="252" spans="1:15" x14ac:dyDescent="0.25">
      <c r="A252" s="4" t="s">
        <v>489</v>
      </c>
      <c r="B252" s="4" t="s">
        <v>504</v>
      </c>
      <c r="C252" s="4"/>
      <c r="D252" s="4">
        <v>1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>
        <v>1</v>
      </c>
    </row>
    <row r="253" spans="1:15" x14ac:dyDescent="0.25">
      <c r="A253" s="4" t="s">
        <v>487</v>
      </c>
      <c r="B253" s="4" t="s">
        <v>506</v>
      </c>
      <c r="C253" s="4"/>
      <c r="D253" s="4">
        <v>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>
        <v>1</v>
      </c>
    </row>
    <row r="254" spans="1:15" x14ac:dyDescent="0.25">
      <c r="A254" s="4" t="s">
        <v>485</v>
      </c>
      <c r="B254" s="4" t="s">
        <v>508</v>
      </c>
      <c r="C254" s="4">
        <v>1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>
        <v>1</v>
      </c>
    </row>
    <row r="255" spans="1:15" x14ac:dyDescent="0.25">
      <c r="A255" s="4" t="s">
        <v>483</v>
      </c>
      <c r="B255" s="4" t="s">
        <v>510</v>
      </c>
      <c r="C255" s="4"/>
      <c r="D255" s="4"/>
      <c r="E255" s="4">
        <v>1</v>
      </c>
      <c r="F255" s="4"/>
      <c r="G255" s="4"/>
      <c r="H255" s="4"/>
      <c r="I255" s="4"/>
      <c r="J255" s="4"/>
      <c r="K255" s="4"/>
      <c r="L255" s="4"/>
      <c r="M255" s="4"/>
      <c r="N255" s="4"/>
      <c r="O255" s="4">
        <v>1</v>
      </c>
    </row>
    <row r="256" spans="1:15" x14ac:dyDescent="0.25">
      <c r="A256" s="4" t="s">
        <v>481</v>
      </c>
      <c r="B256" s="4" t="s">
        <v>512</v>
      </c>
      <c r="C256" s="4"/>
      <c r="D256" s="4"/>
      <c r="E256" s="4"/>
      <c r="F256" s="4">
        <v>1</v>
      </c>
      <c r="G256" s="4"/>
      <c r="H256" s="4"/>
      <c r="I256" s="4"/>
      <c r="J256" s="4"/>
      <c r="K256" s="4"/>
      <c r="L256" s="4"/>
      <c r="M256" s="4"/>
      <c r="N256" s="4"/>
      <c r="O256" s="4">
        <v>1</v>
      </c>
    </row>
    <row r="257" spans="1:15" x14ac:dyDescent="0.25">
      <c r="A257" s="4" t="s">
        <v>479</v>
      </c>
      <c r="B257" s="4" t="s">
        <v>514</v>
      </c>
      <c r="C257" s="4">
        <v>1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>
        <v>1</v>
      </c>
    </row>
    <row r="258" spans="1:15" x14ac:dyDescent="0.25">
      <c r="A258" s="4" t="s">
        <v>477</v>
      </c>
      <c r="B258" s="4" t="s">
        <v>516</v>
      </c>
      <c r="C258" s="4"/>
      <c r="D258" s="4"/>
      <c r="E258" s="4"/>
      <c r="F258" s="4"/>
      <c r="G258" s="4"/>
      <c r="H258" s="4">
        <v>1</v>
      </c>
      <c r="I258" s="4"/>
      <c r="J258" s="4"/>
      <c r="K258" s="4"/>
      <c r="L258" s="4"/>
      <c r="M258" s="4"/>
      <c r="N258" s="4"/>
      <c r="O258" s="4">
        <v>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Francsico Arejano</dc:creator>
  <cp:lastModifiedBy>Francsico Arejano</cp:lastModifiedBy>
  <dcterms:created xsi:type="dcterms:W3CDTF">2023-09-25T21:35:34Z</dcterms:created>
  <dcterms:modified xsi:type="dcterms:W3CDTF">2023-11-14T20:26:08Z</dcterms:modified>
</cp:coreProperties>
</file>